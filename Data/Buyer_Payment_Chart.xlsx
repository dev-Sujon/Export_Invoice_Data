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on\Desktop\1.ERP_REPORTS\EIS\Data\"/>
    </mc:Choice>
  </mc:AlternateContent>
  <xr:revisionPtr revIDLastSave="0" documentId="13_ncr:1_{FD44818A-4567-449B-B9CF-1CCBAA8B601C}" xr6:coauthVersionLast="47" xr6:coauthVersionMax="47" xr10:uidLastSave="{00000000-0000-0000-0000-000000000000}"/>
  <bookViews>
    <workbookView xWindow="-120" yWindow="-120" windowWidth="29040" windowHeight="15840" xr2:uid="{0646776D-59C0-42B5-A181-70D73521E818}"/>
  </bookViews>
  <sheets>
    <sheet name="Buyer wise Payment Chart" sheetId="1" r:id="rId1"/>
  </sheets>
  <definedNames>
    <definedName name="_xlnm._FilterDatabase" localSheetId="0" hidden="1">'Buyer wise Payment Chart'!$A$1:$O$72</definedName>
    <definedName name="_xlnm.Print_Titles" localSheetId="0">'Buyer wise Payment Chart'!$1:$1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2" i="1" l="1"/>
  <c r="M28" i="1"/>
  <c r="F59" i="1" l="1"/>
  <c r="H59" i="1" s="1"/>
  <c r="J59" i="1" s="1"/>
  <c r="M59" i="1" s="1"/>
  <c r="F58" i="1"/>
  <c r="H58" i="1" s="1"/>
  <c r="J58" i="1" s="1"/>
  <c r="M58" i="1" s="1"/>
  <c r="F70" i="1"/>
  <c r="H70" i="1" s="1"/>
  <c r="M70" i="1" s="1"/>
  <c r="F64" i="1"/>
  <c r="H64" i="1" s="1"/>
  <c r="J64" i="1" s="1"/>
  <c r="M64" i="1" s="1"/>
  <c r="F51" i="1"/>
  <c r="H51" i="1" s="1"/>
  <c r="M51" i="1" s="1"/>
  <c r="F72" i="1" l="1"/>
  <c r="H72" i="1" s="1"/>
  <c r="M72" i="1" s="1"/>
  <c r="F71" i="1"/>
  <c r="H71" i="1" s="1"/>
  <c r="M71" i="1" s="1"/>
  <c r="F69" i="1"/>
  <c r="H69" i="1" s="1"/>
  <c r="M69" i="1" s="1"/>
  <c r="F68" i="1"/>
  <c r="H68" i="1" s="1"/>
  <c r="M68" i="1" s="1"/>
  <c r="F67" i="1"/>
  <c r="H67" i="1" s="1"/>
  <c r="M67" i="1" s="1"/>
  <c r="F66" i="1"/>
  <c r="H66" i="1" s="1"/>
  <c r="M66" i="1" s="1"/>
  <c r="F65" i="1"/>
  <c r="H65" i="1" s="1"/>
  <c r="M65" i="1" s="1"/>
  <c r="F63" i="1"/>
  <c r="H63" i="1" s="1"/>
  <c r="M63" i="1" s="1"/>
  <c r="F62" i="1"/>
  <c r="H62" i="1" s="1"/>
  <c r="M62" i="1" s="1"/>
  <c r="F61" i="1"/>
  <c r="H61" i="1" s="1"/>
  <c r="M61" i="1" s="1"/>
  <c r="F60" i="1"/>
  <c r="H60" i="1" s="1"/>
  <c r="J60" i="1" s="1"/>
  <c r="M60" i="1" s="1"/>
  <c r="F57" i="1"/>
  <c r="H57" i="1" s="1"/>
  <c r="M57" i="1" s="1"/>
  <c r="F56" i="1"/>
  <c r="H56" i="1" s="1"/>
  <c r="M56" i="1" s="1"/>
  <c r="F55" i="1"/>
  <c r="H55" i="1" s="1"/>
  <c r="M55" i="1" s="1"/>
  <c r="F54" i="1"/>
  <c r="H54" i="1" s="1"/>
  <c r="M54" i="1" s="1"/>
  <c r="F53" i="1"/>
  <c r="H53" i="1" s="1"/>
  <c r="M53" i="1" s="1"/>
  <c r="F52" i="1"/>
  <c r="H52" i="1" s="1"/>
  <c r="M52" i="1" s="1"/>
  <c r="F50" i="1"/>
  <c r="H50" i="1" s="1"/>
  <c r="M50" i="1" s="1"/>
  <c r="F49" i="1"/>
  <c r="H49" i="1" s="1"/>
  <c r="M49" i="1" s="1"/>
  <c r="F48" i="1"/>
  <c r="H48" i="1" s="1"/>
  <c r="J48" i="1" s="1"/>
  <c r="M48" i="1" s="1"/>
  <c r="F47" i="1"/>
  <c r="H47" i="1" s="1"/>
  <c r="M47" i="1" s="1"/>
  <c r="F46" i="1"/>
  <c r="H46" i="1" s="1"/>
  <c r="M46" i="1" s="1"/>
  <c r="F45" i="1"/>
  <c r="H45" i="1" s="1"/>
  <c r="M45" i="1" s="1"/>
  <c r="F44" i="1"/>
  <c r="H44" i="1" s="1"/>
  <c r="M44" i="1" s="1"/>
  <c r="F43" i="1"/>
  <c r="H43" i="1" s="1"/>
  <c r="M43" i="1" s="1"/>
  <c r="F41" i="1"/>
  <c r="H41" i="1" s="1"/>
  <c r="J41" i="1" s="1"/>
  <c r="M41" i="1" s="1"/>
  <c r="F40" i="1"/>
  <c r="H40" i="1" s="1"/>
  <c r="M40" i="1" s="1"/>
  <c r="F39" i="1"/>
  <c r="H39" i="1" s="1"/>
  <c r="M39" i="1" s="1"/>
  <c r="F38" i="1"/>
  <c r="H38" i="1" s="1"/>
  <c r="J38" i="1" s="1"/>
  <c r="M38" i="1" s="1"/>
  <c r="F37" i="1"/>
  <c r="H37" i="1" s="1"/>
  <c r="M37" i="1" s="1"/>
  <c r="F36" i="1"/>
  <c r="H36" i="1" s="1"/>
  <c r="M36" i="1" s="1"/>
  <c r="F35" i="1"/>
  <c r="H35" i="1" s="1"/>
  <c r="M35" i="1" s="1"/>
  <c r="F34" i="1"/>
  <c r="H34" i="1" s="1"/>
  <c r="M34" i="1" s="1"/>
  <c r="F33" i="1"/>
  <c r="H33" i="1" s="1"/>
  <c r="M33" i="1" s="1"/>
  <c r="F32" i="1"/>
  <c r="H32" i="1" s="1"/>
  <c r="M32" i="1" s="1"/>
  <c r="F31" i="1"/>
  <c r="H31" i="1" s="1"/>
  <c r="M31" i="1" s="1"/>
  <c r="F30" i="1"/>
  <c r="H30" i="1" s="1"/>
  <c r="M30" i="1" s="1"/>
  <c r="F29" i="1"/>
  <c r="H29" i="1" s="1"/>
  <c r="M29" i="1" s="1"/>
  <c r="F27" i="1"/>
  <c r="H27" i="1" s="1"/>
  <c r="M27" i="1" s="1"/>
  <c r="F26" i="1"/>
  <c r="F25" i="1"/>
  <c r="H25" i="1" s="1"/>
  <c r="M25" i="1" s="1"/>
  <c r="F24" i="1"/>
  <c r="H24" i="1" s="1"/>
  <c r="M24" i="1" s="1"/>
  <c r="F23" i="1"/>
  <c r="H23" i="1" s="1"/>
  <c r="M23" i="1" s="1"/>
  <c r="F22" i="1"/>
  <c r="H22" i="1" s="1"/>
  <c r="J22" i="1" s="1"/>
  <c r="M22" i="1" s="1"/>
  <c r="F21" i="1"/>
  <c r="H21" i="1" s="1"/>
  <c r="M21" i="1" s="1"/>
  <c r="F20" i="1"/>
  <c r="H20" i="1" s="1"/>
  <c r="M20" i="1" s="1"/>
  <c r="F19" i="1"/>
  <c r="H19" i="1" s="1"/>
  <c r="M19" i="1" s="1"/>
  <c r="F18" i="1"/>
  <c r="H18" i="1" s="1"/>
  <c r="M18" i="1" s="1"/>
  <c r="F17" i="1"/>
  <c r="H17" i="1" s="1"/>
  <c r="M17" i="1" s="1"/>
  <c r="F16" i="1"/>
  <c r="H16" i="1" s="1"/>
  <c r="M16" i="1" s="1"/>
  <c r="F15" i="1"/>
  <c r="H15" i="1" s="1"/>
  <c r="M15" i="1" s="1"/>
  <c r="F14" i="1"/>
  <c r="H14" i="1" s="1"/>
  <c r="M14" i="1" s="1"/>
  <c r="F13" i="1"/>
  <c r="H13" i="1" s="1"/>
  <c r="M13" i="1" s="1"/>
  <c r="F12" i="1"/>
  <c r="H12" i="1" s="1"/>
  <c r="M12" i="1" s="1"/>
  <c r="F11" i="1"/>
  <c r="H11" i="1" s="1"/>
  <c r="M11" i="1" s="1"/>
  <c r="F10" i="1"/>
  <c r="H10" i="1" s="1"/>
  <c r="M10" i="1" s="1"/>
  <c r="F9" i="1"/>
  <c r="H9" i="1" s="1"/>
  <c r="M9" i="1" s="1"/>
  <c r="F8" i="1"/>
  <c r="H8" i="1" s="1"/>
  <c r="M8" i="1" s="1"/>
  <c r="F7" i="1"/>
  <c r="H7" i="1" s="1"/>
  <c r="M7" i="1" s="1"/>
  <c r="F6" i="1"/>
  <c r="H6" i="1" s="1"/>
  <c r="M6" i="1" s="1"/>
  <c r="F5" i="1"/>
  <c r="H5" i="1" s="1"/>
  <c r="M5" i="1" s="1"/>
  <c r="F4" i="1"/>
  <c r="H4" i="1" s="1"/>
  <c r="M4" i="1" s="1"/>
  <c r="F3" i="1"/>
  <c r="H3" i="1" s="1"/>
  <c r="M3" i="1" s="1"/>
  <c r="A69" i="1"/>
  <c r="A70" i="1"/>
  <c r="A71" i="1"/>
  <c r="A7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2" i="1"/>
  <c r="F2" i="1"/>
  <c r="H2" i="1" s="1"/>
  <c r="M2" i="1" s="1"/>
  <c r="H26" i="1" l="1"/>
  <c r="M26" i="1" s="1"/>
</calcChain>
</file>

<file path=xl/sharedStrings.xml><?xml version="1.0" encoding="utf-8"?>
<sst xmlns="http://schemas.openxmlformats.org/spreadsheetml/2006/main" count="159" uniqueCount="93">
  <si>
    <t>Sl. No.</t>
  </si>
  <si>
    <t>Buyer</t>
  </si>
  <si>
    <t>Export Responsible</t>
  </si>
  <si>
    <t>Qutubuddin</t>
  </si>
  <si>
    <t>Assurer Worldwide</t>
  </si>
  <si>
    <t>Ex-Factory</t>
  </si>
  <si>
    <t>Days</t>
  </si>
  <si>
    <t>Onboard</t>
  </si>
  <si>
    <t>B/L Collection</t>
  </si>
  <si>
    <t>Bank Doc Submission</t>
  </si>
  <si>
    <t>Payment Term</t>
  </si>
  <si>
    <t>Payment Date</t>
  </si>
  <si>
    <t>Assurer Worldwide Apparel LLC-FZ</t>
  </si>
  <si>
    <t>Mamun</t>
  </si>
  <si>
    <t>A.M.London Fashion Ltd</t>
  </si>
  <si>
    <t>AAMARA TEX LTD</t>
  </si>
  <si>
    <t>H&amp;M</t>
  </si>
  <si>
    <t>Masum Ahmed</t>
  </si>
  <si>
    <t>ABC S.A.</t>
  </si>
  <si>
    <t>Primark</t>
  </si>
  <si>
    <t>Aldi Sourcing Asia Limited</t>
  </si>
  <si>
    <t>AMD APPARELS PRIVATE LTD</t>
  </si>
  <si>
    <t>Arden Holdings Inc.</t>
  </si>
  <si>
    <t>Williams</t>
  </si>
  <si>
    <t>Assurer At Work Limited</t>
  </si>
  <si>
    <t>Babul</t>
  </si>
  <si>
    <t>Assurer Worldwide Apparel LLC,</t>
  </si>
  <si>
    <t>Hellenic</t>
  </si>
  <si>
    <t>BELK</t>
  </si>
  <si>
    <t>TMS</t>
  </si>
  <si>
    <t>Bestseller</t>
  </si>
  <si>
    <t>ZXY</t>
  </si>
  <si>
    <t>C&amp;A</t>
  </si>
  <si>
    <t>Macon S.A.</t>
  </si>
  <si>
    <t>CARNET A/S</t>
  </si>
  <si>
    <t>Choice Discount Stores LTD</t>
  </si>
  <si>
    <t>COLONY BRANDS ,INC</t>
  </si>
  <si>
    <t>Colony Brands, INC</t>
  </si>
  <si>
    <t>CORTEFIEL</t>
  </si>
  <si>
    <t>Crew Clothing Company Ltd.</t>
  </si>
  <si>
    <t>CTF</t>
  </si>
  <si>
    <t>DK Company</t>
  </si>
  <si>
    <t>Lisa Tex</t>
  </si>
  <si>
    <t>FAIRTRADE</t>
  </si>
  <si>
    <t>Nittex</t>
  </si>
  <si>
    <t>Falabella De Colombia S.A.</t>
  </si>
  <si>
    <t>Falabella Retail S.A</t>
  </si>
  <si>
    <t>FULLBEAUTY BRANDS OPERATIONS</t>
  </si>
  <si>
    <t>H WEAR LIMITED</t>
  </si>
  <si>
    <t>H&amp;R CLOTHING LTD</t>
  </si>
  <si>
    <t>LPP</t>
  </si>
  <si>
    <t>HAGGAR</t>
  </si>
  <si>
    <t>HONGKONG CH COMPANY LIMITED</t>
  </si>
  <si>
    <t>Int. Sourcing Dept Truworths</t>
  </si>
  <si>
    <t>J.M Resource Co. Ltd</t>
  </si>
  <si>
    <t>KARIBAN</t>
  </si>
  <si>
    <t>Lever Style Limited</t>
  </si>
  <si>
    <t>LOJAS RENNER</t>
  </si>
  <si>
    <t>MATALAN</t>
  </si>
  <si>
    <t>NEXT</t>
  </si>
  <si>
    <t>Ocean Trading &amp; Logistics Pty Ltd</t>
  </si>
  <si>
    <t>ONLY RETAIL PRIVATE LIMITED</t>
  </si>
  <si>
    <t>OUTFIT CLOTHING LIMITED</t>
  </si>
  <si>
    <t>P&amp;C</t>
  </si>
  <si>
    <t>PAGANI</t>
  </si>
  <si>
    <t>Patience</t>
  </si>
  <si>
    <t>PEEK AND CLOPPENBURG KG</t>
  </si>
  <si>
    <t>PEOBE AB</t>
  </si>
  <si>
    <t>PEPE JEANS</t>
  </si>
  <si>
    <t>Promoset SA</t>
  </si>
  <si>
    <t>RENNER</t>
  </si>
  <si>
    <t>River Island</t>
  </si>
  <si>
    <t>S.OLIVER</t>
  </si>
  <si>
    <t>Saga Falabella S.A</t>
  </si>
  <si>
    <t>Springfield</t>
  </si>
  <si>
    <t>Street One</t>
  </si>
  <si>
    <t>Tex Group Ltd.</t>
  </si>
  <si>
    <t>Texla Private Limited</t>
  </si>
  <si>
    <t>THE IMPETUS GALLERY LTD</t>
  </si>
  <si>
    <t>Trading Fashion Line S.A.</t>
  </si>
  <si>
    <t>Tudor Knight</t>
  </si>
  <si>
    <t>TWINS ASIA LIMITED</t>
  </si>
  <si>
    <t>VERO MODA RETAIL PVT LTD</t>
  </si>
  <si>
    <t>VOGUE SOURCING LIMITED</t>
  </si>
  <si>
    <t>WEATHERPROOF VINTAGE</t>
  </si>
  <si>
    <t>Sajjad</t>
  </si>
  <si>
    <t>Advance TT</t>
  </si>
  <si>
    <t>babul</t>
  </si>
  <si>
    <t>Local bank</t>
  </si>
  <si>
    <t>Jalil</t>
  </si>
  <si>
    <t>not update</t>
  </si>
  <si>
    <t>Remarks</t>
  </si>
  <si>
    <t>Payment After Ex-Factory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</si>
</sst>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F277-E0EE-4AC8-967A-1449BCF931AA}">
  <sheetPr>
    <pageSetUpPr fitToPage="1"/>
  </sheetPr>
  <dimension ref="A1:O72"/>
  <sheetViews>
    <sheetView showGridLines="0" tabSelected="1" workbookViewId="0">
      <pane ySplit="1" topLeftCell="A2" activePane="bottomLeft" state="frozen"/>
      <selection pane="bottomLeft" activeCell="P1" sqref="P1:P1048576"/>
    </sheetView>
  </sheetViews>
  <sheetFormatPr defaultRowHeight="15" x14ac:dyDescent="0.25"/>
  <cols>
    <col min="1" max="1" width="5.42578125" style="5" customWidth="1"/>
    <col min="2" max="2" width="31.7109375" style="5" customWidth="1"/>
    <col min="3" max="3" width="19.5703125" style="5" customWidth="1"/>
    <col min="4" max="4" width="10.42578125" style="5" bestFit="1" customWidth="1"/>
    <col min="5" max="5" width="5.140625" style="5" bestFit="1" customWidth="1"/>
    <col min="6" max="6" width="10.42578125" style="5" bestFit="1" customWidth="1"/>
    <col min="7" max="7" width="7" style="5" customWidth="1"/>
    <col min="8" max="8" width="11.5703125" style="5" customWidth="1"/>
    <col min="9" max="9" width="9.7109375" style="5" bestFit="1" customWidth="1"/>
    <col min="10" max="10" width="16.5703125" style="5" customWidth="1"/>
    <col min="11" max="11" width="7.5703125" style="5" customWidth="1"/>
    <col min="12" max="12" width="11.85546875" style="5" customWidth="1"/>
    <col min="13" max="13" width="11.7109375" style="5" customWidth="1"/>
    <col min="14" max="14" width="14.5703125" style="5" customWidth="1"/>
    <col min="15" max="15" width="18.5703125" style="5" bestFit="1" customWidth="1"/>
    <col min="16" max="16384" width="9.140625" style="5"/>
  </cols>
  <sheetData>
    <row r="1" spans="1:15" ht="30" x14ac:dyDescent="0.25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6</v>
      </c>
      <c r="H1" s="4" t="s">
        <v>8</v>
      </c>
      <c r="I1" s="4" t="s">
        <v>6</v>
      </c>
      <c r="J1" s="4" t="s">
        <v>9</v>
      </c>
      <c r="K1" s="4" t="s">
        <v>6</v>
      </c>
      <c r="L1" s="4" t="s">
        <v>10</v>
      </c>
      <c r="M1" s="4" t="s">
        <v>11</v>
      </c>
      <c r="N1" s="11" t="s">
        <v>91</v>
      </c>
      <c r="O1" s="4" t="s">
        <v>92</v>
      </c>
    </row>
    <row r="2" spans="1:15" x14ac:dyDescent="0.25">
      <c r="A2" s="10">
        <f>ROW()-1</f>
        <v>1</v>
      </c>
      <c r="B2" s="1" t="s">
        <v>4</v>
      </c>
      <c r="C2" s="1"/>
      <c r="D2" s="2">
        <v>46023</v>
      </c>
      <c r="E2" s="3">
        <v>7</v>
      </c>
      <c r="F2" s="2">
        <f>D2+E2</f>
        <v>46030</v>
      </c>
      <c r="G2" s="3">
        <v>3</v>
      </c>
      <c r="H2" s="2">
        <f>F2+G2</f>
        <v>46033</v>
      </c>
      <c r="I2" s="3"/>
      <c r="J2" s="2"/>
      <c r="K2" s="3"/>
      <c r="L2" s="3">
        <v>10</v>
      </c>
      <c r="M2" s="2">
        <f t="shared" ref="M2:M8" si="0">H2+L2</f>
        <v>46043</v>
      </c>
      <c r="N2" s="7" t="s">
        <v>90</v>
      </c>
      <c r="O2" s="6">
        <v>30</v>
      </c>
    </row>
    <row r="3" spans="1:15" x14ac:dyDescent="0.25">
      <c r="A3" s="10">
        <f t="shared" ref="A3:A66" si="1">ROW()-1</f>
        <v>2</v>
      </c>
      <c r="B3" s="1" t="s">
        <v>12</v>
      </c>
      <c r="C3" s="1"/>
      <c r="D3" s="2">
        <v>46023</v>
      </c>
      <c r="E3" s="3">
        <v>7</v>
      </c>
      <c r="F3" s="2">
        <f t="shared" ref="F3:F66" si="2">D3+E3</f>
        <v>46030</v>
      </c>
      <c r="G3" s="3">
        <v>3</v>
      </c>
      <c r="H3" s="2">
        <f t="shared" ref="H3:H66" si="3">F3+G3</f>
        <v>46033</v>
      </c>
      <c r="I3" s="3"/>
      <c r="J3" s="2"/>
      <c r="K3" s="3"/>
      <c r="L3" s="3">
        <v>10</v>
      </c>
      <c r="M3" s="2">
        <f t="shared" si="0"/>
        <v>46043</v>
      </c>
      <c r="N3" s="7" t="s">
        <v>90</v>
      </c>
      <c r="O3" s="6">
        <v>30</v>
      </c>
    </row>
    <row r="4" spans="1:15" x14ac:dyDescent="0.25">
      <c r="A4" s="6">
        <f t="shared" si="1"/>
        <v>3</v>
      </c>
      <c r="B4" s="7" t="s">
        <v>14</v>
      </c>
      <c r="C4" s="7" t="s">
        <v>3</v>
      </c>
      <c r="D4" s="8">
        <v>46023</v>
      </c>
      <c r="E4" s="6">
        <v>7</v>
      </c>
      <c r="F4" s="8">
        <f t="shared" si="2"/>
        <v>46030</v>
      </c>
      <c r="G4" s="6">
        <v>3</v>
      </c>
      <c r="H4" s="8">
        <f t="shared" si="3"/>
        <v>46033</v>
      </c>
      <c r="I4" s="6"/>
      <c r="J4" s="8"/>
      <c r="K4" s="6"/>
      <c r="L4" s="6">
        <v>60</v>
      </c>
      <c r="M4" s="8">
        <f t="shared" si="0"/>
        <v>46093</v>
      </c>
      <c r="N4" s="7"/>
      <c r="O4" s="6">
        <v>80</v>
      </c>
    </row>
    <row r="5" spans="1:15" x14ac:dyDescent="0.25">
      <c r="A5" s="6">
        <f t="shared" si="1"/>
        <v>4</v>
      </c>
      <c r="B5" s="7" t="s">
        <v>15</v>
      </c>
      <c r="C5" s="7" t="s">
        <v>85</v>
      </c>
      <c r="D5" s="8">
        <v>46023</v>
      </c>
      <c r="E5" s="6">
        <v>7</v>
      </c>
      <c r="F5" s="8">
        <f t="shared" si="2"/>
        <v>46030</v>
      </c>
      <c r="G5" s="6">
        <v>3</v>
      </c>
      <c r="H5" s="8">
        <f t="shared" si="3"/>
        <v>46033</v>
      </c>
      <c r="I5" s="6"/>
      <c r="J5" s="8"/>
      <c r="K5" s="6"/>
      <c r="L5" s="6">
        <v>10</v>
      </c>
      <c r="M5" s="8">
        <f t="shared" si="0"/>
        <v>46043</v>
      </c>
      <c r="N5" s="7"/>
      <c r="O5" s="6">
        <v>30</v>
      </c>
    </row>
    <row r="6" spans="1:15" x14ac:dyDescent="0.25">
      <c r="A6" s="6">
        <f t="shared" si="1"/>
        <v>5</v>
      </c>
      <c r="B6" s="1" t="s">
        <v>18</v>
      </c>
      <c r="C6" s="1"/>
      <c r="D6" s="2">
        <v>46023</v>
      </c>
      <c r="E6" s="3">
        <v>7</v>
      </c>
      <c r="F6" s="2">
        <f t="shared" si="2"/>
        <v>46030</v>
      </c>
      <c r="G6" s="3">
        <v>3</v>
      </c>
      <c r="H6" s="2">
        <f t="shared" si="3"/>
        <v>46033</v>
      </c>
      <c r="I6" s="3"/>
      <c r="J6" s="2"/>
      <c r="K6" s="3"/>
      <c r="L6" s="3">
        <v>10</v>
      </c>
      <c r="M6" s="2">
        <f t="shared" si="0"/>
        <v>46043</v>
      </c>
      <c r="N6" s="7" t="s">
        <v>90</v>
      </c>
      <c r="O6" s="6">
        <v>30</v>
      </c>
    </row>
    <row r="7" spans="1:15" x14ac:dyDescent="0.25">
      <c r="A7" s="6">
        <f t="shared" si="1"/>
        <v>6</v>
      </c>
      <c r="B7" s="7" t="s">
        <v>20</v>
      </c>
      <c r="C7" s="7" t="s">
        <v>17</v>
      </c>
      <c r="D7" s="8">
        <v>46023</v>
      </c>
      <c r="E7" s="6">
        <v>7</v>
      </c>
      <c r="F7" s="8">
        <f t="shared" si="2"/>
        <v>46030</v>
      </c>
      <c r="G7" s="6">
        <v>7</v>
      </c>
      <c r="H7" s="8">
        <f t="shared" si="3"/>
        <v>46037</v>
      </c>
      <c r="I7" s="6"/>
      <c r="J7" s="8"/>
      <c r="K7" s="6"/>
      <c r="L7" s="6">
        <v>30</v>
      </c>
      <c r="M7" s="8">
        <f t="shared" si="0"/>
        <v>46067</v>
      </c>
      <c r="N7" s="7"/>
      <c r="O7" s="6">
        <v>54</v>
      </c>
    </row>
    <row r="8" spans="1:15" x14ac:dyDescent="0.25">
      <c r="A8" s="6">
        <f t="shared" si="1"/>
        <v>7</v>
      </c>
      <c r="B8" s="7" t="s">
        <v>21</v>
      </c>
      <c r="C8" s="7" t="s">
        <v>85</v>
      </c>
      <c r="D8" s="8">
        <v>46023</v>
      </c>
      <c r="E8" s="6">
        <v>7</v>
      </c>
      <c r="F8" s="8">
        <f t="shared" si="2"/>
        <v>46030</v>
      </c>
      <c r="G8" s="6">
        <v>3</v>
      </c>
      <c r="H8" s="8">
        <f t="shared" si="3"/>
        <v>46033</v>
      </c>
      <c r="I8" s="6"/>
      <c r="J8" s="8"/>
      <c r="K8" s="6"/>
      <c r="L8" s="6">
        <v>7</v>
      </c>
      <c r="M8" s="8">
        <f t="shared" si="0"/>
        <v>46040</v>
      </c>
      <c r="N8" s="7"/>
      <c r="O8" s="6">
        <v>27</v>
      </c>
    </row>
    <row r="9" spans="1:15" x14ac:dyDescent="0.25">
      <c r="A9" s="6">
        <f t="shared" si="1"/>
        <v>8</v>
      </c>
      <c r="B9" s="1" t="s">
        <v>22</v>
      </c>
      <c r="C9" s="1"/>
      <c r="D9" s="2">
        <v>46023</v>
      </c>
      <c r="E9" s="3">
        <v>7</v>
      </c>
      <c r="F9" s="2">
        <f t="shared" si="2"/>
        <v>46030</v>
      </c>
      <c r="G9" s="3">
        <v>3</v>
      </c>
      <c r="H9" s="2">
        <f t="shared" si="3"/>
        <v>46033</v>
      </c>
      <c r="I9" s="3"/>
      <c r="J9" s="2"/>
      <c r="K9" s="3"/>
      <c r="L9" s="3">
        <v>10</v>
      </c>
      <c r="M9" s="2">
        <f t="shared" ref="M9:M11" si="4">H9+L9</f>
        <v>46043</v>
      </c>
      <c r="N9" s="7" t="s">
        <v>90</v>
      </c>
      <c r="O9" s="6">
        <v>30</v>
      </c>
    </row>
    <row r="10" spans="1:15" x14ac:dyDescent="0.25">
      <c r="A10" s="6">
        <f t="shared" si="1"/>
        <v>9</v>
      </c>
      <c r="B10" s="1" t="s">
        <v>24</v>
      </c>
      <c r="C10" s="1"/>
      <c r="D10" s="2">
        <v>46023</v>
      </c>
      <c r="E10" s="3">
        <v>7</v>
      </c>
      <c r="F10" s="2">
        <f t="shared" si="2"/>
        <v>46030</v>
      </c>
      <c r="G10" s="3">
        <v>3</v>
      </c>
      <c r="H10" s="2">
        <f t="shared" si="3"/>
        <v>46033</v>
      </c>
      <c r="I10" s="3"/>
      <c r="J10" s="2"/>
      <c r="K10" s="3"/>
      <c r="L10" s="3">
        <v>10</v>
      </c>
      <c r="M10" s="2">
        <f t="shared" si="4"/>
        <v>46043</v>
      </c>
      <c r="N10" s="7" t="s">
        <v>90</v>
      </c>
      <c r="O10" s="6">
        <v>30</v>
      </c>
    </row>
    <row r="11" spans="1:15" x14ac:dyDescent="0.25">
      <c r="A11" s="6">
        <f t="shared" si="1"/>
        <v>10</v>
      </c>
      <c r="B11" s="1" t="s">
        <v>26</v>
      </c>
      <c r="C11" s="1"/>
      <c r="D11" s="2">
        <v>46023</v>
      </c>
      <c r="E11" s="3">
        <v>7</v>
      </c>
      <c r="F11" s="2">
        <f t="shared" si="2"/>
        <v>46030</v>
      </c>
      <c r="G11" s="3">
        <v>3</v>
      </c>
      <c r="H11" s="2">
        <f t="shared" si="3"/>
        <v>46033</v>
      </c>
      <c r="I11" s="3"/>
      <c r="J11" s="2"/>
      <c r="K11" s="3"/>
      <c r="L11" s="3">
        <v>10</v>
      </c>
      <c r="M11" s="2">
        <f t="shared" si="4"/>
        <v>46043</v>
      </c>
      <c r="N11" s="7" t="s">
        <v>90</v>
      </c>
      <c r="O11" s="6">
        <v>30</v>
      </c>
    </row>
    <row r="12" spans="1:15" x14ac:dyDescent="0.25">
      <c r="A12" s="6">
        <f t="shared" si="1"/>
        <v>11</v>
      </c>
      <c r="B12" s="7" t="s">
        <v>28</v>
      </c>
      <c r="C12" s="7" t="s">
        <v>85</v>
      </c>
      <c r="D12" s="8">
        <v>46023</v>
      </c>
      <c r="E12" s="6">
        <v>7</v>
      </c>
      <c r="F12" s="8">
        <f t="shared" si="2"/>
        <v>46030</v>
      </c>
      <c r="G12" s="6">
        <v>3</v>
      </c>
      <c r="H12" s="8">
        <f t="shared" si="3"/>
        <v>46033</v>
      </c>
      <c r="I12" s="6"/>
      <c r="J12" s="8"/>
      <c r="K12" s="6"/>
      <c r="L12" s="6">
        <v>30</v>
      </c>
      <c r="M12" s="8">
        <f>H12+L12</f>
        <v>46063</v>
      </c>
      <c r="N12" s="7"/>
      <c r="O12" s="6">
        <v>50</v>
      </c>
    </row>
    <row r="13" spans="1:15" x14ac:dyDescent="0.25">
      <c r="A13" s="6">
        <f t="shared" si="1"/>
        <v>12</v>
      </c>
      <c r="B13" s="7" t="s">
        <v>30</v>
      </c>
      <c r="C13" s="7" t="s">
        <v>13</v>
      </c>
      <c r="D13" s="8">
        <v>46023</v>
      </c>
      <c r="E13" s="6">
        <v>7</v>
      </c>
      <c r="F13" s="8">
        <f t="shared" si="2"/>
        <v>46030</v>
      </c>
      <c r="G13" s="6">
        <v>3</v>
      </c>
      <c r="H13" s="8">
        <f t="shared" si="3"/>
        <v>46033</v>
      </c>
      <c r="I13" s="6"/>
      <c r="J13" s="8"/>
      <c r="K13" s="6"/>
      <c r="L13" s="6">
        <v>10</v>
      </c>
      <c r="M13" s="8">
        <f>H13+L13</f>
        <v>46043</v>
      </c>
      <c r="N13" s="7"/>
      <c r="O13" s="6">
        <v>30</v>
      </c>
    </row>
    <row r="14" spans="1:15" x14ac:dyDescent="0.25">
      <c r="A14" s="6">
        <f t="shared" si="1"/>
        <v>13</v>
      </c>
      <c r="B14" s="1" t="s">
        <v>32</v>
      </c>
      <c r="C14" s="1"/>
      <c r="D14" s="2">
        <v>46023</v>
      </c>
      <c r="E14" s="3">
        <v>7</v>
      </c>
      <c r="F14" s="2">
        <f t="shared" si="2"/>
        <v>46030</v>
      </c>
      <c r="G14" s="3">
        <v>3</v>
      </c>
      <c r="H14" s="2">
        <f t="shared" si="3"/>
        <v>46033</v>
      </c>
      <c r="I14" s="3"/>
      <c r="J14" s="2"/>
      <c r="K14" s="3"/>
      <c r="L14" s="3">
        <v>10</v>
      </c>
      <c r="M14" s="2">
        <f>H14+L14</f>
        <v>46043</v>
      </c>
      <c r="N14" s="7" t="s">
        <v>90</v>
      </c>
      <c r="O14" s="6">
        <v>30</v>
      </c>
    </row>
    <row r="15" spans="1:15" x14ac:dyDescent="0.25">
      <c r="A15" s="6">
        <f t="shared" si="1"/>
        <v>14</v>
      </c>
      <c r="B15" s="7" t="s">
        <v>34</v>
      </c>
      <c r="C15" s="7" t="s">
        <v>85</v>
      </c>
      <c r="D15" s="8">
        <v>46023</v>
      </c>
      <c r="E15" s="6">
        <v>7</v>
      </c>
      <c r="F15" s="8">
        <f t="shared" si="2"/>
        <v>46030</v>
      </c>
      <c r="G15" s="6">
        <v>3</v>
      </c>
      <c r="H15" s="8">
        <f t="shared" si="3"/>
        <v>46033</v>
      </c>
      <c r="I15" s="6"/>
      <c r="J15" s="8"/>
      <c r="K15" s="6"/>
      <c r="L15" s="6">
        <v>10</v>
      </c>
      <c r="M15" s="8">
        <f t="shared" ref="M15:M18" si="5">H15+L15</f>
        <v>46043</v>
      </c>
      <c r="N15" s="7"/>
      <c r="O15" s="6">
        <v>30</v>
      </c>
    </row>
    <row r="16" spans="1:15" x14ac:dyDescent="0.25">
      <c r="A16" s="6">
        <f t="shared" si="1"/>
        <v>15</v>
      </c>
      <c r="B16" s="7" t="s">
        <v>35</v>
      </c>
      <c r="C16" s="7" t="s">
        <v>85</v>
      </c>
      <c r="D16" s="8">
        <v>46023</v>
      </c>
      <c r="E16" s="6">
        <v>7</v>
      </c>
      <c r="F16" s="8">
        <f t="shared" si="2"/>
        <v>46030</v>
      </c>
      <c r="G16" s="6">
        <v>3</v>
      </c>
      <c r="H16" s="8">
        <f t="shared" si="3"/>
        <v>46033</v>
      </c>
      <c r="I16" s="6"/>
      <c r="J16" s="8"/>
      <c r="K16" s="6"/>
      <c r="L16" s="6">
        <v>10</v>
      </c>
      <c r="M16" s="8">
        <f t="shared" si="5"/>
        <v>46043</v>
      </c>
      <c r="N16" s="7"/>
      <c r="O16" s="6">
        <v>30</v>
      </c>
    </row>
    <row r="17" spans="1:15" x14ac:dyDescent="0.25">
      <c r="A17" s="6">
        <f t="shared" si="1"/>
        <v>16</v>
      </c>
      <c r="B17" s="7" t="s">
        <v>36</v>
      </c>
      <c r="C17" s="7" t="s">
        <v>85</v>
      </c>
      <c r="D17" s="8">
        <v>46023</v>
      </c>
      <c r="E17" s="6">
        <v>7</v>
      </c>
      <c r="F17" s="8">
        <f t="shared" si="2"/>
        <v>46030</v>
      </c>
      <c r="G17" s="6">
        <v>3</v>
      </c>
      <c r="H17" s="8">
        <f t="shared" si="3"/>
        <v>46033</v>
      </c>
      <c r="I17" s="6"/>
      <c r="J17" s="8"/>
      <c r="K17" s="6"/>
      <c r="L17" s="6">
        <v>30</v>
      </c>
      <c r="M17" s="8">
        <f t="shared" si="5"/>
        <v>46063</v>
      </c>
      <c r="N17" s="7"/>
      <c r="O17" s="6">
        <v>50</v>
      </c>
    </row>
    <row r="18" spans="1:15" x14ac:dyDescent="0.25">
      <c r="A18" s="6">
        <f t="shared" si="1"/>
        <v>17</v>
      </c>
      <c r="B18" s="7" t="s">
        <v>37</v>
      </c>
      <c r="C18" s="7" t="s">
        <v>85</v>
      </c>
      <c r="D18" s="8">
        <v>46023</v>
      </c>
      <c r="E18" s="6">
        <v>7</v>
      </c>
      <c r="F18" s="8">
        <f t="shared" si="2"/>
        <v>46030</v>
      </c>
      <c r="G18" s="6">
        <v>3</v>
      </c>
      <c r="H18" s="8">
        <f t="shared" si="3"/>
        <v>46033</v>
      </c>
      <c r="I18" s="6"/>
      <c r="J18" s="8"/>
      <c r="K18" s="6"/>
      <c r="L18" s="6">
        <v>30</v>
      </c>
      <c r="M18" s="8">
        <f t="shared" si="5"/>
        <v>46063</v>
      </c>
      <c r="N18" s="7"/>
      <c r="O18" s="6">
        <v>50</v>
      </c>
    </row>
    <row r="19" spans="1:15" x14ac:dyDescent="0.25">
      <c r="A19" s="6">
        <f t="shared" si="1"/>
        <v>18</v>
      </c>
      <c r="B19" s="7" t="s">
        <v>38</v>
      </c>
      <c r="C19" s="7" t="s">
        <v>3</v>
      </c>
      <c r="D19" s="8">
        <v>46023</v>
      </c>
      <c r="E19" s="6">
        <v>7</v>
      </c>
      <c r="F19" s="8">
        <f t="shared" si="2"/>
        <v>46030</v>
      </c>
      <c r="G19" s="6">
        <v>3</v>
      </c>
      <c r="H19" s="8">
        <f t="shared" si="3"/>
        <v>46033</v>
      </c>
      <c r="I19" s="6"/>
      <c r="J19" s="8"/>
      <c r="K19" s="6"/>
      <c r="L19" s="6">
        <v>21</v>
      </c>
      <c r="M19" s="8">
        <f>H19+L19</f>
        <v>46054</v>
      </c>
      <c r="N19" s="7"/>
      <c r="O19" s="6">
        <v>41</v>
      </c>
    </row>
    <row r="20" spans="1:15" x14ac:dyDescent="0.25">
      <c r="A20" s="6">
        <f t="shared" si="1"/>
        <v>19</v>
      </c>
      <c r="B20" s="1" t="s">
        <v>39</v>
      </c>
      <c r="C20" s="1"/>
      <c r="D20" s="2">
        <v>46023</v>
      </c>
      <c r="E20" s="3">
        <v>7</v>
      </c>
      <c r="F20" s="2">
        <f t="shared" si="2"/>
        <v>46030</v>
      </c>
      <c r="G20" s="3">
        <v>3</v>
      </c>
      <c r="H20" s="2">
        <f t="shared" si="3"/>
        <v>46033</v>
      </c>
      <c r="I20" s="3"/>
      <c r="J20" s="2"/>
      <c r="K20" s="3"/>
      <c r="L20" s="3">
        <v>10</v>
      </c>
      <c r="M20" s="2">
        <f t="shared" ref="M20:M21" si="6">H20+L20</f>
        <v>46043</v>
      </c>
      <c r="N20" s="7" t="s">
        <v>90</v>
      </c>
      <c r="O20" s="6">
        <v>30</v>
      </c>
    </row>
    <row r="21" spans="1:15" x14ac:dyDescent="0.25">
      <c r="A21" s="6">
        <f t="shared" si="1"/>
        <v>20</v>
      </c>
      <c r="B21" s="1" t="s">
        <v>40</v>
      </c>
      <c r="C21" s="1"/>
      <c r="D21" s="2">
        <v>46023</v>
      </c>
      <c r="E21" s="3">
        <v>7</v>
      </c>
      <c r="F21" s="2">
        <f t="shared" si="2"/>
        <v>46030</v>
      </c>
      <c r="G21" s="3">
        <v>3</v>
      </c>
      <c r="H21" s="2">
        <f t="shared" si="3"/>
        <v>46033</v>
      </c>
      <c r="I21" s="3"/>
      <c r="J21" s="2"/>
      <c r="K21" s="3"/>
      <c r="L21" s="3">
        <v>10</v>
      </c>
      <c r="M21" s="2">
        <f t="shared" si="6"/>
        <v>46043</v>
      </c>
      <c r="N21" s="7" t="s">
        <v>90</v>
      </c>
      <c r="O21" s="6">
        <v>30</v>
      </c>
    </row>
    <row r="22" spans="1:15" x14ac:dyDescent="0.25">
      <c r="A22" s="6">
        <f t="shared" si="1"/>
        <v>21</v>
      </c>
      <c r="B22" s="7" t="s">
        <v>41</v>
      </c>
      <c r="C22" s="7" t="s">
        <v>13</v>
      </c>
      <c r="D22" s="8">
        <v>46023</v>
      </c>
      <c r="E22" s="6">
        <v>7</v>
      </c>
      <c r="F22" s="8">
        <f t="shared" si="2"/>
        <v>46030</v>
      </c>
      <c r="G22" s="6">
        <v>3</v>
      </c>
      <c r="H22" s="8">
        <f t="shared" si="3"/>
        <v>46033</v>
      </c>
      <c r="I22" s="6">
        <v>3</v>
      </c>
      <c r="J22" s="8">
        <f>H22+I22</f>
        <v>46036</v>
      </c>
      <c r="K22" s="6">
        <v>4</v>
      </c>
      <c r="L22" s="6">
        <v>75</v>
      </c>
      <c r="M22" s="8">
        <f>J22+K22+L22</f>
        <v>46115</v>
      </c>
      <c r="N22" s="7"/>
      <c r="O22" s="6">
        <v>102</v>
      </c>
    </row>
    <row r="23" spans="1:15" x14ac:dyDescent="0.25">
      <c r="A23" s="6">
        <f t="shared" si="1"/>
        <v>22</v>
      </c>
      <c r="B23" s="1" t="s">
        <v>43</v>
      </c>
      <c r="C23" s="1"/>
      <c r="D23" s="2">
        <v>46023</v>
      </c>
      <c r="E23" s="3">
        <v>7</v>
      </c>
      <c r="F23" s="2">
        <f t="shared" si="2"/>
        <v>46030</v>
      </c>
      <c r="G23" s="3">
        <v>3</v>
      </c>
      <c r="H23" s="2">
        <f t="shared" si="3"/>
        <v>46033</v>
      </c>
      <c r="I23" s="3"/>
      <c r="J23" s="2"/>
      <c r="K23" s="3"/>
      <c r="L23" s="3">
        <v>10</v>
      </c>
      <c r="M23" s="2">
        <f>H23+L23</f>
        <v>46043</v>
      </c>
      <c r="N23" s="7" t="s">
        <v>90</v>
      </c>
      <c r="O23" s="6">
        <v>30</v>
      </c>
    </row>
    <row r="24" spans="1:15" x14ac:dyDescent="0.25">
      <c r="A24" s="6">
        <f t="shared" si="1"/>
        <v>23</v>
      </c>
      <c r="B24" s="7" t="s">
        <v>45</v>
      </c>
      <c r="C24" s="7" t="s">
        <v>25</v>
      </c>
      <c r="D24" s="8">
        <v>46023</v>
      </c>
      <c r="E24" s="6">
        <v>7</v>
      </c>
      <c r="F24" s="8">
        <f t="shared" si="2"/>
        <v>46030</v>
      </c>
      <c r="G24" s="6">
        <v>3</v>
      </c>
      <c r="H24" s="8">
        <f t="shared" si="3"/>
        <v>46033</v>
      </c>
      <c r="I24" s="6"/>
      <c r="J24" s="8"/>
      <c r="K24" s="6"/>
      <c r="L24" s="6">
        <v>15</v>
      </c>
      <c r="M24" s="8">
        <f t="shared" ref="M24:M32" si="7">H24+L24</f>
        <v>46048</v>
      </c>
      <c r="N24" s="7"/>
      <c r="O24" s="6">
        <v>35</v>
      </c>
    </row>
    <row r="25" spans="1:15" x14ac:dyDescent="0.25">
      <c r="A25" s="6">
        <f t="shared" si="1"/>
        <v>24</v>
      </c>
      <c r="B25" s="7" t="s">
        <v>46</v>
      </c>
      <c r="C25" s="7" t="s">
        <v>25</v>
      </c>
      <c r="D25" s="8">
        <v>46023</v>
      </c>
      <c r="E25" s="6">
        <v>7</v>
      </c>
      <c r="F25" s="8">
        <f t="shared" si="2"/>
        <v>46030</v>
      </c>
      <c r="G25" s="6">
        <v>3</v>
      </c>
      <c r="H25" s="8">
        <f t="shared" si="3"/>
        <v>46033</v>
      </c>
      <c r="I25" s="6"/>
      <c r="J25" s="8"/>
      <c r="K25" s="6"/>
      <c r="L25" s="6">
        <v>15</v>
      </c>
      <c r="M25" s="8">
        <f t="shared" si="7"/>
        <v>46048</v>
      </c>
      <c r="N25" s="7"/>
      <c r="O25" s="6">
        <v>35</v>
      </c>
    </row>
    <row r="26" spans="1:15" x14ac:dyDescent="0.25">
      <c r="A26" s="6">
        <f t="shared" si="1"/>
        <v>25</v>
      </c>
      <c r="B26" s="7" t="s">
        <v>47</v>
      </c>
      <c r="C26" s="7" t="s">
        <v>85</v>
      </c>
      <c r="D26" s="8">
        <v>46023</v>
      </c>
      <c r="E26" s="6">
        <v>7</v>
      </c>
      <c r="F26" s="8">
        <f t="shared" si="2"/>
        <v>46030</v>
      </c>
      <c r="G26" s="6">
        <v>3</v>
      </c>
      <c r="H26" s="8">
        <f t="shared" si="3"/>
        <v>46033</v>
      </c>
      <c r="I26" s="6"/>
      <c r="J26" s="8"/>
      <c r="K26" s="6"/>
      <c r="L26" s="6">
        <v>30</v>
      </c>
      <c r="M26" s="8">
        <f t="shared" si="7"/>
        <v>46063</v>
      </c>
      <c r="N26" s="7"/>
      <c r="O26" s="6">
        <v>50</v>
      </c>
    </row>
    <row r="27" spans="1:15" x14ac:dyDescent="0.25">
      <c r="A27" s="6">
        <f t="shared" si="1"/>
        <v>26</v>
      </c>
      <c r="B27" s="7" t="s">
        <v>48</v>
      </c>
      <c r="C27" s="7" t="s">
        <v>85</v>
      </c>
      <c r="D27" s="8">
        <v>46023</v>
      </c>
      <c r="E27" s="6">
        <v>7</v>
      </c>
      <c r="F27" s="8">
        <f t="shared" si="2"/>
        <v>46030</v>
      </c>
      <c r="G27" s="6">
        <v>3</v>
      </c>
      <c r="H27" s="8">
        <f t="shared" si="3"/>
        <v>46033</v>
      </c>
      <c r="I27" s="6"/>
      <c r="J27" s="8"/>
      <c r="K27" s="6"/>
      <c r="L27" s="6">
        <v>7</v>
      </c>
      <c r="M27" s="8">
        <f t="shared" si="7"/>
        <v>46040</v>
      </c>
      <c r="N27" s="7"/>
      <c r="O27" s="6">
        <v>27</v>
      </c>
    </row>
    <row r="28" spans="1:15" x14ac:dyDescent="0.25">
      <c r="A28" s="6">
        <f t="shared" si="1"/>
        <v>27</v>
      </c>
      <c r="B28" s="7" t="s">
        <v>16</v>
      </c>
      <c r="C28" s="7" t="s">
        <v>17</v>
      </c>
      <c r="D28" s="8">
        <v>46023</v>
      </c>
      <c r="E28" s="6"/>
      <c r="F28" s="8"/>
      <c r="G28" s="6"/>
      <c r="H28" s="8"/>
      <c r="I28" s="6"/>
      <c r="J28" s="8"/>
      <c r="K28" s="6"/>
      <c r="L28" s="6">
        <v>6</v>
      </c>
      <c r="M28" s="8">
        <f>D28+L28</f>
        <v>46029</v>
      </c>
      <c r="N28" s="7"/>
      <c r="O28" s="6">
        <v>16</v>
      </c>
    </row>
    <row r="29" spans="1:15" x14ac:dyDescent="0.25">
      <c r="A29" s="6">
        <f t="shared" si="1"/>
        <v>28</v>
      </c>
      <c r="B29" s="7" t="s">
        <v>49</v>
      </c>
      <c r="C29" s="7" t="s">
        <v>25</v>
      </c>
      <c r="D29" s="8">
        <v>46023</v>
      </c>
      <c r="E29" s="6">
        <v>7</v>
      </c>
      <c r="F29" s="8">
        <f t="shared" si="2"/>
        <v>46030</v>
      </c>
      <c r="G29" s="6">
        <v>3</v>
      </c>
      <c r="H29" s="8">
        <f t="shared" si="3"/>
        <v>46033</v>
      </c>
      <c r="I29" s="6"/>
      <c r="J29" s="8"/>
      <c r="K29" s="6"/>
      <c r="L29" s="6">
        <v>30</v>
      </c>
      <c r="M29" s="8">
        <f t="shared" si="7"/>
        <v>46063</v>
      </c>
      <c r="N29" s="7"/>
      <c r="O29" s="6">
        <v>50</v>
      </c>
    </row>
    <row r="30" spans="1:15" x14ac:dyDescent="0.25">
      <c r="A30" s="6">
        <f t="shared" si="1"/>
        <v>29</v>
      </c>
      <c r="B30" s="7" t="s">
        <v>51</v>
      </c>
      <c r="C30" s="7" t="s">
        <v>85</v>
      </c>
      <c r="D30" s="8">
        <v>46023</v>
      </c>
      <c r="E30" s="6">
        <v>7</v>
      </c>
      <c r="F30" s="8">
        <f t="shared" si="2"/>
        <v>46030</v>
      </c>
      <c r="G30" s="6">
        <v>3</v>
      </c>
      <c r="H30" s="8">
        <f t="shared" si="3"/>
        <v>46033</v>
      </c>
      <c r="I30" s="6"/>
      <c r="J30" s="8"/>
      <c r="K30" s="6"/>
      <c r="L30" s="6">
        <v>75</v>
      </c>
      <c r="M30" s="8">
        <f t="shared" si="7"/>
        <v>46108</v>
      </c>
      <c r="N30" s="7"/>
      <c r="O30" s="6">
        <v>95</v>
      </c>
    </row>
    <row r="31" spans="1:15" x14ac:dyDescent="0.25">
      <c r="A31" s="6">
        <f t="shared" si="1"/>
        <v>30</v>
      </c>
      <c r="B31" s="7" t="s">
        <v>27</v>
      </c>
      <c r="C31" s="7" t="s">
        <v>25</v>
      </c>
      <c r="D31" s="8">
        <v>46023</v>
      </c>
      <c r="E31" s="6">
        <v>7</v>
      </c>
      <c r="F31" s="8">
        <f t="shared" si="2"/>
        <v>46030</v>
      </c>
      <c r="G31" s="6">
        <v>3</v>
      </c>
      <c r="H31" s="8">
        <f t="shared" si="3"/>
        <v>46033</v>
      </c>
      <c r="I31" s="6"/>
      <c r="J31" s="8"/>
      <c r="K31" s="6"/>
      <c r="L31" s="6">
        <v>30</v>
      </c>
      <c r="M31" s="8">
        <f t="shared" si="7"/>
        <v>46063</v>
      </c>
      <c r="N31" s="7"/>
      <c r="O31" s="6">
        <v>50</v>
      </c>
    </row>
    <row r="32" spans="1:15" x14ac:dyDescent="0.25">
      <c r="A32" s="6">
        <f t="shared" si="1"/>
        <v>31</v>
      </c>
      <c r="B32" s="7" t="s">
        <v>52</v>
      </c>
      <c r="C32" s="7" t="s">
        <v>85</v>
      </c>
      <c r="D32" s="8">
        <v>46023</v>
      </c>
      <c r="E32" s="6">
        <v>7</v>
      </c>
      <c r="F32" s="8">
        <f t="shared" si="2"/>
        <v>46030</v>
      </c>
      <c r="G32" s="6">
        <v>3</v>
      </c>
      <c r="H32" s="8">
        <f t="shared" si="3"/>
        <v>46033</v>
      </c>
      <c r="I32" s="6"/>
      <c r="J32" s="8"/>
      <c r="K32" s="6"/>
      <c r="L32" s="6">
        <v>75</v>
      </c>
      <c r="M32" s="8">
        <f t="shared" si="7"/>
        <v>46108</v>
      </c>
      <c r="N32" s="7"/>
      <c r="O32" s="6">
        <v>95</v>
      </c>
    </row>
    <row r="33" spans="1:15" x14ac:dyDescent="0.25">
      <c r="A33" s="6">
        <f t="shared" si="1"/>
        <v>32</v>
      </c>
      <c r="B33" s="1" t="s">
        <v>53</v>
      </c>
      <c r="C33" s="1"/>
      <c r="D33" s="2">
        <v>46023</v>
      </c>
      <c r="E33" s="3">
        <v>7</v>
      </c>
      <c r="F33" s="2">
        <f t="shared" si="2"/>
        <v>46030</v>
      </c>
      <c r="G33" s="3">
        <v>3</v>
      </c>
      <c r="H33" s="2">
        <f t="shared" si="3"/>
        <v>46033</v>
      </c>
      <c r="I33" s="3"/>
      <c r="J33" s="2"/>
      <c r="K33" s="3"/>
      <c r="L33" s="3">
        <v>10</v>
      </c>
      <c r="M33" s="2">
        <f t="shared" ref="M33:M35" si="8">H33+L33</f>
        <v>46043</v>
      </c>
      <c r="N33" s="7" t="s">
        <v>90</v>
      </c>
      <c r="O33" s="6">
        <v>30</v>
      </c>
    </row>
    <row r="34" spans="1:15" x14ac:dyDescent="0.25">
      <c r="A34" s="10">
        <f t="shared" si="1"/>
        <v>33</v>
      </c>
      <c r="B34" s="14" t="s">
        <v>54</v>
      </c>
      <c r="C34" s="14" t="s">
        <v>89</v>
      </c>
      <c r="D34" s="15">
        <v>46023</v>
      </c>
      <c r="E34" s="10">
        <v>7</v>
      </c>
      <c r="F34" s="15">
        <f t="shared" si="2"/>
        <v>46030</v>
      </c>
      <c r="G34" s="10">
        <v>3</v>
      </c>
      <c r="H34" s="15">
        <f t="shared" si="3"/>
        <v>46033</v>
      </c>
      <c r="I34" s="10"/>
      <c r="J34" s="15"/>
      <c r="K34" s="10"/>
      <c r="L34" s="10">
        <v>3</v>
      </c>
      <c r="M34" s="15">
        <f t="shared" si="8"/>
        <v>46036</v>
      </c>
      <c r="N34" s="13"/>
      <c r="O34" s="10">
        <v>23</v>
      </c>
    </row>
    <row r="35" spans="1:15" x14ac:dyDescent="0.25">
      <c r="A35" s="6">
        <f t="shared" si="1"/>
        <v>34</v>
      </c>
      <c r="B35" s="1" t="s">
        <v>55</v>
      </c>
      <c r="C35" s="1"/>
      <c r="D35" s="2">
        <v>46023</v>
      </c>
      <c r="E35" s="3">
        <v>7</v>
      </c>
      <c r="F35" s="2">
        <f t="shared" si="2"/>
        <v>46030</v>
      </c>
      <c r="G35" s="3">
        <v>3</v>
      </c>
      <c r="H35" s="2">
        <f t="shared" si="3"/>
        <v>46033</v>
      </c>
      <c r="I35" s="3"/>
      <c r="J35" s="2"/>
      <c r="K35" s="3"/>
      <c r="L35" s="3">
        <v>10</v>
      </c>
      <c r="M35" s="2">
        <f t="shared" si="8"/>
        <v>46043</v>
      </c>
      <c r="N35" s="7" t="s">
        <v>90</v>
      </c>
      <c r="O35" s="6">
        <v>30</v>
      </c>
    </row>
    <row r="36" spans="1:15" x14ac:dyDescent="0.25">
      <c r="A36" s="6">
        <f t="shared" si="1"/>
        <v>35</v>
      </c>
      <c r="B36" s="7" t="s">
        <v>56</v>
      </c>
      <c r="C36" s="7" t="s">
        <v>85</v>
      </c>
      <c r="D36" s="8">
        <v>46023</v>
      </c>
      <c r="E36" s="6">
        <v>7</v>
      </c>
      <c r="F36" s="8">
        <f t="shared" si="2"/>
        <v>46030</v>
      </c>
      <c r="G36" s="6">
        <v>3</v>
      </c>
      <c r="H36" s="8">
        <f t="shared" si="3"/>
        <v>46033</v>
      </c>
      <c r="I36" s="6"/>
      <c r="J36" s="8"/>
      <c r="K36" s="6"/>
      <c r="L36" s="6">
        <v>10</v>
      </c>
      <c r="M36" s="8">
        <f>H36+L36</f>
        <v>46043</v>
      </c>
      <c r="N36" s="7"/>
      <c r="O36" s="6">
        <v>30</v>
      </c>
    </row>
    <row r="37" spans="1:15" x14ac:dyDescent="0.25">
      <c r="A37" s="6">
        <f t="shared" si="1"/>
        <v>36</v>
      </c>
      <c r="B37" s="7" t="s">
        <v>57</v>
      </c>
      <c r="C37" s="7" t="s">
        <v>85</v>
      </c>
      <c r="D37" s="8">
        <v>46023</v>
      </c>
      <c r="E37" s="6">
        <v>7</v>
      </c>
      <c r="F37" s="8">
        <f t="shared" si="2"/>
        <v>46030</v>
      </c>
      <c r="G37" s="6">
        <v>10</v>
      </c>
      <c r="H37" s="8">
        <f t="shared" si="3"/>
        <v>46040</v>
      </c>
      <c r="I37" s="6"/>
      <c r="J37" s="8"/>
      <c r="K37" s="6"/>
      <c r="L37" s="6">
        <v>10</v>
      </c>
      <c r="M37" s="8">
        <f>H37+L37</f>
        <v>46050</v>
      </c>
      <c r="N37" s="7"/>
      <c r="O37" s="6">
        <v>37</v>
      </c>
    </row>
    <row r="38" spans="1:15" x14ac:dyDescent="0.25">
      <c r="A38" s="6">
        <f t="shared" si="1"/>
        <v>37</v>
      </c>
      <c r="B38" s="7" t="s">
        <v>58</v>
      </c>
      <c r="C38" s="7" t="s">
        <v>85</v>
      </c>
      <c r="D38" s="8">
        <v>46023</v>
      </c>
      <c r="E38" s="6">
        <v>7</v>
      </c>
      <c r="F38" s="8">
        <f t="shared" si="2"/>
        <v>46030</v>
      </c>
      <c r="G38" s="6">
        <v>3</v>
      </c>
      <c r="H38" s="8">
        <f t="shared" si="3"/>
        <v>46033</v>
      </c>
      <c r="I38" s="6">
        <v>1</v>
      </c>
      <c r="J38" s="8">
        <f>H38+I38</f>
        <v>46034</v>
      </c>
      <c r="K38" s="6">
        <v>4</v>
      </c>
      <c r="L38" s="6">
        <v>60</v>
      </c>
      <c r="M38" s="8">
        <f>J38+K38+L38</f>
        <v>46098</v>
      </c>
      <c r="N38" s="7"/>
      <c r="O38" s="6">
        <v>85</v>
      </c>
    </row>
    <row r="39" spans="1:15" x14ac:dyDescent="0.25">
      <c r="A39" s="6">
        <f t="shared" si="1"/>
        <v>38</v>
      </c>
      <c r="B39" s="7" t="s">
        <v>59</v>
      </c>
      <c r="C39" s="7" t="s">
        <v>25</v>
      </c>
      <c r="D39" s="8">
        <v>46023</v>
      </c>
      <c r="E39" s="6">
        <v>7</v>
      </c>
      <c r="F39" s="8">
        <f t="shared" si="2"/>
        <v>46030</v>
      </c>
      <c r="G39" s="6">
        <v>3</v>
      </c>
      <c r="H39" s="8">
        <f t="shared" si="3"/>
        <v>46033</v>
      </c>
      <c r="I39" s="6"/>
      <c r="J39" s="8"/>
      <c r="K39" s="6"/>
      <c r="L39" s="6">
        <v>30</v>
      </c>
      <c r="M39" s="8">
        <f>H39+L39</f>
        <v>46063</v>
      </c>
      <c r="N39" s="7"/>
      <c r="O39" s="6">
        <v>50</v>
      </c>
    </row>
    <row r="40" spans="1:15" x14ac:dyDescent="0.25">
      <c r="A40" s="6">
        <f t="shared" si="1"/>
        <v>39</v>
      </c>
      <c r="B40" s="7" t="s">
        <v>60</v>
      </c>
      <c r="C40" s="7" t="s">
        <v>17</v>
      </c>
      <c r="D40" s="8">
        <v>46023</v>
      </c>
      <c r="E40" s="6">
        <v>7</v>
      </c>
      <c r="F40" s="8">
        <f t="shared" si="2"/>
        <v>46030</v>
      </c>
      <c r="G40" s="6">
        <v>7</v>
      </c>
      <c r="H40" s="8">
        <f t="shared" si="3"/>
        <v>46037</v>
      </c>
      <c r="I40" s="6"/>
      <c r="J40" s="8"/>
      <c r="K40" s="6"/>
      <c r="L40" s="6">
        <v>15</v>
      </c>
      <c r="M40" s="8">
        <f>H40+L40</f>
        <v>46052</v>
      </c>
      <c r="N40" s="7"/>
      <c r="O40" s="6">
        <v>39</v>
      </c>
    </row>
    <row r="41" spans="1:15" x14ac:dyDescent="0.25">
      <c r="A41" s="6">
        <f t="shared" si="1"/>
        <v>40</v>
      </c>
      <c r="B41" s="7" t="s">
        <v>61</v>
      </c>
      <c r="C41" s="7" t="s">
        <v>85</v>
      </c>
      <c r="D41" s="8">
        <v>46023</v>
      </c>
      <c r="E41" s="6">
        <v>7</v>
      </c>
      <c r="F41" s="8">
        <f t="shared" si="2"/>
        <v>46030</v>
      </c>
      <c r="G41" s="6">
        <v>3</v>
      </c>
      <c r="H41" s="8">
        <f t="shared" si="3"/>
        <v>46033</v>
      </c>
      <c r="I41" s="6">
        <v>1</v>
      </c>
      <c r="J41" s="8">
        <f>H41+I41</f>
        <v>46034</v>
      </c>
      <c r="K41" s="6">
        <v>4</v>
      </c>
      <c r="L41" s="6">
        <v>90</v>
      </c>
      <c r="M41" s="8">
        <f>J41+K41+L41</f>
        <v>46128</v>
      </c>
      <c r="N41" s="7"/>
      <c r="O41" s="6">
        <v>115</v>
      </c>
    </row>
    <row r="42" spans="1:15" x14ac:dyDescent="0.25">
      <c r="A42" s="6">
        <f t="shared" si="1"/>
        <v>41</v>
      </c>
      <c r="B42" s="7" t="s">
        <v>62</v>
      </c>
      <c r="C42" s="7" t="s">
        <v>85</v>
      </c>
      <c r="D42" s="8">
        <v>46023</v>
      </c>
      <c r="E42" s="6"/>
      <c r="F42" s="8"/>
      <c r="G42" s="6"/>
      <c r="H42" s="8"/>
      <c r="I42" s="6"/>
      <c r="J42" s="8"/>
      <c r="K42" s="6"/>
      <c r="L42" s="6">
        <v>0</v>
      </c>
      <c r="M42" s="8">
        <f>D42+L42</f>
        <v>46023</v>
      </c>
      <c r="N42" s="12" t="s">
        <v>86</v>
      </c>
      <c r="O42" s="6">
        <v>10</v>
      </c>
    </row>
    <row r="43" spans="1:15" x14ac:dyDescent="0.25">
      <c r="A43" s="6">
        <f t="shared" si="1"/>
        <v>42</v>
      </c>
      <c r="B43" s="1" t="s">
        <v>63</v>
      </c>
      <c r="C43" s="1"/>
      <c r="D43" s="2">
        <v>46023</v>
      </c>
      <c r="E43" s="3">
        <v>7</v>
      </c>
      <c r="F43" s="2">
        <f t="shared" si="2"/>
        <v>46030</v>
      </c>
      <c r="G43" s="3">
        <v>3</v>
      </c>
      <c r="H43" s="2">
        <f t="shared" si="3"/>
        <v>46033</v>
      </c>
      <c r="I43" s="3"/>
      <c r="J43" s="2"/>
      <c r="K43" s="3"/>
      <c r="L43" s="3">
        <v>10</v>
      </c>
      <c r="M43" s="2">
        <f>H43+L43</f>
        <v>46043</v>
      </c>
      <c r="N43" s="7" t="s">
        <v>90</v>
      </c>
      <c r="O43" s="6">
        <v>30</v>
      </c>
    </row>
    <row r="44" spans="1:15" x14ac:dyDescent="0.25">
      <c r="A44" s="6">
        <f t="shared" si="1"/>
        <v>43</v>
      </c>
      <c r="B44" s="7" t="s">
        <v>64</v>
      </c>
      <c r="C44" s="7" t="s">
        <v>85</v>
      </c>
      <c r="D44" s="8">
        <v>46023</v>
      </c>
      <c r="E44" s="6">
        <v>7</v>
      </c>
      <c r="F44" s="8">
        <f t="shared" si="2"/>
        <v>46030</v>
      </c>
      <c r="G44" s="6">
        <v>3</v>
      </c>
      <c r="H44" s="8">
        <f t="shared" si="3"/>
        <v>46033</v>
      </c>
      <c r="I44" s="6"/>
      <c r="J44" s="8"/>
      <c r="K44" s="6"/>
      <c r="L44" s="6">
        <v>10</v>
      </c>
      <c r="M44" s="8">
        <f>H44+L44</f>
        <v>46043</v>
      </c>
      <c r="N44" s="7"/>
      <c r="O44" s="6">
        <v>30</v>
      </c>
    </row>
    <row r="45" spans="1:15" x14ac:dyDescent="0.25">
      <c r="A45" s="6">
        <f t="shared" si="1"/>
        <v>44</v>
      </c>
      <c r="B45" s="1" t="s">
        <v>65</v>
      </c>
      <c r="C45" s="1"/>
      <c r="D45" s="2">
        <v>46023</v>
      </c>
      <c r="E45" s="3">
        <v>7</v>
      </c>
      <c r="F45" s="2">
        <f t="shared" si="2"/>
        <v>46030</v>
      </c>
      <c r="G45" s="3">
        <v>3</v>
      </c>
      <c r="H45" s="2">
        <f t="shared" si="3"/>
        <v>46033</v>
      </c>
      <c r="I45" s="3"/>
      <c r="J45" s="2"/>
      <c r="K45" s="3"/>
      <c r="L45" s="3">
        <v>10</v>
      </c>
      <c r="M45" s="2">
        <f>H45+L45</f>
        <v>46043</v>
      </c>
      <c r="N45" s="7" t="s">
        <v>90</v>
      </c>
      <c r="O45" s="6">
        <v>30</v>
      </c>
    </row>
    <row r="46" spans="1:15" x14ac:dyDescent="0.25">
      <c r="A46" s="6">
        <f t="shared" si="1"/>
        <v>45</v>
      </c>
      <c r="B46" s="7" t="s">
        <v>66</v>
      </c>
      <c r="C46" s="7" t="s">
        <v>25</v>
      </c>
      <c r="D46" s="8">
        <v>46023</v>
      </c>
      <c r="E46" s="6">
        <v>7</v>
      </c>
      <c r="F46" s="8">
        <f t="shared" si="2"/>
        <v>46030</v>
      </c>
      <c r="G46" s="6">
        <v>3</v>
      </c>
      <c r="H46" s="8">
        <f t="shared" si="3"/>
        <v>46033</v>
      </c>
      <c r="I46" s="6"/>
      <c r="J46" s="8"/>
      <c r="K46" s="6"/>
      <c r="L46" s="6">
        <v>10</v>
      </c>
      <c r="M46" s="8">
        <f>H46+L46</f>
        <v>46043</v>
      </c>
      <c r="N46" s="7"/>
      <c r="O46" s="6">
        <v>30</v>
      </c>
    </row>
    <row r="47" spans="1:15" x14ac:dyDescent="0.25">
      <c r="A47" s="6">
        <f t="shared" si="1"/>
        <v>46</v>
      </c>
      <c r="B47" s="1" t="s">
        <v>67</v>
      </c>
      <c r="C47" s="1"/>
      <c r="D47" s="2">
        <v>46023</v>
      </c>
      <c r="E47" s="3">
        <v>7</v>
      </c>
      <c r="F47" s="2">
        <f t="shared" si="2"/>
        <v>46030</v>
      </c>
      <c r="G47" s="3">
        <v>3</v>
      </c>
      <c r="H47" s="2">
        <f t="shared" si="3"/>
        <v>46033</v>
      </c>
      <c r="I47" s="3"/>
      <c r="J47" s="2"/>
      <c r="K47" s="3"/>
      <c r="L47" s="3">
        <v>10</v>
      </c>
      <c r="M47" s="2">
        <f>H47+L47</f>
        <v>46043</v>
      </c>
      <c r="N47" s="7" t="s">
        <v>90</v>
      </c>
      <c r="O47" s="6">
        <v>30</v>
      </c>
    </row>
    <row r="48" spans="1:15" x14ac:dyDescent="0.25">
      <c r="A48" s="6">
        <f t="shared" si="1"/>
        <v>47</v>
      </c>
      <c r="B48" s="7" t="s">
        <v>68</v>
      </c>
      <c r="C48" s="7" t="s">
        <v>85</v>
      </c>
      <c r="D48" s="8">
        <v>46023</v>
      </c>
      <c r="E48" s="6">
        <v>7</v>
      </c>
      <c r="F48" s="8">
        <f t="shared" si="2"/>
        <v>46030</v>
      </c>
      <c r="G48" s="6">
        <v>3</v>
      </c>
      <c r="H48" s="8">
        <f t="shared" si="3"/>
        <v>46033</v>
      </c>
      <c r="I48" s="6">
        <v>1</v>
      </c>
      <c r="J48" s="8">
        <f>H48+I48</f>
        <v>46034</v>
      </c>
      <c r="K48" s="6">
        <v>4</v>
      </c>
      <c r="L48" s="6">
        <v>90</v>
      </c>
      <c r="M48" s="8">
        <f>J48+K48+L48</f>
        <v>46128</v>
      </c>
      <c r="N48" s="7"/>
      <c r="O48" s="6">
        <v>115</v>
      </c>
    </row>
    <row r="49" spans="1:15" x14ac:dyDescent="0.25">
      <c r="A49" s="6">
        <f t="shared" si="1"/>
        <v>48</v>
      </c>
      <c r="B49" s="7" t="s">
        <v>19</v>
      </c>
      <c r="C49" s="7" t="s">
        <v>17</v>
      </c>
      <c r="D49" s="8">
        <v>46023</v>
      </c>
      <c r="E49" s="6">
        <v>7</v>
      </c>
      <c r="F49" s="8">
        <f t="shared" si="2"/>
        <v>46030</v>
      </c>
      <c r="G49" s="6">
        <v>7</v>
      </c>
      <c r="H49" s="8">
        <f t="shared" si="3"/>
        <v>46037</v>
      </c>
      <c r="I49" s="6"/>
      <c r="J49" s="8"/>
      <c r="K49" s="6"/>
      <c r="L49" s="6">
        <v>30</v>
      </c>
      <c r="M49" s="8">
        <f>H49+L49</f>
        <v>46067</v>
      </c>
      <c r="N49" s="7"/>
      <c r="O49" s="6">
        <v>54</v>
      </c>
    </row>
    <row r="50" spans="1:15" x14ac:dyDescent="0.25">
      <c r="A50" s="6">
        <f t="shared" si="1"/>
        <v>49</v>
      </c>
      <c r="B50" s="1" t="s">
        <v>69</v>
      </c>
      <c r="C50" s="1"/>
      <c r="D50" s="2">
        <v>46023</v>
      </c>
      <c r="E50" s="3">
        <v>7</v>
      </c>
      <c r="F50" s="2">
        <f t="shared" si="2"/>
        <v>46030</v>
      </c>
      <c r="G50" s="3">
        <v>3</v>
      </c>
      <c r="H50" s="2">
        <f t="shared" si="3"/>
        <v>46033</v>
      </c>
      <c r="I50" s="3"/>
      <c r="J50" s="2"/>
      <c r="K50" s="3"/>
      <c r="L50" s="3">
        <v>10</v>
      </c>
      <c r="M50" s="2">
        <f>H50+L50</f>
        <v>46043</v>
      </c>
      <c r="N50" s="7" t="s">
        <v>90</v>
      </c>
      <c r="O50" s="6">
        <v>30</v>
      </c>
    </row>
    <row r="51" spans="1:15" x14ac:dyDescent="0.25">
      <c r="A51" s="6">
        <f t="shared" si="1"/>
        <v>50</v>
      </c>
      <c r="B51" s="7" t="s">
        <v>70</v>
      </c>
      <c r="C51" s="7" t="s">
        <v>85</v>
      </c>
      <c r="D51" s="8">
        <v>46023</v>
      </c>
      <c r="E51" s="6">
        <v>7</v>
      </c>
      <c r="F51" s="8">
        <f t="shared" ref="F51" si="9">D51+E51</f>
        <v>46030</v>
      </c>
      <c r="G51" s="6">
        <v>10</v>
      </c>
      <c r="H51" s="8">
        <f t="shared" ref="H51" si="10">F51+G51</f>
        <v>46040</v>
      </c>
      <c r="I51" s="6"/>
      <c r="J51" s="8"/>
      <c r="K51" s="6"/>
      <c r="L51" s="6">
        <v>10</v>
      </c>
      <c r="M51" s="8">
        <f>H51+L51</f>
        <v>46050</v>
      </c>
      <c r="N51" s="7"/>
      <c r="O51" s="6">
        <v>37</v>
      </c>
    </row>
    <row r="52" spans="1:15" x14ac:dyDescent="0.25">
      <c r="A52" s="6">
        <f t="shared" si="1"/>
        <v>51</v>
      </c>
      <c r="B52" s="1" t="s">
        <v>71</v>
      </c>
      <c r="C52" s="1"/>
      <c r="D52" s="2">
        <v>46023</v>
      </c>
      <c r="E52" s="3">
        <v>7</v>
      </c>
      <c r="F52" s="2">
        <f t="shared" si="2"/>
        <v>46030</v>
      </c>
      <c r="G52" s="3">
        <v>3</v>
      </c>
      <c r="H52" s="2">
        <f t="shared" si="3"/>
        <v>46033</v>
      </c>
      <c r="I52" s="3"/>
      <c r="J52" s="2"/>
      <c r="K52" s="3"/>
      <c r="L52" s="3">
        <v>10</v>
      </c>
      <c r="M52" s="2">
        <f>H52+L52</f>
        <v>46043</v>
      </c>
      <c r="N52" s="7" t="s">
        <v>90</v>
      </c>
      <c r="O52" s="6">
        <v>30</v>
      </c>
    </row>
    <row r="53" spans="1:15" x14ac:dyDescent="0.25">
      <c r="A53" s="6">
        <f t="shared" si="1"/>
        <v>52</v>
      </c>
      <c r="B53" s="7" t="s">
        <v>72</v>
      </c>
      <c r="C53" s="7" t="s">
        <v>3</v>
      </c>
      <c r="D53" s="8">
        <v>46023</v>
      </c>
      <c r="E53" s="6">
        <v>7</v>
      </c>
      <c r="F53" s="8">
        <f t="shared" si="2"/>
        <v>46030</v>
      </c>
      <c r="G53" s="6">
        <v>3</v>
      </c>
      <c r="H53" s="8">
        <f t="shared" si="3"/>
        <v>46033</v>
      </c>
      <c r="I53" s="6"/>
      <c r="J53" s="8"/>
      <c r="K53" s="6"/>
      <c r="L53" s="6">
        <v>60</v>
      </c>
      <c r="M53" s="8">
        <f>H53+L53</f>
        <v>46093</v>
      </c>
      <c r="N53" s="7"/>
      <c r="O53" s="6">
        <v>80</v>
      </c>
    </row>
    <row r="54" spans="1:15" x14ac:dyDescent="0.25">
      <c r="A54" s="6">
        <f t="shared" si="1"/>
        <v>53</v>
      </c>
      <c r="B54" s="7" t="s">
        <v>73</v>
      </c>
      <c r="C54" s="7" t="s">
        <v>25</v>
      </c>
      <c r="D54" s="8">
        <v>46023</v>
      </c>
      <c r="E54" s="6">
        <v>7</v>
      </c>
      <c r="F54" s="8">
        <f t="shared" si="2"/>
        <v>46030</v>
      </c>
      <c r="G54" s="6">
        <v>3</v>
      </c>
      <c r="H54" s="8">
        <f t="shared" si="3"/>
        <v>46033</v>
      </c>
      <c r="I54" s="6"/>
      <c r="J54" s="8"/>
      <c r="K54" s="6"/>
      <c r="L54" s="6">
        <v>15</v>
      </c>
      <c r="M54" s="8">
        <f t="shared" ref="M54:M57" si="11">H54+L54</f>
        <v>46048</v>
      </c>
      <c r="N54" s="7"/>
      <c r="O54" s="6">
        <v>35</v>
      </c>
    </row>
    <row r="55" spans="1:15" x14ac:dyDescent="0.25">
      <c r="A55" s="6">
        <f t="shared" si="1"/>
        <v>54</v>
      </c>
      <c r="B55" s="7" t="s">
        <v>74</v>
      </c>
      <c r="C55" s="7" t="s">
        <v>3</v>
      </c>
      <c r="D55" s="8">
        <v>46023</v>
      </c>
      <c r="E55" s="6">
        <v>7</v>
      </c>
      <c r="F55" s="8">
        <f t="shared" si="2"/>
        <v>46030</v>
      </c>
      <c r="G55" s="6">
        <v>3</v>
      </c>
      <c r="H55" s="8">
        <f t="shared" si="3"/>
        <v>46033</v>
      </c>
      <c r="I55" s="6"/>
      <c r="J55" s="8"/>
      <c r="K55" s="6"/>
      <c r="L55" s="6">
        <v>21</v>
      </c>
      <c r="M55" s="8">
        <f t="shared" si="11"/>
        <v>46054</v>
      </c>
      <c r="N55" s="7"/>
      <c r="O55" s="6">
        <v>41</v>
      </c>
    </row>
    <row r="56" spans="1:15" x14ac:dyDescent="0.25">
      <c r="A56" s="6">
        <f t="shared" si="1"/>
        <v>55</v>
      </c>
      <c r="B56" s="7" t="s">
        <v>75</v>
      </c>
      <c r="C56" s="7"/>
      <c r="D56" s="8">
        <v>46023</v>
      </c>
      <c r="E56" s="6">
        <v>7</v>
      </c>
      <c r="F56" s="8">
        <f t="shared" si="2"/>
        <v>46030</v>
      </c>
      <c r="G56" s="6">
        <v>3</v>
      </c>
      <c r="H56" s="8">
        <f t="shared" si="3"/>
        <v>46033</v>
      </c>
      <c r="I56" s="6"/>
      <c r="J56" s="8"/>
      <c r="K56" s="6"/>
      <c r="L56" s="6">
        <v>10</v>
      </c>
      <c r="M56" s="8">
        <f t="shared" si="11"/>
        <v>46043</v>
      </c>
      <c r="N56" s="7"/>
      <c r="O56" s="6">
        <v>30</v>
      </c>
    </row>
    <row r="57" spans="1:15" x14ac:dyDescent="0.25">
      <c r="A57" s="6">
        <f t="shared" si="1"/>
        <v>56</v>
      </c>
      <c r="B57" s="7" t="s">
        <v>76</v>
      </c>
      <c r="C57" s="7" t="s">
        <v>17</v>
      </c>
      <c r="D57" s="8">
        <v>46023</v>
      </c>
      <c r="E57" s="6">
        <v>7</v>
      </c>
      <c r="F57" s="8">
        <f t="shared" si="2"/>
        <v>46030</v>
      </c>
      <c r="G57" s="6">
        <v>7</v>
      </c>
      <c r="H57" s="8">
        <f t="shared" si="3"/>
        <v>46037</v>
      </c>
      <c r="I57" s="6"/>
      <c r="J57" s="8"/>
      <c r="K57" s="6"/>
      <c r="L57" s="6">
        <v>20</v>
      </c>
      <c r="M57" s="8">
        <f t="shared" si="11"/>
        <v>46057</v>
      </c>
      <c r="N57" s="7"/>
      <c r="O57" s="6">
        <v>44</v>
      </c>
    </row>
    <row r="58" spans="1:15" x14ac:dyDescent="0.25">
      <c r="A58" s="6">
        <f t="shared" si="1"/>
        <v>57</v>
      </c>
      <c r="B58" s="7" t="s">
        <v>77</v>
      </c>
      <c r="C58" s="7" t="s">
        <v>85</v>
      </c>
      <c r="D58" s="8">
        <v>46023</v>
      </c>
      <c r="E58" s="6">
        <v>7</v>
      </c>
      <c r="F58" s="8">
        <f t="shared" si="2"/>
        <v>46030</v>
      </c>
      <c r="G58" s="6">
        <v>3</v>
      </c>
      <c r="H58" s="8">
        <f t="shared" si="3"/>
        <v>46033</v>
      </c>
      <c r="I58" s="6">
        <v>1</v>
      </c>
      <c r="J58" s="8">
        <f>H58+I58</f>
        <v>46034</v>
      </c>
      <c r="K58" s="6">
        <v>1</v>
      </c>
      <c r="L58" s="6">
        <v>15</v>
      </c>
      <c r="M58" s="8">
        <f>J58+K58+L58</f>
        <v>46050</v>
      </c>
      <c r="N58" s="12" t="s">
        <v>88</v>
      </c>
      <c r="O58" s="6">
        <v>37</v>
      </c>
    </row>
    <row r="59" spans="1:15" x14ac:dyDescent="0.25">
      <c r="A59" s="6">
        <f t="shared" si="1"/>
        <v>58</v>
      </c>
      <c r="B59" s="7" t="s">
        <v>78</v>
      </c>
      <c r="C59" s="7" t="s">
        <v>85</v>
      </c>
      <c r="D59" s="8">
        <v>46023</v>
      </c>
      <c r="E59" s="6">
        <v>7</v>
      </c>
      <c r="F59" s="8">
        <f t="shared" si="2"/>
        <v>46030</v>
      </c>
      <c r="G59" s="6">
        <v>3</v>
      </c>
      <c r="H59" s="8">
        <f t="shared" si="3"/>
        <v>46033</v>
      </c>
      <c r="I59" s="6">
        <v>1</v>
      </c>
      <c r="J59" s="8">
        <f>H59+I59</f>
        <v>46034</v>
      </c>
      <c r="K59" s="6">
        <v>1</v>
      </c>
      <c r="L59" s="6">
        <v>15</v>
      </c>
      <c r="M59" s="8">
        <f>J59+K59+L59</f>
        <v>46050</v>
      </c>
      <c r="N59" s="12" t="s">
        <v>88</v>
      </c>
      <c r="O59" s="6">
        <v>37</v>
      </c>
    </row>
    <row r="60" spans="1:15" x14ac:dyDescent="0.25">
      <c r="A60" s="6">
        <f t="shared" si="1"/>
        <v>59</v>
      </c>
      <c r="B60" s="7" t="s">
        <v>29</v>
      </c>
      <c r="C60" s="7" t="s">
        <v>25</v>
      </c>
      <c r="D60" s="8">
        <v>46023</v>
      </c>
      <c r="E60" s="6">
        <v>7</v>
      </c>
      <c r="F60" s="8">
        <f t="shared" si="2"/>
        <v>46030</v>
      </c>
      <c r="G60" s="6">
        <v>3</v>
      </c>
      <c r="H60" s="8">
        <f t="shared" si="3"/>
        <v>46033</v>
      </c>
      <c r="I60" s="6">
        <v>4</v>
      </c>
      <c r="J60" s="8">
        <f>H60+I60</f>
        <v>46037</v>
      </c>
      <c r="K60" s="6">
        <v>4</v>
      </c>
      <c r="L60" s="6">
        <v>10</v>
      </c>
      <c r="M60" s="8">
        <f>J60+K60+L60</f>
        <v>46051</v>
      </c>
      <c r="N60" s="7"/>
      <c r="O60" s="6">
        <v>38</v>
      </c>
    </row>
    <row r="61" spans="1:15" x14ac:dyDescent="0.25">
      <c r="A61" s="6">
        <f t="shared" si="1"/>
        <v>60</v>
      </c>
      <c r="B61" s="7" t="s">
        <v>79</v>
      </c>
      <c r="C61" s="7" t="s">
        <v>85</v>
      </c>
      <c r="D61" s="8">
        <v>46023</v>
      </c>
      <c r="E61" s="6">
        <v>7</v>
      </c>
      <c r="F61" s="8">
        <f t="shared" si="2"/>
        <v>46030</v>
      </c>
      <c r="G61" s="6">
        <v>3</v>
      </c>
      <c r="H61" s="8">
        <f t="shared" si="3"/>
        <v>46033</v>
      </c>
      <c r="I61" s="6"/>
      <c r="J61" s="8"/>
      <c r="K61" s="6"/>
      <c r="L61" s="6">
        <v>10</v>
      </c>
      <c r="M61" s="8">
        <f>H61+L61</f>
        <v>46043</v>
      </c>
      <c r="N61" s="7"/>
      <c r="O61" s="6">
        <v>30</v>
      </c>
    </row>
    <row r="62" spans="1:15" x14ac:dyDescent="0.25">
      <c r="A62" s="6">
        <f t="shared" si="1"/>
        <v>61</v>
      </c>
      <c r="B62" s="1" t="s">
        <v>80</v>
      </c>
      <c r="C62" s="1"/>
      <c r="D62" s="2">
        <v>46023</v>
      </c>
      <c r="E62" s="3">
        <v>7</v>
      </c>
      <c r="F62" s="2">
        <f t="shared" si="2"/>
        <v>46030</v>
      </c>
      <c r="G62" s="3">
        <v>3</v>
      </c>
      <c r="H62" s="2">
        <f t="shared" si="3"/>
        <v>46033</v>
      </c>
      <c r="I62" s="3"/>
      <c r="J62" s="2"/>
      <c r="K62" s="3"/>
      <c r="L62" s="3">
        <v>10</v>
      </c>
      <c r="M62" s="2">
        <f t="shared" ref="M62:M63" si="12">H62+L62</f>
        <v>46043</v>
      </c>
      <c r="N62" s="7" t="s">
        <v>90</v>
      </c>
      <c r="O62" s="6">
        <v>30</v>
      </c>
    </row>
    <row r="63" spans="1:15" x14ac:dyDescent="0.25">
      <c r="A63" s="6">
        <f t="shared" si="1"/>
        <v>62</v>
      </c>
      <c r="B63" s="1" t="s">
        <v>81</v>
      </c>
      <c r="C63" s="1"/>
      <c r="D63" s="2">
        <v>46023</v>
      </c>
      <c r="E63" s="3">
        <v>7</v>
      </c>
      <c r="F63" s="2">
        <f t="shared" si="2"/>
        <v>46030</v>
      </c>
      <c r="G63" s="3">
        <v>3</v>
      </c>
      <c r="H63" s="2">
        <f t="shared" si="3"/>
        <v>46033</v>
      </c>
      <c r="I63" s="3"/>
      <c r="J63" s="2"/>
      <c r="K63" s="3"/>
      <c r="L63" s="3">
        <v>10</v>
      </c>
      <c r="M63" s="2">
        <f t="shared" si="12"/>
        <v>46043</v>
      </c>
      <c r="N63" s="7" t="s">
        <v>90</v>
      </c>
      <c r="O63" s="6">
        <v>30</v>
      </c>
    </row>
    <row r="64" spans="1:15" x14ac:dyDescent="0.25">
      <c r="A64" s="6">
        <f t="shared" si="1"/>
        <v>63</v>
      </c>
      <c r="B64" s="7" t="s">
        <v>82</v>
      </c>
      <c r="C64" s="7" t="s">
        <v>85</v>
      </c>
      <c r="D64" s="8">
        <v>46023</v>
      </c>
      <c r="E64" s="6">
        <v>7</v>
      </c>
      <c r="F64" s="8">
        <f t="shared" ref="F64" si="13">D64+E64</f>
        <v>46030</v>
      </c>
      <c r="G64" s="6">
        <v>3</v>
      </c>
      <c r="H64" s="8">
        <f t="shared" ref="H64" si="14">F64+G64</f>
        <v>46033</v>
      </c>
      <c r="I64" s="6">
        <v>1</v>
      </c>
      <c r="J64" s="8">
        <f>H64+I64</f>
        <v>46034</v>
      </c>
      <c r="K64" s="6">
        <v>4</v>
      </c>
      <c r="L64" s="6">
        <v>90</v>
      </c>
      <c r="M64" s="8">
        <f>J64+K64+L64</f>
        <v>46128</v>
      </c>
      <c r="N64" s="7"/>
      <c r="O64" s="6">
        <v>115</v>
      </c>
    </row>
    <row r="65" spans="1:15" x14ac:dyDescent="0.25">
      <c r="A65" s="6">
        <f t="shared" si="1"/>
        <v>64</v>
      </c>
      <c r="B65" s="7" t="s">
        <v>83</v>
      </c>
      <c r="C65" s="7" t="s">
        <v>87</v>
      </c>
      <c r="D65" s="8">
        <v>46023</v>
      </c>
      <c r="E65" s="6">
        <v>7</v>
      </c>
      <c r="F65" s="8">
        <f t="shared" si="2"/>
        <v>46030</v>
      </c>
      <c r="G65" s="6">
        <v>3</v>
      </c>
      <c r="H65" s="8">
        <f t="shared" si="3"/>
        <v>46033</v>
      </c>
      <c r="I65" s="6"/>
      <c r="J65" s="8"/>
      <c r="K65" s="6"/>
      <c r="L65" s="6">
        <v>30</v>
      </c>
      <c r="M65" s="8">
        <f>H65+L65</f>
        <v>46063</v>
      </c>
      <c r="N65" s="7"/>
      <c r="O65" s="6">
        <v>50</v>
      </c>
    </row>
    <row r="66" spans="1:15" x14ac:dyDescent="0.25">
      <c r="A66" s="6">
        <f t="shared" si="1"/>
        <v>65</v>
      </c>
      <c r="B66" s="7" t="s">
        <v>84</v>
      </c>
      <c r="C66" s="7" t="s">
        <v>17</v>
      </c>
      <c r="D66" s="8">
        <v>46023</v>
      </c>
      <c r="E66" s="6">
        <v>7</v>
      </c>
      <c r="F66" s="8">
        <f t="shared" si="2"/>
        <v>46030</v>
      </c>
      <c r="G66" s="6">
        <v>7</v>
      </c>
      <c r="H66" s="8">
        <f t="shared" si="3"/>
        <v>46037</v>
      </c>
      <c r="I66" s="6"/>
      <c r="J66" s="8"/>
      <c r="K66" s="6"/>
      <c r="L66" s="6">
        <v>30</v>
      </c>
      <c r="M66" s="8">
        <f t="shared" ref="M66:M72" si="15">H66+L66</f>
        <v>46067</v>
      </c>
      <c r="N66" s="7"/>
      <c r="O66" s="6">
        <v>54</v>
      </c>
    </row>
    <row r="67" spans="1:15" x14ac:dyDescent="0.25">
      <c r="A67" s="6">
        <f t="shared" ref="A67:A72" si="16">ROW()-1</f>
        <v>66</v>
      </c>
      <c r="B67" s="7" t="s">
        <v>23</v>
      </c>
      <c r="C67" s="7" t="s">
        <v>17</v>
      </c>
      <c r="D67" s="8">
        <v>46023</v>
      </c>
      <c r="E67" s="6">
        <v>7</v>
      </c>
      <c r="F67" s="8">
        <f t="shared" ref="F67:F71" si="17">D67+E67</f>
        <v>46030</v>
      </c>
      <c r="G67" s="6">
        <v>7</v>
      </c>
      <c r="H67" s="8">
        <f t="shared" ref="H67:H71" si="18">F67+G67</f>
        <v>46037</v>
      </c>
      <c r="I67" s="6"/>
      <c r="J67" s="8"/>
      <c r="K67" s="6"/>
      <c r="L67" s="6">
        <v>45</v>
      </c>
      <c r="M67" s="8">
        <f t="shared" si="15"/>
        <v>46082</v>
      </c>
      <c r="N67" s="7"/>
      <c r="O67" s="6">
        <v>69</v>
      </c>
    </row>
    <row r="68" spans="1:15" x14ac:dyDescent="0.25">
      <c r="A68" s="6">
        <f t="shared" si="16"/>
        <v>67</v>
      </c>
      <c r="B68" s="7" t="s">
        <v>31</v>
      </c>
      <c r="C68" s="7" t="s">
        <v>25</v>
      </c>
      <c r="D68" s="8">
        <v>46023</v>
      </c>
      <c r="E68" s="6">
        <v>7</v>
      </c>
      <c r="F68" s="8">
        <f t="shared" si="17"/>
        <v>46030</v>
      </c>
      <c r="G68" s="6">
        <v>3</v>
      </c>
      <c r="H68" s="8">
        <f t="shared" si="18"/>
        <v>46033</v>
      </c>
      <c r="I68" s="6"/>
      <c r="J68" s="8"/>
      <c r="K68" s="6"/>
      <c r="L68" s="6">
        <v>30</v>
      </c>
      <c r="M68" s="8">
        <f t="shared" si="15"/>
        <v>46063</v>
      </c>
      <c r="N68" s="7"/>
      <c r="O68" s="6">
        <v>50</v>
      </c>
    </row>
    <row r="69" spans="1:15" x14ac:dyDescent="0.25">
      <c r="A69" s="6">
        <f t="shared" si="16"/>
        <v>68</v>
      </c>
      <c r="B69" s="9" t="s">
        <v>42</v>
      </c>
      <c r="C69" s="9" t="s">
        <v>85</v>
      </c>
      <c r="D69" s="8">
        <v>46023</v>
      </c>
      <c r="E69" s="6">
        <v>7</v>
      </c>
      <c r="F69" s="8">
        <f t="shared" si="17"/>
        <v>46030</v>
      </c>
      <c r="G69" s="6">
        <v>3</v>
      </c>
      <c r="H69" s="8">
        <f t="shared" si="18"/>
        <v>46033</v>
      </c>
      <c r="I69" s="6"/>
      <c r="J69" s="8"/>
      <c r="K69" s="6"/>
      <c r="L69" s="6">
        <v>10</v>
      </c>
      <c r="M69" s="8">
        <f t="shared" si="15"/>
        <v>46043</v>
      </c>
      <c r="N69" s="7"/>
      <c r="O69" s="6">
        <v>30</v>
      </c>
    </row>
    <row r="70" spans="1:15" x14ac:dyDescent="0.25">
      <c r="A70" s="6">
        <f t="shared" si="16"/>
        <v>69</v>
      </c>
      <c r="B70" s="9" t="s">
        <v>50</v>
      </c>
      <c r="C70" s="9" t="s">
        <v>85</v>
      </c>
      <c r="D70" s="8">
        <v>46023</v>
      </c>
      <c r="E70" s="6">
        <v>7</v>
      </c>
      <c r="F70" s="8">
        <f t="shared" ref="F70" si="19">D70+E70</f>
        <v>46030</v>
      </c>
      <c r="G70" s="6">
        <v>3</v>
      </c>
      <c r="H70" s="8">
        <f t="shared" ref="H70" si="20">F70+G70</f>
        <v>46033</v>
      </c>
      <c r="I70" s="6"/>
      <c r="J70" s="8"/>
      <c r="K70" s="6"/>
      <c r="L70" s="6">
        <v>15</v>
      </c>
      <c r="M70" s="8">
        <f t="shared" si="15"/>
        <v>46048</v>
      </c>
      <c r="N70" s="7"/>
      <c r="O70" s="6">
        <v>35</v>
      </c>
    </row>
    <row r="71" spans="1:15" x14ac:dyDescent="0.25">
      <c r="A71" s="6">
        <f t="shared" si="16"/>
        <v>70</v>
      </c>
      <c r="B71" s="9" t="s">
        <v>33</v>
      </c>
      <c r="C71" s="9" t="s">
        <v>25</v>
      </c>
      <c r="D71" s="8">
        <v>46023</v>
      </c>
      <c r="E71" s="6">
        <v>7</v>
      </c>
      <c r="F71" s="8">
        <f t="shared" si="17"/>
        <v>46030</v>
      </c>
      <c r="G71" s="6">
        <v>3</v>
      </c>
      <c r="H71" s="8">
        <f t="shared" si="18"/>
        <v>46033</v>
      </c>
      <c r="I71" s="6"/>
      <c r="J71" s="8"/>
      <c r="K71" s="6"/>
      <c r="L71" s="6">
        <v>30</v>
      </c>
      <c r="M71" s="8">
        <f t="shared" si="15"/>
        <v>46063</v>
      </c>
      <c r="N71" s="7"/>
      <c r="O71" s="6">
        <v>50</v>
      </c>
    </row>
    <row r="72" spans="1:15" x14ac:dyDescent="0.25">
      <c r="A72" s="6">
        <f t="shared" si="16"/>
        <v>71</v>
      </c>
      <c r="B72" s="9" t="s">
        <v>44</v>
      </c>
      <c r="C72" s="9" t="s">
        <v>85</v>
      </c>
      <c r="D72" s="8">
        <v>46023</v>
      </c>
      <c r="E72" s="6">
        <v>7</v>
      </c>
      <c r="F72" s="8">
        <f t="shared" ref="F72" si="21">D72+E72</f>
        <v>46030</v>
      </c>
      <c r="G72" s="6">
        <v>3</v>
      </c>
      <c r="H72" s="8">
        <f t="shared" ref="H72" si="22">F72+G72</f>
        <v>46033</v>
      </c>
      <c r="I72" s="6"/>
      <c r="J72" s="8"/>
      <c r="K72" s="6"/>
      <c r="L72" s="6">
        <v>30</v>
      </c>
      <c r="M72" s="8">
        <f t="shared" si="15"/>
        <v>46063</v>
      </c>
      <c r="N72" s="7"/>
      <c r="O72" s="6">
        <v>50</v>
      </c>
    </row>
  </sheetData>
  <autoFilter ref="A1:O72" xr:uid="{D7FFF277-E0EE-4AC8-967A-1449BCF931AA}"/>
  <printOptions horizontalCentered="1"/>
  <pageMargins left="0.2" right="0.2" top="0.5" bottom="0.5" header="0.3" footer="0.3"/>
  <pageSetup paperSize="9" scale="82" fitToHeight="10" orientation="landscape" horizontalDpi="4294967293" verticalDpi="0" r:id="rId1"/>
  <headerFooter>
    <oddFooter>&amp;R&amp;N/&amp;P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Buyer wise Payment Chart</vt:lpstr>
      <vt:lpstr>'Buyer wise Payment Chart'!Print_Titles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Forhad</dc:creator>
  <cp:lastModifiedBy>Sujon</cp:lastModifiedBy>
  <cp:lastPrinted>2026-01-13T05:46:57Z</cp:lastPrinted>
  <dcterms:created xsi:type="dcterms:W3CDTF">2026-01-12T08:15:53Z</dcterms:created>
  <dcterms:modified xsi:type="dcterms:W3CDTF">2026-07-13T05:05:48Z</dcterms:modified>
</cp:coreProperties>
</file>