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on\Desktop\EIS\"/>
    </mc:Choice>
  </mc:AlternateContent>
  <xr:revisionPtr revIDLastSave="0" documentId="13_ncr:1_{83C35D10-AE36-4B0A-97CF-8811E031426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exp_register_(by_entry_date)" sheetId="2" r:id="rId2"/>
    <sheet name="exp_register_(by_shipment_date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2" i="1"/>
</calcChain>
</file>

<file path=xl/sharedStrings.xml><?xml version="1.0" encoding="utf-8"?>
<sst xmlns="http://schemas.openxmlformats.org/spreadsheetml/2006/main" count="24747" uniqueCount="3180">
  <si>
    <t>Status</t>
  </si>
  <si>
    <t>Invoice No</t>
  </si>
  <si>
    <t>Buyer</t>
  </si>
  <si>
    <t>LC No</t>
  </si>
  <si>
    <t>Order No</t>
  </si>
  <si>
    <t>Destination</t>
  </si>
  <si>
    <t>Invoice Qty</t>
  </si>
  <si>
    <t>CTN Qty</t>
  </si>
  <si>
    <t>Invoice Value</t>
  </si>
  <si>
    <t>Discount</t>
  </si>
  <si>
    <t>Mode</t>
  </si>
  <si>
    <t>Company</t>
  </si>
  <si>
    <t>Ex Factory</t>
  </si>
  <si>
    <t>ExFactory Qty</t>
  </si>
  <si>
    <t>Ex Factory No</t>
  </si>
  <si>
    <t>On Board Date</t>
  </si>
  <si>
    <t>Is Bank Submit?</t>
  </si>
  <si>
    <t>Bank Sub Date</t>
  </si>
  <si>
    <t>FDBC No</t>
  </si>
  <si>
    <t>Bank</t>
  </si>
  <si>
    <t>Realize NO</t>
  </si>
  <si>
    <t>Realize Date</t>
  </si>
  <si>
    <t>Realize Value</t>
  </si>
  <si>
    <t>BL Date</t>
  </si>
  <si>
    <t>Exp No</t>
  </si>
  <si>
    <t>Exp Date</t>
  </si>
  <si>
    <t>Invoice Date</t>
  </si>
  <si>
    <t>S.Bill Date</t>
  </si>
  <si>
    <t>S.Bill No</t>
  </si>
  <si>
    <t>PaymentTerm</t>
  </si>
  <si>
    <t>Bank Submit Pending</t>
  </si>
  <si>
    <t>2606658</t>
  </si>
  <si>
    <t>LOJAS RENNER</t>
  </si>
  <si>
    <t>MG-Renner-27</t>
  </si>
  <si>
    <t>6059093</t>
  </si>
  <si>
    <t>Brazil</t>
  </si>
  <si>
    <t>Sea</t>
  </si>
  <si>
    <t>MGNSL</t>
  </si>
  <si>
    <t>MGNSL-EF260571</t>
  </si>
  <si>
    <t>No</t>
  </si>
  <si>
    <t/>
  </si>
  <si>
    <t>Al Arafah</t>
  </si>
  <si>
    <t>00001079-003536-2026</t>
  </si>
  <si>
    <t>At Sight</t>
  </si>
  <si>
    <t>Incentive Pending</t>
  </si>
  <si>
    <t>2608305</t>
  </si>
  <si>
    <t>Assurer At Work Limited</t>
  </si>
  <si>
    <t>ETM/MGL/01/2026</t>
  </si>
  <si>
    <t>8529873,8524150,8564412,8529372,8551128,8565301</t>
  </si>
  <si>
    <t>France</t>
  </si>
  <si>
    <t>Air</t>
  </si>
  <si>
    <t>MGL</t>
  </si>
  <si>
    <t>MGL-EF260654</t>
  </si>
  <si>
    <t>Yes</t>
  </si>
  <si>
    <t>582/26</t>
  </si>
  <si>
    <t>NBL</t>
  </si>
  <si>
    <t>DR-09-26-058</t>
  </si>
  <si>
    <t>23-Sep-2026</t>
  </si>
  <si>
    <t>00000947-001331-2026</t>
  </si>
  <si>
    <t>2608927</t>
  </si>
  <si>
    <t>HONGKONG CH COMPANY LIMITED</t>
  </si>
  <si>
    <t>CH 009</t>
  </si>
  <si>
    <t>527266</t>
  </si>
  <si>
    <t>MGNSL-EF260565</t>
  </si>
  <si>
    <t>ABL</t>
  </si>
  <si>
    <t>00000042-005523-2026</t>
  </si>
  <si>
    <t>2608928</t>
  </si>
  <si>
    <t>529143</t>
  </si>
  <si>
    <t>MGNSL-EF260579</t>
  </si>
  <si>
    <t>00000042-005524-2026</t>
  </si>
  <si>
    <t>2609173</t>
  </si>
  <si>
    <t>H&amp;M</t>
  </si>
  <si>
    <t>MGSL/H&amp;M Kids S2</t>
  </si>
  <si>
    <t>653963-7657</t>
  </si>
  <si>
    <t>NHAVA SHEVA</t>
  </si>
  <si>
    <t>MGSL</t>
  </si>
  <si>
    <t>MGSL-EF261140</t>
  </si>
  <si>
    <t>DBBL</t>
  </si>
  <si>
    <t>00001689-019898-2026</t>
  </si>
  <si>
    <t>EOM 63</t>
  </si>
  <si>
    <t>2609174</t>
  </si>
  <si>
    <t>00001689-019899-2026</t>
  </si>
  <si>
    <t>2609415</t>
  </si>
  <si>
    <t>529144</t>
  </si>
  <si>
    <t>MGNSL-EF260589</t>
  </si>
  <si>
    <t>00000042-005621-2026</t>
  </si>
  <si>
    <t>On Board Pending</t>
  </si>
  <si>
    <t>2609444</t>
  </si>
  <si>
    <t>6081624</t>
  </si>
  <si>
    <t>MGNSL-EF260602</t>
  </si>
  <si>
    <t>00001079-003755-2026</t>
  </si>
  <si>
    <t>2609670</t>
  </si>
  <si>
    <t>6056747,6056851</t>
  </si>
  <si>
    <t>MGNSL-EF260570</t>
  </si>
  <si>
    <t>00001079-003521-2026</t>
  </si>
  <si>
    <t>2609738</t>
  </si>
  <si>
    <t>6107654</t>
  </si>
  <si>
    <t>Chattogram</t>
  </si>
  <si>
    <t>MGNSL-EF260562</t>
  </si>
  <si>
    <t>FDBC-1003/26</t>
  </si>
  <si>
    <t>DR-09-26-069</t>
  </si>
  <si>
    <t>24-Sep-2026</t>
  </si>
  <si>
    <t>00001079-003517-2026</t>
  </si>
  <si>
    <t>2609739</t>
  </si>
  <si>
    <t>6052515</t>
  </si>
  <si>
    <t>MGNSL-EF260605</t>
  </si>
  <si>
    <t>00001079-003784-2026</t>
  </si>
  <si>
    <t>2609778</t>
  </si>
  <si>
    <t>SHANGHAI</t>
  </si>
  <si>
    <t>MGSL-EF261139</t>
  </si>
  <si>
    <t>00001689-020929-2026</t>
  </si>
  <si>
    <t>Realize Pending</t>
  </si>
  <si>
    <t>2609864</t>
  </si>
  <si>
    <t>6081639</t>
  </si>
  <si>
    <t>MGNSL-EF260566</t>
  </si>
  <si>
    <t>45795.33</t>
  </si>
  <si>
    <t>00001079-003525-2026</t>
  </si>
  <si>
    <t>2609865</t>
  </si>
  <si>
    <t>6051093</t>
  </si>
  <si>
    <t>00001079-003537-2026</t>
  </si>
  <si>
    <t>2609866</t>
  </si>
  <si>
    <t>CARMEL CLOTHING EUROPE LTD</t>
  </si>
  <si>
    <t>SC-2023-CCL0000121</t>
  </si>
  <si>
    <t>177354,177369,177367,177355,177370,177358,177366,177359,177360,177368,177371,177361,177362,177364,177356,177365,177363,177357</t>
  </si>
  <si>
    <t>UK</t>
  </si>
  <si>
    <t>MGSL-DK</t>
  </si>
  <si>
    <t>MGL-EF260655</t>
  </si>
  <si>
    <t>00000947-001589-2026</t>
  </si>
  <si>
    <t>411146</t>
  </si>
  <si>
    <t>7 Days</t>
  </si>
  <si>
    <t>2609874</t>
  </si>
  <si>
    <t>6051092</t>
  </si>
  <si>
    <t>00001079-003538-2026</t>
  </si>
  <si>
    <t>2609957</t>
  </si>
  <si>
    <t>JEBEL ALI</t>
  </si>
  <si>
    <t>MGSL-EF261157</t>
  </si>
  <si>
    <t>00001689-021194-2026</t>
  </si>
  <si>
    <t>2609986</t>
  </si>
  <si>
    <t>Fashion Fleet Clothing</t>
  </si>
  <si>
    <t>FFT/BH/03/2026</t>
  </si>
  <si>
    <t>0003462193,0003448834</t>
  </si>
  <si>
    <t>MGL-EF260645</t>
  </si>
  <si>
    <t>00000947-001621-2026</t>
  </si>
  <si>
    <t>387321</t>
  </si>
  <si>
    <t>60 Days</t>
  </si>
  <si>
    <t>2609987</t>
  </si>
  <si>
    <t>NEXT</t>
  </si>
  <si>
    <t>MGNSL/VS-NEXT/002</t>
  </si>
  <si>
    <t>7200022647</t>
  </si>
  <si>
    <t>Sea/Air</t>
  </si>
  <si>
    <t>MGNSL-EF260556</t>
  </si>
  <si>
    <t>00000042-005511-2026</t>
  </si>
  <si>
    <t>2609991</t>
  </si>
  <si>
    <t>6052264</t>
  </si>
  <si>
    <t>00001079-003539-2026</t>
  </si>
  <si>
    <t>2609992</t>
  </si>
  <si>
    <t>6052581,6052534</t>
  </si>
  <si>
    <t>MGNSL-EF260587</t>
  </si>
  <si>
    <t>00001079-003664-2026</t>
  </si>
  <si>
    <t>2609995</t>
  </si>
  <si>
    <t>Best Seller</t>
  </si>
  <si>
    <t>Bestseller 08</t>
  </si>
  <si>
    <t>MNS4664369</t>
  </si>
  <si>
    <t>Uruguay</t>
  </si>
  <si>
    <t>MGNSL-EF260559</t>
  </si>
  <si>
    <t>60429.97</t>
  </si>
  <si>
    <t>00001079-003504-2026</t>
  </si>
  <si>
    <t>90 Days</t>
  </si>
  <si>
    <t>2609996</t>
  </si>
  <si>
    <t>NITEX PTE LTD.</t>
  </si>
  <si>
    <t>SNTX-26040001</t>
  </si>
  <si>
    <t>CJ8474191</t>
  </si>
  <si>
    <t>MGNSL-EF260558</t>
  </si>
  <si>
    <t>00001079-003505-2026</t>
  </si>
  <si>
    <t>30 Days</t>
  </si>
  <si>
    <t>2609997</t>
  </si>
  <si>
    <t>7200017412</t>
  </si>
  <si>
    <t>MGNSL-EF260560</t>
  </si>
  <si>
    <t>00000042-005514-2026</t>
  </si>
  <si>
    <t>2609998</t>
  </si>
  <si>
    <t>Springfield</t>
  </si>
  <si>
    <t>MG-SPF-2025</t>
  </si>
  <si>
    <t>4190851,4190850</t>
  </si>
  <si>
    <t>VALENCIA</t>
  </si>
  <si>
    <t>MGL-EF260648, MGL-EF260649</t>
  </si>
  <si>
    <t>OBL</t>
  </si>
  <si>
    <t>393289</t>
  </si>
  <si>
    <t>21 Days</t>
  </si>
  <si>
    <t>2609999</t>
  </si>
  <si>
    <t>4190845</t>
  </si>
  <si>
    <t>Mexico</t>
  </si>
  <si>
    <t>MGL-EF260664</t>
  </si>
  <si>
    <t>00001880-001783-2026</t>
  </si>
  <si>
    <t>2610000</t>
  </si>
  <si>
    <t>4191116</t>
  </si>
  <si>
    <t>Hong Kong</t>
  </si>
  <si>
    <t>MGL-EF260665</t>
  </si>
  <si>
    <t>00001880-001784-2026</t>
  </si>
  <si>
    <t>2610001</t>
  </si>
  <si>
    <t>EL CORTE INGLES</t>
  </si>
  <si>
    <t>ECI-AW26</t>
  </si>
  <si>
    <t>0129591065801</t>
  </si>
  <si>
    <t>MGL-EF260650</t>
  </si>
  <si>
    <t>00001880-001729-2026</t>
  </si>
  <si>
    <t>2610002</t>
  </si>
  <si>
    <t>0129591065802</t>
  </si>
  <si>
    <t>Barcelona</t>
  </si>
  <si>
    <t>00001880-001730-2026</t>
  </si>
  <si>
    <t>2610004</t>
  </si>
  <si>
    <t>0003449806,0003448823</t>
  </si>
  <si>
    <t>00000947-001638-2026</t>
  </si>
  <si>
    <t>2610005</t>
  </si>
  <si>
    <t>QURO BANGLADESH</t>
  </si>
  <si>
    <t>QUROMG</t>
  </si>
  <si>
    <t>AX8507521-1</t>
  </si>
  <si>
    <t>MGNSL-EF260564</t>
  </si>
  <si>
    <t>00000042-005525-2026</t>
  </si>
  <si>
    <t>2610006</t>
  </si>
  <si>
    <t>MNS4714595,MNS4714596,MNS4664364,MNS4664365</t>
  </si>
  <si>
    <t>Denmark</t>
  </si>
  <si>
    <t>MGNSL-EF260563</t>
  </si>
  <si>
    <t>00001079-003519-2026</t>
  </si>
  <si>
    <t>2610007</t>
  </si>
  <si>
    <t>MNS4664368,MNS4664367</t>
  </si>
  <si>
    <t>Norway</t>
  </si>
  <si>
    <t>00001079-003520-2026</t>
  </si>
  <si>
    <t>2610008</t>
  </si>
  <si>
    <t>Sketch BD</t>
  </si>
  <si>
    <t>PEPL/MGS/08/2026</t>
  </si>
  <si>
    <t>881</t>
  </si>
  <si>
    <t>Kolkata, India</t>
  </si>
  <si>
    <t>MGSL-EF261147</t>
  </si>
  <si>
    <t>00000042-005530-2026</t>
  </si>
  <si>
    <t>415405</t>
  </si>
  <si>
    <t>45 Days</t>
  </si>
  <si>
    <t>2610009</t>
  </si>
  <si>
    <t>6052474</t>
  </si>
  <si>
    <t>MGNSL-EF260584</t>
  </si>
  <si>
    <t>00001079-003637-2026</t>
  </si>
  <si>
    <t>2610010</t>
  </si>
  <si>
    <t>6051198</t>
  </si>
  <si>
    <t>MGNSL-EF260582</t>
  </si>
  <si>
    <t>00001079-003616-2026</t>
  </si>
  <si>
    <t>2610011</t>
  </si>
  <si>
    <t>Primark</t>
  </si>
  <si>
    <t>Primark Lingerie BA 25</t>
  </si>
  <si>
    <t>1246986</t>
  </si>
  <si>
    <t>MGNFL-2</t>
  </si>
  <si>
    <t>MGL-EF260651</t>
  </si>
  <si>
    <t>00000947-001641-2026</t>
  </si>
  <si>
    <t>416595</t>
  </si>
  <si>
    <t>2610012</t>
  </si>
  <si>
    <t>ROTTERDAM</t>
  </si>
  <si>
    <t>585/26</t>
  </si>
  <si>
    <t>DR-09-26-064</t>
  </si>
  <si>
    <t>00000947-001642-2026</t>
  </si>
  <si>
    <t>416631</t>
  </si>
  <si>
    <t>2610013</t>
  </si>
  <si>
    <t>Felixtowe</t>
  </si>
  <si>
    <t>00000947-001643-2026</t>
  </si>
  <si>
    <t>416614</t>
  </si>
  <si>
    <t>2610014</t>
  </si>
  <si>
    <t>Dublin</t>
  </si>
  <si>
    <t>00000947-001644-2026</t>
  </si>
  <si>
    <t>416642</t>
  </si>
  <si>
    <t>2610015</t>
  </si>
  <si>
    <t>00000947-001645-2026</t>
  </si>
  <si>
    <t>416622</t>
  </si>
  <si>
    <t>2610016</t>
  </si>
  <si>
    <t>NEW YORK</t>
  </si>
  <si>
    <t>00000947-001646-2026</t>
  </si>
  <si>
    <t>417278</t>
  </si>
  <si>
    <t>2610017</t>
  </si>
  <si>
    <t>527268</t>
  </si>
  <si>
    <t>MGNSL-EF260569</t>
  </si>
  <si>
    <t>00000042-005526-2026</t>
  </si>
  <si>
    <t>2610018</t>
  </si>
  <si>
    <t>MG BA VG-01</t>
  </si>
  <si>
    <t>267119,287068,267122,269951,269952</t>
  </si>
  <si>
    <t>MGL-EF260653</t>
  </si>
  <si>
    <t>00000947-001656-2026</t>
  </si>
  <si>
    <t>2610019</t>
  </si>
  <si>
    <t>HAGGAR CLOTHING CO.</t>
  </si>
  <si>
    <t>HAGGAR-USA-04-2025</t>
  </si>
  <si>
    <t>1073018,1073015,1073019,1073017,1073014,1073021,1073016,1073020,1073023,1073022</t>
  </si>
  <si>
    <t>Canada</t>
  </si>
  <si>
    <t>MGNSL-EF260577, MGNSL-EF260578</t>
  </si>
  <si>
    <t>00000042-005594-2026</t>
  </si>
  <si>
    <t>2610020</t>
  </si>
  <si>
    <t>MNS4720446</t>
  </si>
  <si>
    <t>00001079-003524-2026</t>
  </si>
  <si>
    <t>Geniemode Bd</t>
  </si>
  <si>
    <t>GM/Next/02/2026</t>
  </si>
  <si>
    <t>CJ8470645</t>
  </si>
  <si>
    <t>MGL-EF260678</t>
  </si>
  <si>
    <t>00000947-001650-2026</t>
  </si>
  <si>
    <t>14 Days</t>
  </si>
  <si>
    <t>CJ8470632</t>
  </si>
  <si>
    <t>MGL-EF260679, MGL-EF260678</t>
  </si>
  <si>
    <t>00000947-001651-2026</t>
  </si>
  <si>
    <t>2610023</t>
  </si>
  <si>
    <t>O18609199_3</t>
  </si>
  <si>
    <t>MGL-EF260652</t>
  </si>
  <si>
    <t>00000947-001652-2026</t>
  </si>
  <si>
    <t>411358</t>
  </si>
  <si>
    <t>2610024</t>
  </si>
  <si>
    <t>CJ8470616</t>
  </si>
  <si>
    <t>MGL-EF260679</t>
  </si>
  <si>
    <t>00000947-001653-2026</t>
  </si>
  <si>
    <t>2610025</t>
  </si>
  <si>
    <t>7200017772</t>
  </si>
  <si>
    <t>MGNSL-EF260567</t>
  </si>
  <si>
    <t>00000042-005535-2026</t>
  </si>
  <si>
    <t>2610027</t>
  </si>
  <si>
    <t>7200017795</t>
  </si>
  <si>
    <t>00000042-005537-2026</t>
  </si>
  <si>
    <t>2610028</t>
  </si>
  <si>
    <t>654615-7657</t>
  </si>
  <si>
    <t>00001689-021456-2026</t>
  </si>
  <si>
    <t>2610029</t>
  </si>
  <si>
    <t>TAIPAI</t>
  </si>
  <si>
    <t>00001689-021457-2026</t>
  </si>
  <si>
    <t>2610030</t>
  </si>
  <si>
    <t>MGSL/H&amp;M-Mens DBL-S.04</t>
  </si>
  <si>
    <t>670425-7879</t>
  </si>
  <si>
    <t>00001689-021458-2026</t>
  </si>
  <si>
    <t>EOM+63</t>
  </si>
  <si>
    <t>2610031</t>
  </si>
  <si>
    <t>670428-7879</t>
  </si>
  <si>
    <t>00001689-021459-2026</t>
  </si>
  <si>
    <t>2610032</t>
  </si>
  <si>
    <t>696363-8617</t>
  </si>
  <si>
    <t>00001689-021460-2026</t>
  </si>
  <si>
    <t>2610033</t>
  </si>
  <si>
    <t>697288-8617</t>
  </si>
  <si>
    <t>00001689-021461-2026</t>
  </si>
  <si>
    <t>2610034</t>
  </si>
  <si>
    <t>DURBAN</t>
  </si>
  <si>
    <t>00001689-021462-2026</t>
  </si>
  <si>
    <t>2610035</t>
  </si>
  <si>
    <t>704855-8617</t>
  </si>
  <si>
    <t>QUITO</t>
  </si>
  <si>
    <t>MGSL-EF261141</t>
  </si>
  <si>
    <t>00001689-021463-2026</t>
  </si>
  <si>
    <t>2610036</t>
  </si>
  <si>
    <t>VERACRUZ</t>
  </si>
  <si>
    <t>00001689-021464-2026</t>
  </si>
  <si>
    <t>2610037</t>
  </si>
  <si>
    <t>MGSL/Women Shirt S.4</t>
  </si>
  <si>
    <t>570501-1515</t>
  </si>
  <si>
    <t>CALLAO</t>
  </si>
  <si>
    <t>MGSL-EF261143</t>
  </si>
  <si>
    <t>00001689-021465-2026</t>
  </si>
  <si>
    <t>2610038</t>
  </si>
  <si>
    <t>579367-1515</t>
  </si>
  <si>
    <t>00001689-021466-2026</t>
  </si>
  <si>
    <t>2610039</t>
  </si>
  <si>
    <t>595607-5777</t>
  </si>
  <si>
    <t>00001689-021467-2026</t>
  </si>
  <si>
    <t>2610040</t>
  </si>
  <si>
    <t>639940-7878</t>
  </si>
  <si>
    <t>Bangkok</t>
  </si>
  <si>
    <t>MGSL-EF261144</t>
  </si>
  <si>
    <t>00001689-021468-2026</t>
  </si>
  <si>
    <t>2610041</t>
  </si>
  <si>
    <t>MGSL/Infants Set S.4</t>
  </si>
  <si>
    <t>645118-6565</t>
  </si>
  <si>
    <t>Jakarta</t>
  </si>
  <si>
    <t>MGSL-EF261146</t>
  </si>
  <si>
    <t>00001689-021469-2026</t>
  </si>
  <si>
    <t>2610042</t>
  </si>
  <si>
    <t>666686-8757</t>
  </si>
  <si>
    <t>Felixstowe</t>
  </si>
  <si>
    <t>00001689-021470-2026</t>
  </si>
  <si>
    <t>2610043</t>
  </si>
  <si>
    <t>666687-8757</t>
  </si>
  <si>
    <t>Toronto</t>
  </si>
  <si>
    <t>00001689-021471-2026</t>
  </si>
  <si>
    <t>2610044</t>
  </si>
  <si>
    <t>00001689-021472-2026</t>
  </si>
  <si>
    <t>2610045</t>
  </si>
  <si>
    <t>667504-6565</t>
  </si>
  <si>
    <t>00001689-021473-2026</t>
  </si>
  <si>
    <t>2610046</t>
  </si>
  <si>
    <t>GDANSK</t>
  </si>
  <si>
    <t>MGSL-EF261145</t>
  </si>
  <si>
    <t>00001689-021474-2026</t>
  </si>
  <si>
    <t>2610047</t>
  </si>
  <si>
    <t>669151-7878</t>
  </si>
  <si>
    <t>00001689-021475-2026</t>
  </si>
  <si>
    <t>2610048</t>
  </si>
  <si>
    <t>669604-7878</t>
  </si>
  <si>
    <t>00001689-021476-2026</t>
  </si>
  <si>
    <t>2610049</t>
  </si>
  <si>
    <t>00001689-021477-2026</t>
  </si>
  <si>
    <t>2610050</t>
  </si>
  <si>
    <t>00001689-021478-2026</t>
  </si>
  <si>
    <t>2610051</t>
  </si>
  <si>
    <t>MANILA</t>
  </si>
  <si>
    <t>00001689-021479-2026</t>
  </si>
  <si>
    <t>2610052</t>
  </si>
  <si>
    <t>00001689-021480-2026</t>
  </si>
  <si>
    <t>2610053</t>
  </si>
  <si>
    <t>HoChiMinh Saigon</t>
  </si>
  <si>
    <t>00001689-021481-2026</t>
  </si>
  <si>
    <t>2610054</t>
  </si>
  <si>
    <t>670495-7878</t>
  </si>
  <si>
    <t>00001689-021482-2026</t>
  </si>
  <si>
    <t>2610055</t>
  </si>
  <si>
    <t>00001689-021483-2026</t>
  </si>
  <si>
    <t>2610056</t>
  </si>
  <si>
    <t>670496-7878</t>
  </si>
  <si>
    <t>00001689-021484-2026</t>
  </si>
  <si>
    <t>2610057</t>
  </si>
  <si>
    <t>00001689-021485-2026</t>
  </si>
  <si>
    <t>2610058</t>
  </si>
  <si>
    <t>00001689-021486-2026</t>
  </si>
  <si>
    <t>2610059</t>
  </si>
  <si>
    <t>00001689-021487-2026</t>
  </si>
  <si>
    <t>2610060</t>
  </si>
  <si>
    <t>00001689-021488-2026</t>
  </si>
  <si>
    <t>2610061</t>
  </si>
  <si>
    <t>00001689-021489-2026</t>
  </si>
  <si>
    <t>2610062</t>
  </si>
  <si>
    <t>670499-7878</t>
  </si>
  <si>
    <t>00001689-021490-2026</t>
  </si>
  <si>
    <t>2610063</t>
  </si>
  <si>
    <t>670500-7878</t>
  </si>
  <si>
    <t>00001689-021491-2026</t>
  </si>
  <si>
    <t>2610064</t>
  </si>
  <si>
    <t>00001689-021492-2026</t>
  </si>
  <si>
    <t>2610065</t>
  </si>
  <si>
    <t>679742-7878</t>
  </si>
  <si>
    <t>00001689-021493-2026</t>
  </si>
  <si>
    <t>2610066</t>
  </si>
  <si>
    <t>00001689-021494-2026</t>
  </si>
  <si>
    <t>2610067</t>
  </si>
  <si>
    <t>00001689-021495-2026</t>
  </si>
  <si>
    <t>2610068</t>
  </si>
  <si>
    <t>679743-7878</t>
  </si>
  <si>
    <t>00001689-021496-2026</t>
  </si>
  <si>
    <t>2610069</t>
  </si>
  <si>
    <t>00001689-021497-2026</t>
  </si>
  <si>
    <t>2610070</t>
  </si>
  <si>
    <t>679744-7878</t>
  </si>
  <si>
    <t>PORT KLANG</t>
  </si>
  <si>
    <t>00001689-021498-2026</t>
  </si>
  <si>
    <t>2610071</t>
  </si>
  <si>
    <t>682783-7878</t>
  </si>
  <si>
    <t>00001689-021499-2026</t>
  </si>
  <si>
    <t>2610072</t>
  </si>
  <si>
    <t>00001689-021500-2026</t>
  </si>
  <si>
    <t>2610073</t>
  </si>
  <si>
    <t>00001689-021501-2026</t>
  </si>
  <si>
    <t>2610074</t>
  </si>
  <si>
    <t>00001689-021502-2026</t>
  </si>
  <si>
    <t>2610075</t>
  </si>
  <si>
    <t>MGSL/H&amp;M-Mens DBL-S.05</t>
  </si>
  <si>
    <t>707067-8617</t>
  </si>
  <si>
    <t>BAKU</t>
  </si>
  <si>
    <t>00001689-021503-2026</t>
  </si>
  <si>
    <t>2610076</t>
  </si>
  <si>
    <t>00001689-021504-2026</t>
  </si>
  <si>
    <t>2610077</t>
  </si>
  <si>
    <t>00001689-021505-2026</t>
  </si>
  <si>
    <t>2610078</t>
  </si>
  <si>
    <t>TANJUNG PELEPAS</t>
  </si>
  <si>
    <t>00001689-021506-2026</t>
  </si>
  <si>
    <t>2610079</t>
  </si>
  <si>
    <t>00001689-021507-2026</t>
  </si>
  <si>
    <t>2610080</t>
  </si>
  <si>
    <t>00001689-021508-2026</t>
  </si>
  <si>
    <t>2610081</t>
  </si>
  <si>
    <t>635415-7878</t>
  </si>
  <si>
    <t>MGSL-EF261138</t>
  </si>
  <si>
    <t>00001689-021509-2026</t>
  </si>
  <si>
    <t>2610082</t>
  </si>
  <si>
    <t>635416-7878</t>
  </si>
  <si>
    <t>00001689-021510-2026</t>
  </si>
  <si>
    <t>2610083</t>
  </si>
  <si>
    <t>653951-7657</t>
  </si>
  <si>
    <t>MGSL-EF261137</t>
  </si>
  <si>
    <t>00001689-021511-2026</t>
  </si>
  <si>
    <t>2610084</t>
  </si>
  <si>
    <t>671428-7657</t>
  </si>
  <si>
    <t>MGSL-EF261142</t>
  </si>
  <si>
    <t>00001689-021512-2026</t>
  </si>
  <si>
    <t>2610085</t>
  </si>
  <si>
    <t>682312-8617</t>
  </si>
  <si>
    <t>00001689-021513-2026</t>
  </si>
  <si>
    <t>2610086</t>
  </si>
  <si>
    <t>689459-8757</t>
  </si>
  <si>
    <t>00001689-021514-2026</t>
  </si>
  <si>
    <t>2610087</t>
  </si>
  <si>
    <t>691172-7657</t>
  </si>
  <si>
    <t>00001689-021515-2026</t>
  </si>
  <si>
    <t>2610088</t>
  </si>
  <si>
    <t>00001689-021516-2026</t>
  </si>
  <si>
    <t>2610089</t>
  </si>
  <si>
    <t>00001689-021517-2026</t>
  </si>
  <si>
    <t>2610090</t>
  </si>
  <si>
    <t>694009-8617</t>
  </si>
  <si>
    <t>00001689-021518-2026</t>
  </si>
  <si>
    <t>2610091</t>
  </si>
  <si>
    <t>700245-8757</t>
  </si>
  <si>
    <t>00001689-021519-2026</t>
  </si>
  <si>
    <t>2610092</t>
  </si>
  <si>
    <t>00001689-021520-2026</t>
  </si>
  <si>
    <t>2610093</t>
  </si>
  <si>
    <t>00001689-021521-2026</t>
  </si>
  <si>
    <t>2610094</t>
  </si>
  <si>
    <t>685207-8617</t>
  </si>
  <si>
    <t>00001689-021522-2026</t>
  </si>
  <si>
    <t>2610095</t>
  </si>
  <si>
    <t>00001689-021523-2026</t>
  </si>
  <si>
    <t>2610096</t>
  </si>
  <si>
    <t>00001689-021524-2026</t>
  </si>
  <si>
    <t>2610097</t>
  </si>
  <si>
    <t>658779-8757</t>
  </si>
  <si>
    <t>00001689-021525-2026</t>
  </si>
  <si>
    <t>2610098</t>
  </si>
  <si>
    <t>665428-8757</t>
  </si>
  <si>
    <t>00001689-021526-2026</t>
  </si>
  <si>
    <t>2610099</t>
  </si>
  <si>
    <t>6110556</t>
  </si>
  <si>
    <t>00001079-003665-2026</t>
  </si>
  <si>
    <t>2610100</t>
  </si>
  <si>
    <t>PEPE JEANS SL</t>
  </si>
  <si>
    <t>MG-Pepe Jeans SS25MC</t>
  </si>
  <si>
    <t>4500229139</t>
  </si>
  <si>
    <t>MGL-EF260659</t>
  </si>
  <si>
    <t>6666.30</t>
  </si>
  <si>
    <t>EXIM</t>
  </si>
  <si>
    <t>00001949-001892-2026</t>
  </si>
  <si>
    <t>2610102</t>
  </si>
  <si>
    <t>CJ8474926</t>
  </si>
  <si>
    <t>MGNSL-EF260572</t>
  </si>
  <si>
    <t>00001079-003549-2026</t>
  </si>
  <si>
    <t>2610103</t>
  </si>
  <si>
    <t>7200017770</t>
  </si>
  <si>
    <t>Jabel-Ali</t>
  </si>
  <si>
    <t>MGNSL-EF260586</t>
  </si>
  <si>
    <t>00000042-005562-2026</t>
  </si>
  <si>
    <t>2610104</t>
  </si>
  <si>
    <t>7200017773</t>
  </si>
  <si>
    <t>MGNSL-EF260573</t>
  </si>
  <si>
    <t>00000042-005563-2026</t>
  </si>
  <si>
    <t>2610105</t>
  </si>
  <si>
    <t>7200017774</t>
  </si>
  <si>
    <t>00000042-005564-2026</t>
  </si>
  <si>
    <t>2610106</t>
  </si>
  <si>
    <t>0111991142101</t>
  </si>
  <si>
    <t>MGL-EF260658</t>
  </si>
  <si>
    <t xml:space="preserve"> 00001880-001754-2026</t>
  </si>
  <si>
    <t>2610107</t>
  </si>
  <si>
    <t>0111991142102</t>
  </si>
  <si>
    <t>00001880-001753-2026</t>
  </si>
  <si>
    <t>2610108</t>
  </si>
  <si>
    <t>6066549</t>
  </si>
  <si>
    <t>MGNSL-EF260600</t>
  </si>
  <si>
    <t>00001079-003717-2026</t>
  </si>
  <si>
    <t>2610109</t>
  </si>
  <si>
    <t>6052959</t>
  </si>
  <si>
    <t>00001079-003666-2026</t>
  </si>
  <si>
    <t>2610110</t>
  </si>
  <si>
    <t>6115474</t>
  </si>
  <si>
    <t>00001079-003646-2026</t>
  </si>
  <si>
    <t>437304</t>
  </si>
  <si>
    <t>2610111</t>
  </si>
  <si>
    <t>1258759</t>
  </si>
  <si>
    <t>MGL-EF260656</t>
  </si>
  <si>
    <t xml:space="preserve"> 00000947-001667-2026</t>
  </si>
  <si>
    <t>427160</t>
  </si>
  <si>
    <t>2610112</t>
  </si>
  <si>
    <t xml:space="preserve"> 00000947-001668-2026</t>
  </si>
  <si>
    <t>427149</t>
  </si>
  <si>
    <t>2610114</t>
  </si>
  <si>
    <t>AX8507518-1</t>
  </si>
  <si>
    <t>MGNSL-EF260576</t>
  </si>
  <si>
    <t>0042-005590-2026</t>
  </si>
  <si>
    <t>2610115</t>
  </si>
  <si>
    <t>177330,177332,177333,177331,177328,177329</t>
  </si>
  <si>
    <t>MGL-EF260662</t>
  </si>
  <si>
    <t>09470016762026</t>
  </si>
  <si>
    <t>415391</t>
  </si>
  <si>
    <t>2610116</t>
  </si>
  <si>
    <t>8563409,8563408,8556627,8563017,8534892</t>
  </si>
  <si>
    <t>MGL-EF260660</t>
  </si>
  <si>
    <t>00000947-001674-2026</t>
  </si>
  <si>
    <t>926867</t>
  </si>
  <si>
    <t>2610117</t>
  </si>
  <si>
    <t>MNSSGA4659042,MNSSGA4659045</t>
  </si>
  <si>
    <t>MGNSL-EF260574</t>
  </si>
  <si>
    <t>00001079-003581-2026</t>
  </si>
  <si>
    <t>420335</t>
  </si>
  <si>
    <t>2610118</t>
  </si>
  <si>
    <t>MNSSGA4659068,MNSSGA4659070</t>
  </si>
  <si>
    <t>00001079-003582-2026</t>
  </si>
  <si>
    <t>420299</t>
  </si>
  <si>
    <t>2610119</t>
  </si>
  <si>
    <t>Montevideo</t>
  </si>
  <si>
    <t>MGSL-EF261158</t>
  </si>
  <si>
    <t>00001689-021674-2026</t>
  </si>
  <si>
    <t>2610120</t>
  </si>
  <si>
    <t>574579-5777</t>
  </si>
  <si>
    <t>SANTOS</t>
  </si>
  <si>
    <t>00001689-021675-2026</t>
  </si>
  <si>
    <t>2610121</t>
  </si>
  <si>
    <t>SAN ANTONIO</t>
  </si>
  <si>
    <t>MGSL-EF261154</t>
  </si>
  <si>
    <t>00001689-021676-2026</t>
  </si>
  <si>
    <t>2610122</t>
  </si>
  <si>
    <t>00001689-021677-2026</t>
  </si>
  <si>
    <t>2610123</t>
  </si>
  <si>
    <t>585799-5777</t>
  </si>
  <si>
    <t>SYDNEY</t>
  </si>
  <si>
    <t>00001689-021678-2026</t>
  </si>
  <si>
    <t>422946</t>
  </si>
  <si>
    <t>2610124</t>
  </si>
  <si>
    <t>00001689-021679-2026</t>
  </si>
  <si>
    <t>2610125</t>
  </si>
  <si>
    <t>00001689-021680-2026</t>
  </si>
  <si>
    <t>2610126</t>
  </si>
  <si>
    <t>603709-7878</t>
  </si>
  <si>
    <t>00001689-021681-2026</t>
  </si>
  <si>
    <t>2610127</t>
  </si>
  <si>
    <t>00001689-021682-2026</t>
  </si>
  <si>
    <t>2610128</t>
  </si>
  <si>
    <t>603711-7878</t>
  </si>
  <si>
    <t>00001689-021683-2026</t>
  </si>
  <si>
    <t>2610129</t>
  </si>
  <si>
    <t>00001689-021684-2026</t>
  </si>
  <si>
    <t>2610130</t>
  </si>
  <si>
    <t>627353-7657</t>
  </si>
  <si>
    <t>00001689-021685-2026</t>
  </si>
  <si>
    <t>2610131</t>
  </si>
  <si>
    <t>MGSL-EF261159</t>
  </si>
  <si>
    <t>00001689-021686-2026</t>
  </si>
  <si>
    <t>2610132</t>
  </si>
  <si>
    <t>645130-6565</t>
  </si>
  <si>
    <t>00001689-021687-2026</t>
  </si>
  <si>
    <t>2610133</t>
  </si>
  <si>
    <t>00001689-021688-2026</t>
  </si>
  <si>
    <t>422939</t>
  </si>
  <si>
    <t>2610134</t>
  </si>
  <si>
    <t>00001689-021689-2026</t>
  </si>
  <si>
    <t>2610135</t>
  </si>
  <si>
    <t>667207-6565</t>
  </si>
  <si>
    <t>MGSL-EF261153</t>
  </si>
  <si>
    <t>00001689-021690-2026</t>
  </si>
  <si>
    <t>2610136</t>
  </si>
  <si>
    <t>INDIANA POLIS</t>
  </si>
  <si>
    <t>00001689-021691-2026</t>
  </si>
  <si>
    <t>2610137</t>
  </si>
  <si>
    <t>GOTHENBURG</t>
  </si>
  <si>
    <t>00001689-021692-2026</t>
  </si>
  <si>
    <t>2610138</t>
  </si>
  <si>
    <t>668531-7878</t>
  </si>
  <si>
    <t>CARTAGENA</t>
  </si>
  <si>
    <t>00001689-021693-2026</t>
  </si>
  <si>
    <t>2610139</t>
  </si>
  <si>
    <t>PANAMA CITY</t>
  </si>
  <si>
    <t>00001689-021694-2026</t>
  </si>
  <si>
    <t>2610140</t>
  </si>
  <si>
    <t>00001689-021695-2026</t>
  </si>
  <si>
    <t>2610141</t>
  </si>
  <si>
    <t>00001689-021696-2026</t>
  </si>
  <si>
    <t>2610142</t>
  </si>
  <si>
    <t>668535-7878</t>
  </si>
  <si>
    <t>00001689-021697-2026</t>
  </si>
  <si>
    <t>2610143</t>
  </si>
  <si>
    <t>00001689-021698-2026</t>
  </si>
  <si>
    <t>422954</t>
  </si>
  <si>
    <t>2610144</t>
  </si>
  <si>
    <t>669603-7878</t>
  </si>
  <si>
    <t>00001689-021699-2026</t>
  </si>
  <si>
    <t>2610145</t>
  </si>
  <si>
    <t>00001689-021700-2026</t>
  </si>
  <si>
    <t>2610146</t>
  </si>
  <si>
    <t>00001689-021701-2026</t>
  </si>
  <si>
    <t>2610147</t>
  </si>
  <si>
    <t>00001689-021702-2026</t>
  </si>
  <si>
    <t>2610148</t>
  </si>
  <si>
    <t>00001689-021703-2026</t>
  </si>
  <si>
    <t>2610149</t>
  </si>
  <si>
    <t>697257-7657</t>
  </si>
  <si>
    <t>00001689-021704-2026</t>
  </si>
  <si>
    <t>2610150</t>
  </si>
  <si>
    <t>GENOA</t>
  </si>
  <si>
    <t>00001689-021705-2026</t>
  </si>
  <si>
    <t>2610151</t>
  </si>
  <si>
    <t>589732-8617</t>
  </si>
  <si>
    <t>MGSL-EF261148</t>
  </si>
  <si>
    <t>00001689-021706-2026</t>
  </si>
  <si>
    <t>2610152</t>
  </si>
  <si>
    <t>MGSL-EF261150</t>
  </si>
  <si>
    <t>00001689-021707-2026</t>
  </si>
  <si>
    <t>2610153</t>
  </si>
  <si>
    <t>670494-7657</t>
  </si>
  <si>
    <t>00001689-021708-2026</t>
  </si>
  <si>
    <t>422958</t>
  </si>
  <si>
    <t>2610154</t>
  </si>
  <si>
    <t>671441-7657</t>
  </si>
  <si>
    <t>00001689-021709-2026</t>
  </si>
  <si>
    <t>2610155</t>
  </si>
  <si>
    <t>685404-7657</t>
  </si>
  <si>
    <t>00001689-021710-2026</t>
  </si>
  <si>
    <t>2610156</t>
  </si>
  <si>
    <t>00001689-021711-2026</t>
  </si>
  <si>
    <t>2610157</t>
  </si>
  <si>
    <t>685494-7657</t>
  </si>
  <si>
    <t>00001689-021712-2026</t>
  </si>
  <si>
    <t>2610158</t>
  </si>
  <si>
    <t>YOKOHAMA</t>
  </si>
  <si>
    <t>00001689-021713-2026</t>
  </si>
  <si>
    <t>423001</t>
  </si>
  <si>
    <t>2610159</t>
  </si>
  <si>
    <t>MGSL-EF261149</t>
  </si>
  <si>
    <t>00001689-021714-2026</t>
  </si>
  <si>
    <t>2610160</t>
  </si>
  <si>
    <t>00001689-021715-2026</t>
  </si>
  <si>
    <t>422945</t>
  </si>
  <si>
    <t>2610161</t>
  </si>
  <si>
    <t>00001689-021716-2026</t>
  </si>
  <si>
    <t>2610162</t>
  </si>
  <si>
    <t>00001689-021717-2026</t>
  </si>
  <si>
    <t>2610163</t>
  </si>
  <si>
    <t>Ambarli, Istanbul</t>
  </si>
  <si>
    <t>00001689-021718-2026</t>
  </si>
  <si>
    <t>2610164</t>
  </si>
  <si>
    <t>HAMBURG</t>
  </si>
  <si>
    <t>00001689-021719-2026</t>
  </si>
  <si>
    <t>2610165</t>
  </si>
  <si>
    <t>00001689-021720-2026</t>
  </si>
  <si>
    <t>2610166</t>
  </si>
  <si>
    <t>RIJEKA</t>
  </si>
  <si>
    <t>00001689-021721-2026</t>
  </si>
  <si>
    <t>2610167</t>
  </si>
  <si>
    <t>700509-7657</t>
  </si>
  <si>
    <t>00001689-021722-2026</t>
  </si>
  <si>
    <t>2610168</t>
  </si>
  <si>
    <t>581306-8617</t>
  </si>
  <si>
    <t>MGSL-EF261156</t>
  </si>
  <si>
    <t>00001689-021723-2026</t>
  </si>
  <si>
    <t>422951</t>
  </si>
  <si>
    <t>2610169</t>
  </si>
  <si>
    <t>00001689-021724-2026</t>
  </si>
  <si>
    <t>422949</t>
  </si>
  <si>
    <t>2610170</t>
  </si>
  <si>
    <t>713409-8617</t>
  </si>
  <si>
    <t>MGSL-EF261152</t>
  </si>
  <si>
    <t>00001689-021725-2026</t>
  </si>
  <si>
    <t>2610171</t>
  </si>
  <si>
    <t>00001689-021726-2026</t>
  </si>
  <si>
    <t>2610172</t>
  </si>
  <si>
    <t>716573-8617</t>
  </si>
  <si>
    <t>MGSL-EF261155</t>
  </si>
  <si>
    <t>00001689-021727-2026</t>
  </si>
  <si>
    <t>2610173</t>
  </si>
  <si>
    <t>ANTWERP</t>
  </si>
  <si>
    <t>00001689-021728-2026</t>
  </si>
  <si>
    <t>2610174</t>
  </si>
  <si>
    <t>AX8507518-2</t>
  </si>
  <si>
    <t>MGNSL-EF260575</t>
  </si>
  <si>
    <t>0042-005591-2026</t>
  </si>
  <si>
    <t>2610175</t>
  </si>
  <si>
    <t>ZXY</t>
  </si>
  <si>
    <t>ZXY/CIA/MGS/260500043</t>
  </si>
  <si>
    <t>2026-270C</t>
  </si>
  <si>
    <t>MGSL-EF261151</t>
  </si>
  <si>
    <t>10912.01</t>
  </si>
  <si>
    <t>00000042-005592-2026</t>
  </si>
  <si>
    <t>415396</t>
  </si>
  <si>
    <t>2610176</t>
  </si>
  <si>
    <t>6125802,6125939</t>
  </si>
  <si>
    <t>MGNSL-EF260594</t>
  </si>
  <si>
    <t>00001079-003704-2026</t>
  </si>
  <si>
    <t>2610179</t>
  </si>
  <si>
    <t>O18609186_01</t>
  </si>
  <si>
    <t>MGL-EF260663</t>
  </si>
  <si>
    <t>00000947-001689-2026</t>
  </si>
  <si>
    <t>2610180</t>
  </si>
  <si>
    <t>6051196</t>
  </si>
  <si>
    <t>00001079-003667-2026</t>
  </si>
  <si>
    <t>2610181</t>
  </si>
  <si>
    <t>0003449777,0003462200,0003449795,0003449804,0003449808,0003449802,0003449770,0003449792,0003449800</t>
  </si>
  <si>
    <t>MGL-EF260713</t>
  </si>
  <si>
    <t>00000947-001679-2026</t>
  </si>
  <si>
    <t>2610182</t>
  </si>
  <si>
    <t>6115094</t>
  </si>
  <si>
    <t>MGNSL-EF260601</t>
  </si>
  <si>
    <t>00001079-003749-2026</t>
  </si>
  <si>
    <t>2610186</t>
  </si>
  <si>
    <t>6115419</t>
  </si>
  <si>
    <t>00001079-003700-2026</t>
  </si>
  <si>
    <t>2610187</t>
  </si>
  <si>
    <t>FFT/NB/03/2026</t>
  </si>
  <si>
    <t>1182941,1182947,1182933,1182942,1182943,1182936,1182935,1182945,1182934,1182938,1182944,1182940</t>
  </si>
  <si>
    <t>MGL-EF260670</t>
  </si>
  <si>
    <t>00000947-001687-2026</t>
  </si>
  <si>
    <t>TT 60DAFTERSHIP</t>
  </si>
  <si>
    <t>2610188</t>
  </si>
  <si>
    <t>4190841,4190833,4190844,4190848,4190843,4191115,4190834,4190836,4190839,4190838,4190837,4190842,4190846,4190847,4190835,4190840</t>
  </si>
  <si>
    <t>Spain</t>
  </si>
  <si>
    <t>00001880-001785-2026</t>
  </si>
  <si>
    <t>2610189</t>
  </si>
  <si>
    <t>MG-SPF-2026</t>
  </si>
  <si>
    <t>4174551,4174553,4174555,4174552,4174557,4174550,4174556,4174549,4174548</t>
  </si>
  <si>
    <t>MGL-EF260668</t>
  </si>
  <si>
    <t>00001949-001901-2026</t>
  </si>
  <si>
    <t>2610190</t>
  </si>
  <si>
    <t>4174554</t>
  </si>
  <si>
    <t>00001949-001902-2026</t>
  </si>
  <si>
    <t>2610192</t>
  </si>
  <si>
    <t>BX8448033-1</t>
  </si>
  <si>
    <t>MGNSL-EF260588</t>
  </si>
  <si>
    <t>00000042-005650-2026</t>
  </si>
  <si>
    <t>2610193</t>
  </si>
  <si>
    <t>BX8447940-1</t>
  </si>
  <si>
    <t>MGNSL-EF260583</t>
  </si>
  <si>
    <t xml:space="preserve"> 00000042-005625-2026</t>
  </si>
  <si>
    <t>2610194</t>
  </si>
  <si>
    <t>AX8507631-1</t>
  </si>
  <si>
    <t>MGNSL-EF260580</t>
  </si>
  <si>
    <t>00000042-005609-2026</t>
  </si>
  <si>
    <t>2610197</t>
  </si>
  <si>
    <t>0003448661</t>
  </si>
  <si>
    <t>MGL-EF260675</t>
  </si>
  <si>
    <t>00000947-001690-2026</t>
  </si>
  <si>
    <t>2610198</t>
  </si>
  <si>
    <t>ETM/MGL/ETM/02/2026</t>
  </si>
  <si>
    <t>8560263,8572203,8564939, 8548852</t>
  </si>
  <si>
    <t>MGL-EF260669</t>
  </si>
  <si>
    <t>00000947-001692-2026</t>
  </si>
  <si>
    <t>429116</t>
  </si>
  <si>
    <t>2610199</t>
  </si>
  <si>
    <t>ECI-AW25</t>
  </si>
  <si>
    <t>0141591289701</t>
  </si>
  <si>
    <t>MGL-EF260673</t>
  </si>
  <si>
    <t>00001949-001907-2026</t>
  </si>
  <si>
    <t>2610200</t>
  </si>
  <si>
    <t>0141591289702</t>
  </si>
  <si>
    <t>00001949-001908-2026</t>
  </si>
  <si>
    <t>2610201</t>
  </si>
  <si>
    <t>0141591289801</t>
  </si>
  <si>
    <t>00001949-001909-2026</t>
  </si>
  <si>
    <t>2610202</t>
  </si>
  <si>
    <t>0141591289802</t>
  </si>
  <si>
    <t>00001949-001910-2026</t>
  </si>
  <si>
    <t>2610203</t>
  </si>
  <si>
    <t>ECI-SS27</t>
  </si>
  <si>
    <t>0141591291101</t>
  </si>
  <si>
    <t>MGL-EF260672</t>
  </si>
  <si>
    <t>00001949-001911-2026</t>
  </si>
  <si>
    <t>436400</t>
  </si>
  <si>
    <t>2610204</t>
  </si>
  <si>
    <t>0141591291102</t>
  </si>
  <si>
    <t>00001949-001912-2026</t>
  </si>
  <si>
    <t>436442</t>
  </si>
  <si>
    <t>2610205</t>
  </si>
  <si>
    <t>0141591290901</t>
  </si>
  <si>
    <t>00001949-001913-2026</t>
  </si>
  <si>
    <t>436452</t>
  </si>
  <si>
    <t>2610206</t>
  </si>
  <si>
    <t>0141591290902</t>
  </si>
  <si>
    <t>00001949-001914-2026</t>
  </si>
  <si>
    <t>436414</t>
  </si>
  <si>
    <t>2610207</t>
  </si>
  <si>
    <t>1274230</t>
  </si>
  <si>
    <t>MGL-EF260702</t>
  </si>
  <si>
    <t>00000947-001699-2026</t>
  </si>
  <si>
    <t>485980</t>
  </si>
  <si>
    <t>2610208</t>
  </si>
  <si>
    <t>00000947-001700-2026</t>
  </si>
  <si>
    <t>485990</t>
  </si>
  <si>
    <t>2610209</t>
  </si>
  <si>
    <t>00000947-001701-2026</t>
  </si>
  <si>
    <t>485987</t>
  </si>
  <si>
    <t>2610210</t>
  </si>
  <si>
    <t>MGL-EF260676</t>
  </si>
  <si>
    <t>00000947-001702-2026</t>
  </si>
  <si>
    <t>439948</t>
  </si>
  <si>
    <t>2610211</t>
  </si>
  <si>
    <t>0152090652101</t>
  </si>
  <si>
    <t>MGL-EF260674</t>
  </si>
  <si>
    <t>00001880-001801-2026</t>
  </si>
  <si>
    <t>2610212</t>
  </si>
  <si>
    <t>0152090652102</t>
  </si>
  <si>
    <t>00001880-001802-2026</t>
  </si>
  <si>
    <t>2610213</t>
  </si>
  <si>
    <t>6081568</t>
  </si>
  <si>
    <t>MGNSL-EF260597</t>
  </si>
  <si>
    <t>00001079-003713-2026</t>
  </si>
  <si>
    <t>2610214</t>
  </si>
  <si>
    <t>MGSL-EF261164</t>
  </si>
  <si>
    <t>00001689-021590-2026</t>
  </si>
  <si>
    <t>2610215</t>
  </si>
  <si>
    <t>00001689-021591-2026</t>
  </si>
  <si>
    <t>2610216</t>
  </si>
  <si>
    <t>MGSL/Infants Shirt S.4</t>
  </si>
  <si>
    <t>607001-6565</t>
  </si>
  <si>
    <t>MGSL-EF261165</t>
  </si>
  <si>
    <t>00001689-021634-2026</t>
  </si>
  <si>
    <t>2610217</t>
  </si>
  <si>
    <t>607005-6565</t>
  </si>
  <si>
    <t>00001689-021635-2026</t>
  </si>
  <si>
    <t>2610218</t>
  </si>
  <si>
    <t>00001689-021636-2026</t>
  </si>
  <si>
    <t>2610219</t>
  </si>
  <si>
    <t>622121-7878</t>
  </si>
  <si>
    <t>00001689-021592-2026</t>
  </si>
  <si>
    <t>2610220</t>
  </si>
  <si>
    <t>627352-7657</t>
  </si>
  <si>
    <t>00001689-021593-2026</t>
  </si>
  <si>
    <t>2610221</t>
  </si>
  <si>
    <t>00001689-021594-2026</t>
  </si>
  <si>
    <t>2610222</t>
  </si>
  <si>
    <t>00001689-021602-2026</t>
  </si>
  <si>
    <t>2610223</t>
  </si>
  <si>
    <t>00001689-021603-2026</t>
  </si>
  <si>
    <t>2610224</t>
  </si>
  <si>
    <t>00001689-21596-2026</t>
  </si>
  <si>
    <t>2610225</t>
  </si>
  <si>
    <t>647459-5777</t>
  </si>
  <si>
    <t>00001689-021584-2026</t>
  </si>
  <si>
    <t>2610226</t>
  </si>
  <si>
    <t>658780-8757</t>
  </si>
  <si>
    <t>00001689-021587-2026</t>
  </si>
  <si>
    <t>2610227</t>
  </si>
  <si>
    <t>661119-1515</t>
  </si>
  <si>
    <t>00001689-21583-2026</t>
  </si>
  <si>
    <t>2610228</t>
  </si>
  <si>
    <t>665430-8757</t>
  </si>
  <si>
    <t>00001689-021588-2026</t>
  </si>
  <si>
    <t>2610229</t>
  </si>
  <si>
    <t>666932-8757</t>
  </si>
  <si>
    <t>00001689-021589-2026</t>
  </si>
  <si>
    <t>2610230</t>
  </si>
  <si>
    <t>MGSL-EF261166</t>
  </si>
  <si>
    <t>00001689-021597-2026</t>
  </si>
  <si>
    <t>2610231</t>
  </si>
  <si>
    <t>00001689-021604-2026</t>
  </si>
  <si>
    <t>2610232</t>
  </si>
  <si>
    <t>00001689-021605-2026</t>
  </si>
  <si>
    <t>2610233</t>
  </si>
  <si>
    <t>00001689-021606-2026</t>
  </si>
  <si>
    <t>2610234</t>
  </si>
  <si>
    <t>668532-7878</t>
  </si>
  <si>
    <t>00001689-021607-2026</t>
  </si>
  <si>
    <t>2610235</t>
  </si>
  <si>
    <t>668536-7878</t>
  </si>
  <si>
    <t>00001689-021608-2026</t>
  </si>
  <si>
    <t>2610236</t>
  </si>
  <si>
    <t>00001689-021609-2026</t>
  </si>
  <si>
    <t>2610237</t>
  </si>
  <si>
    <t>00001689-021610-2026</t>
  </si>
  <si>
    <t>2610238</t>
  </si>
  <si>
    <t>00001689-021611-2026</t>
  </si>
  <si>
    <t>2610239</t>
  </si>
  <si>
    <t>00001689-021612-2026</t>
  </si>
  <si>
    <t>2610240</t>
  </si>
  <si>
    <t>00001689-021613-2026</t>
  </si>
  <si>
    <t>2610241</t>
  </si>
  <si>
    <t>00001689-021614-2026</t>
  </si>
  <si>
    <t>2610242</t>
  </si>
  <si>
    <t>00001689-021616-2026</t>
  </si>
  <si>
    <t>2610243</t>
  </si>
  <si>
    <t>00001689-021617-2026</t>
  </si>
  <si>
    <t>2610244</t>
  </si>
  <si>
    <t>679745-7878</t>
  </si>
  <si>
    <t>00001689-021618-2026</t>
  </si>
  <si>
    <t>2610245</t>
  </si>
  <si>
    <t>596608-7613</t>
  </si>
  <si>
    <t>MGSL-EF261160</t>
  </si>
  <si>
    <t>00001689-021619-2026</t>
  </si>
  <si>
    <t>2610246</t>
  </si>
  <si>
    <t>599263-7657</t>
  </si>
  <si>
    <t>00001689-021620-2026</t>
  </si>
  <si>
    <t>2610247</t>
  </si>
  <si>
    <t>605963-7657</t>
  </si>
  <si>
    <t>00001689-021621-2026</t>
  </si>
  <si>
    <t>2610248</t>
  </si>
  <si>
    <t>659448-7657</t>
  </si>
  <si>
    <t>MGSL-EF261163</t>
  </si>
  <si>
    <t>00001689-021625-2026</t>
  </si>
  <si>
    <t>2610249</t>
  </si>
  <si>
    <t>LAEM CHABANG</t>
  </si>
  <si>
    <t>MGSL-EF26116</t>
  </si>
  <si>
    <t>00001689-021626-2026</t>
  </si>
  <si>
    <t>2610250</t>
  </si>
  <si>
    <t>665867-8757</t>
  </si>
  <si>
    <t>00001689-021595-2026</t>
  </si>
  <si>
    <t>2610251</t>
  </si>
  <si>
    <t>00001689-021627-2026</t>
  </si>
  <si>
    <t>2610252</t>
  </si>
  <si>
    <t>00001689-021628-2026</t>
  </si>
  <si>
    <t>2610253</t>
  </si>
  <si>
    <t>00001689-021629-2026</t>
  </si>
  <si>
    <t>2610254</t>
  </si>
  <si>
    <t>00001689-021630-2026</t>
  </si>
  <si>
    <t>2610255</t>
  </si>
  <si>
    <t>00001689-021598-2026</t>
  </si>
  <si>
    <t>2610256</t>
  </si>
  <si>
    <t>692882-8757</t>
  </si>
  <si>
    <t>00001689-021615-2026</t>
  </si>
  <si>
    <t>2610257</t>
  </si>
  <si>
    <t>00001689-021631-2026</t>
  </si>
  <si>
    <t>2610258</t>
  </si>
  <si>
    <t>00001689-021637-2026</t>
  </si>
  <si>
    <t>2610259</t>
  </si>
  <si>
    <t>00001689-021599-2026</t>
  </si>
  <si>
    <t>2610260</t>
  </si>
  <si>
    <t>00001689-021600-2026</t>
  </si>
  <si>
    <t>2610261</t>
  </si>
  <si>
    <t>00001689-021601-2026</t>
  </si>
  <si>
    <t>2610262</t>
  </si>
  <si>
    <t>MGSL-EF261161</t>
  </si>
  <si>
    <t>00001689-021585-2026</t>
  </si>
  <si>
    <t>2610263</t>
  </si>
  <si>
    <t>00001689-021586-2026</t>
  </si>
  <si>
    <t>2610264</t>
  </si>
  <si>
    <t>00001689-021880-2026</t>
  </si>
  <si>
    <t>2610265</t>
  </si>
  <si>
    <t>700184-8757</t>
  </si>
  <si>
    <t>00001689-021622-2026</t>
  </si>
  <si>
    <t>2610266</t>
  </si>
  <si>
    <t>00001689-021623-2026</t>
  </si>
  <si>
    <t>2610267</t>
  </si>
  <si>
    <t>707066-8617</t>
  </si>
  <si>
    <t xml:space="preserve"> 00001689-021881-2026</t>
  </si>
  <si>
    <t>2610268</t>
  </si>
  <si>
    <t>00001689-021882-2026</t>
  </si>
  <si>
    <t>2610269</t>
  </si>
  <si>
    <t>692895-8757</t>
  </si>
  <si>
    <t>MGSL-EF2612160</t>
  </si>
  <si>
    <t>00001689-021624-2026</t>
  </si>
  <si>
    <t>2610270</t>
  </si>
  <si>
    <t>0003448638,0003448818</t>
  </si>
  <si>
    <t>MGL-EF260677, MGL-EF260671</t>
  </si>
  <si>
    <t>00000947-001703-2026</t>
  </si>
  <si>
    <t>2610271</t>
  </si>
  <si>
    <t>AMD APPARELS PRIVATE LTD</t>
  </si>
  <si>
    <t>FMUSPA-01</t>
  </si>
  <si>
    <t>FMSHT7305,FMSHT7304</t>
  </si>
  <si>
    <t>MGL-EF260661</t>
  </si>
  <si>
    <t xml:space="preserve"> 00000947-001704-2026</t>
  </si>
  <si>
    <t>2610272</t>
  </si>
  <si>
    <t>MGSL-EF261167</t>
  </si>
  <si>
    <t>00001689-021632-2026</t>
  </si>
  <si>
    <t>2610273</t>
  </si>
  <si>
    <t>00001689-021633-2026</t>
  </si>
  <si>
    <t>2610277</t>
  </si>
  <si>
    <t>562373-7613</t>
  </si>
  <si>
    <t>MGSL-EF261168</t>
  </si>
  <si>
    <t>00001689-021890-2026</t>
  </si>
  <si>
    <t>2610278</t>
  </si>
  <si>
    <t>669055-7879</t>
  </si>
  <si>
    <t>MGSL-EF261169</t>
  </si>
  <si>
    <t>00001689-021891-2026</t>
  </si>
  <si>
    <t>2610279</t>
  </si>
  <si>
    <t>669059-7879</t>
  </si>
  <si>
    <t>00001689-021892-2026</t>
  </si>
  <si>
    <t>2610280</t>
  </si>
  <si>
    <t>669060-7879</t>
  </si>
  <si>
    <t>00001689-021893-2026</t>
  </si>
  <si>
    <t>2610281</t>
  </si>
  <si>
    <t>695826-8617</t>
  </si>
  <si>
    <t>00001689-021894-2026</t>
  </si>
  <si>
    <t>2610282</t>
  </si>
  <si>
    <t>00001689-021895-2026</t>
  </si>
  <si>
    <t>2610283</t>
  </si>
  <si>
    <t>00001689-021896-2026</t>
  </si>
  <si>
    <t>2610284</t>
  </si>
  <si>
    <t>696558-8617</t>
  </si>
  <si>
    <t>00001689-021897-2026</t>
  </si>
  <si>
    <t>2610285</t>
  </si>
  <si>
    <t>697735-8617</t>
  </si>
  <si>
    <t>00001689-021898-2026</t>
  </si>
  <si>
    <t>2610286</t>
  </si>
  <si>
    <t>00001689-021899-2026</t>
  </si>
  <si>
    <t>2610287</t>
  </si>
  <si>
    <t>00001689-021900-2026</t>
  </si>
  <si>
    <t>2610288</t>
  </si>
  <si>
    <t>00001689-021901-2026</t>
  </si>
  <si>
    <t>2610290</t>
  </si>
  <si>
    <t>7200017723</t>
  </si>
  <si>
    <t>MGNSL-EF260585</t>
  </si>
  <si>
    <t>00000042-005707-2026</t>
  </si>
  <si>
    <t>2610294</t>
  </si>
  <si>
    <t>7200017792</t>
  </si>
  <si>
    <t>00000042-005708-2026</t>
  </si>
  <si>
    <t>2610295</t>
  </si>
  <si>
    <t>6059102,6059212</t>
  </si>
  <si>
    <t>00001079-003750-2026</t>
  </si>
  <si>
    <t>2610296</t>
  </si>
  <si>
    <t>0003448854</t>
  </si>
  <si>
    <t>00000947-001715-2026</t>
  </si>
  <si>
    <t>2610297</t>
  </si>
  <si>
    <t>0003448662</t>
  </si>
  <si>
    <t>00000947-001716-2026</t>
  </si>
  <si>
    <t>2610298</t>
  </si>
  <si>
    <t>MGSL-EF261226</t>
  </si>
  <si>
    <t>00001689-021999-2026</t>
  </si>
  <si>
    <t>2610299</t>
  </si>
  <si>
    <t>00001689-022000-2026</t>
  </si>
  <si>
    <t>2610300</t>
  </si>
  <si>
    <t>586579-5777</t>
  </si>
  <si>
    <t>MGSL-EF261177</t>
  </si>
  <si>
    <t>00001689-022001-2026</t>
  </si>
  <si>
    <t>453211</t>
  </si>
  <si>
    <t>2610301</t>
  </si>
  <si>
    <t>00001689-022002-2026</t>
  </si>
  <si>
    <t>2610302</t>
  </si>
  <si>
    <t>00001689-022003-2026</t>
  </si>
  <si>
    <t>453201</t>
  </si>
  <si>
    <t>2610303</t>
  </si>
  <si>
    <t>MGSL-EF261178</t>
  </si>
  <si>
    <t>00001689-022004-2026</t>
  </si>
  <si>
    <t>2610304</t>
  </si>
  <si>
    <t>00001689-022005-2026</t>
  </si>
  <si>
    <t>453195</t>
  </si>
  <si>
    <t>2610305</t>
  </si>
  <si>
    <t>00001689-022006-2026</t>
  </si>
  <si>
    <t>2610306</t>
  </si>
  <si>
    <t>00001689-022007-2026</t>
  </si>
  <si>
    <t>2610307</t>
  </si>
  <si>
    <t>00001689-022008-2026</t>
  </si>
  <si>
    <t>2610308</t>
  </si>
  <si>
    <t>635410-7878</t>
  </si>
  <si>
    <t>00001689-022009-2026</t>
  </si>
  <si>
    <t>453189</t>
  </si>
  <si>
    <t>2610309</t>
  </si>
  <si>
    <t>635411-7878</t>
  </si>
  <si>
    <t>00001689-022010-2026</t>
  </si>
  <si>
    <t>2610310</t>
  </si>
  <si>
    <t>00001689-022011-2026</t>
  </si>
  <si>
    <t>2610311</t>
  </si>
  <si>
    <t>00001689-022012-2026</t>
  </si>
  <si>
    <t>2610312</t>
  </si>
  <si>
    <t>665869-8757</t>
  </si>
  <si>
    <t>00001689-022013-2026</t>
  </si>
  <si>
    <t>2610313</t>
  </si>
  <si>
    <t>MGSL-EF261182</t>
  </si>
  <si>
    <t>00001689-022014-2026</t>
  </si>
  <si>
    <t>2610314</t>
  </si>
  <si>
    <t>00001689-022015-2026</t>
  </si>
  <si>
    <t>453184</t>
  </si>
  <si>
    <t>2610315</t>
  </si>
  <si>
    <t>00001689-022016-2026</t>
  </si>
  <si>
    <t>2610316</t>
  </si>
  <si>
    <t>00001689-022017-2026</t>
  </si>
  <si>
    <t>2610317</t>
  </si>
  <si>
    <t>00001689-022018-2026</t>
  </si>
  <si>
    <t>453304</t>
  </si>
  <si>
    <t>2610318</t>
  </si>
  <si>
    <t>00001689-022019-2026</t>
  </si>
  <si>
    <t>2610319</t>
  </si>
  <si>
    <t>00001689-022020-2026</t>
  </si>
  <si>
    <t>2610320</t>
  </si>
  <si>
    <t>686335-6565</t>
  </si>
  <si>
    <t>00001689-022021-2026</t>
  </si>
  <si>
    <t>2610321</t>
  </si>
  <si>
    <t>694139-7657</t>
  </si>
  <si>
    <t>00001689-022022-2026</t>
  </si>
  <si>
    <t>2610322</t>
  </si>
  <si>
    <t>00001689-022023-2026</t>
  </si>
  <si>
    <t>2610323</t>
  </si>
  <si>
    <t>00001689-022024-2026</t>
  </si>
  <si>
    <t>2610324</t>
  </si>
  <si>
    <t>00001689-022025-2026</t>
  </si>
  <si>
    <t>2610325</t>
  </si>
  <si>
    <t>710675-7878</t>
  </si>
  <si>
    <t>MGSL-EF261175</t>
  </si>
  <si>
    <t>00001689-022026-2026</t>
  </si>
  <si>
    <t>2610326</t>
  </si>
  <si>
    <t>710678-7878</t>
  </si>
  <si>
    <t>00001689-022027-2026</t>
  </si>
  <si>
    <t>2610327</t>
  </si>
  <si>
    <t>00001689-022028-2026</t>
  </si>
  <si>
    <t>2610328</t>
  </si>
  <si>
    <t>00001689-022029-2026</t>
  </si>
  <si>
    <t>2610329</t>
  </si>
  <si>
    <t>00001689-022030-2026</t>
  </si>
  <si>
    <t>2610330</t>
  </si>
  <si>
    <t>MGSL-EF261180</t>
  </si>
  <si>
    <t>00001689-022031-2026</t>
  </si>
  <si>
    <t>453222</t>
  </si>
  <si>
    <t>2610331</t>
  </si>
  <si>
    <t>571710-8617</t>
  </si>
  <si>
    <t>MGSL-EF261179</t>
  </si>
  <si>
    <t>00001689-022032-2026</t>
  </si>
  <si>
    <t>2610332</t>
  </si>
  <si>
    <t>589721-8617</t>
  </si>
  <si>
    <t>00001689-022033-2026</t>
  </si>
  <si>
    <t>2610333</t>
  </si>
  <si>
    <t>638375-7657</t>
  </si>
  <si>
    <t>00001689-022034-2026</t>
  </si>
  <si>
    <t>2610334</t>
  </si>
  <si>
    <t>MGSL-EF261181</t>
  </si>
  <si>
    <t>00001689-022035-2026</t>
  </si>
  <si>
    <t>2610335</t>
  </si>
  <si>
    <t>666686-8757,670428-7879</t>
  </si>
  <si>
    <t>MGSL-EF261208, MGSL-EF261210</t>
  </si>
  <si>
    <t>00001689-022036-2026</t>
  </si>
  <si>
    <t>2610336</t>
  </si>
  <si>
    <t>00001689-022037-2026</t>
  </si>
  <si>
    <t>2610337</t>
  </si>
  <si>
    <t>00001689-022038-2026</t>
  </si>
  <si>
    <t>2610338</t>
  </si>
  <si>
    <t>00001689-022039-2026</t>
  </si>
  <si>
    <t>2610339</t>
  </si>
  <si>
    <t>00001689-022040-2026</t>
  </si>
  <si>
    <t>2610340</t>
  </si>
  <si>
    <t>00001689-022041-2026</t>
  </si>
  <si>
    <t>2610341</t>
  </si>
  <si>
    <t>719387-8617</t>
  </si>
  <si>
    <t>00001689-022042-2026</t>
  </si>
  <si>
    <t>2610342</t>
  </si>
  <si>
    <t>00001689-022043-2026</t>
  </si>
  <si>
    <t>2610343</t>
  </si>
  <si>
    <t>00001689-022044-2026</t>
  </si>
  <si>
    <t>2610344</t>
  </si>
  <si>
    <t>00001689-022045-2026</t>
  </si>
  <si>
    <t>2610345</t>
  </si>
  <si>
    <t>719388-8617</t>
  </si>
  <si>
    <t>00001689-022046-2026</t>
  </si>
  <si>
    <t>2610346</t>
  </si>
  <si>
    <t>00001689-022047-2026</t>
  </si>
  <si>
    <t>2610347</t>
  </si>
  <si>
    <t>00001689-022048-2026</t>
  </si>
  <si>
    <t>2610348</t>
  </si>
  <si>
    <t>00001689-022049-2026</t>
  </si>
  <si>
    <t>2610350</t>
  </si>
  <si>
    <t>MGSL-EF261176</t>
  </si>
  <si>
    <t>00001689-022110-2026</t>
  </si>
  <si>
    <t>2610351</t>
  </si>
  <si>
    <t>MGSL-EF261173</t>
  </si>
  <si>
    <t>00001689-022111-2026</t>
  </si>
  <si>
    <t>2610352</t>
  </si>
  <si>
    <t>00001689-022112-2026</t>
  </si>
  <si>
    <t>2610353</t>
  </si>
  <si>
    <t>00001689-022113-2026</t>
  </si>
  <si>
    <t>2610354</t>
  </si>
  <si>
    <t>00001689-022114-2026</t>
  </si>
  <si>
    <t>2610355</t>
  </si>
  <si>
    <t>00001689-022115-2026</t>
  </si>
  <si>
    <t>2610356</t>
  </si>
  <si>
    <t>627354-7657</t>
  </si>
  <si>
    <t>00001689-022116-2026</t>
  </si>
  <si>
    <t>453377</t>
  </si>
  <si>
    <t>2610357</t>
  </si>
  <si>
    <t>00001689-022117-2026</t>
  </si>
  <si>
    <t>453356</t>
  </si>
  <si>
    <t>2610358</t>
  </si>
  <si>
    <t>BUSAN</t>
  </si>
  <si>
    <t>MGSL-EF261174</t>
  </si>
  <si>
    <t>00001689-022118-2026</t>
  </si>
  <si>
    <t>2610359</t>
  </si>
  <si>
    <t>00001689-022119-2026</t>
  </si>
  <si>
    <t>2610360</t>
  </si>
  <si>
    <t>00001689-022120-2026</t>
  </si>
  <si>
    <t>2610361</t>
  </si>
  <si>
    <t>00001689-022121-2026</t>
  </si>
  <si>
    <t>453364</t>
  </si>
  <si>
    <t>2610362</t>
  </si>
  <si>
    <t>00001689-022122-2026</t>
  </si>
  <si>
    <t>2610363</t>
  </si>
  <si>
    <t>694136-7657</t>
  </si>
  <si>
    <t>00001689-022123-2026</t>
  </si>
  <si>
    <t>2610364</t>
  </si>
  <si>
    <t>00001689-022124-2026</t>
  </si>
  <si>
    <t>2610365</t>
  </si>
  <si>
    <t>00001689-022125-2026</t>
  </si>
  <si>
    <t>2610366</t>
  </si>
  <si>
    <t>00001689-022126-2026</t>
  </si>
  <si>
    <t>2610367</t>
  </si>
  <si>
    <t>MGSL-EF261172</t>
  </si>
  <si>
    <t>00001689-022127-2026</t>
  </si>
  <si>
    <t>2610368</t>
  </si>
  <si>
    <t>00001689-022128-2026</t>
  </si>
  <si>
    <t>2610369</t>
  </si>
  <si>
    <t>00001689-022129-2026</t>
  </si>
  <si>
    <t>2610370</t>
  </si>
  <si>
    <t>00001689-022130-2026</t>
  </si>
  <si>
    <t>2610371</t>
  </si>
  <si>
    <t>00001689-022131-2026</t>
  </si>
  <si>
    <t>2610372</t>
  </si>
  <si>
    <t>00001689-022132-2026</t>
  </si>
  <si>
    <t>2610373</t>
  </si>
  <si>
    <t>697272-7657</t>
  </si>
  <si>
    <t>00001689-022133-2026</t>
  </si>
  <si>
    <t>2610374</t>
  </si>
  <si>
    <t>00001689-022134-2026</t>
  </si>
  <si>
    <t>2610375</t>
  </si>
  <si>
    <t>00001689-022135-2026</t>
  </si>
  <si>
    <t>2610376</t>
  </si>
  <si>
    <t>00001689-022136-2026</t>
  </si>
  <si>
    <t>2610377</t>
  </si>
  <si>
    <t>00001689-022137-2026</t>
  </si>
  <si>
    <t>2610378</t>
  </si>
  <si>
    <t>00001689-022138-2026</t>
  </si>
  <si>
    <t>453339</t>
  </si>
  <si>
    <t>2610379</t>
  </si>
  <si>
    <t>700260-7657</t>
  </si>
  <si>
    <t>00001689-022139-2026</t>
  </si>
  <si>
    <t>2610380</t>
  </si>
  <si>
    <t>MGSL-EF261196</t>
  </si>
  <si>
    <t>00001689-022140-2026</t>
  </si>
  <si>
    <t>2610381</t>
  </si>
  <si>
    <t>00001689-022141-2026</t>
  </si>
  <si>
    <t>2610382</t>
  </si>
  <si>
    <t>00001689-022142-2026</t>
  </si>
  <si>
    <t>2610383</t>
  </si>
  <si>
    <t>00001689-022143-2026</t>
  </si>
  <si>
    <t>2610384</t>
  </si>
  <si>
    <t>00001689-022144-2026</t>
  </si>
  <si>
    <t>2610385</t>
  </si>
  <si>
    <t>00001689-022145-2026</t>
  </si>
  <si>
    <t>2610386</t>
  </si>
  <si>
    <t>00001689-022146-2026</t>
  </si>
  <si>
    <t>2610387</t>
  </si>
  <si>
    <t>700316-7657</t>
  </si>
  <si>
    <t>00001689-022147-2026</t>
  </si>
  <si>
    <t>2610388</t>
  </si>
  <si>
    <t>00001689-022148-2026</t>
  </si>
  <si>
    <t>2610389</t>
  </si>
  <si>
    <t>00001689-022149-2026</t>
  </si>
  <si>
    <t>2610390</t>
  </si>
  <si>
    <t>703092-7657</t>
  </si>
  <si>
    <t>00001689-022150-2026</t>
  </si>
  <si>
    <t>2610391</t>
  </si>
  <si>
    <t>710962-7878</t>
  </si>
  <si>
    <t>00001689-022151-2026</t>
  </si>
  <si>
    <t>2610392</t>
  </si>
  <si>
    <t>710964-7878</t>
  </si>
  <si>
    <t>00001689-022152-2026</t>
  </si>
  <si>
    <t>2610393</t>
  </si>
  <si>
    <t>00001689-022153-2026</t>
  </si>
  <si>
    <t>2610394</t>
  </si>
  <si>
    <t>00001689-022154-2026</t>
  </si>
  <si>
    <t>2610395</t>
  </si>
  <si>
    <t>00001689-022155-2026</t>
  </si>
  <si>
    <t>2610396</t>
  </si>
  <si>
    <t>713085-8617</t>
  </si>
  <si>
    <t>00001689-022156-2026</t>
  </si>
  <si>
    <t>2610397</t>
  </si>
  <si>
    <t>2026-270D</t>
  </si>
  <si>
    <t>MGSL-EF261171, MGSL-EF261170</t>
  </si>
  <si>
    <t>00000042-005716-2026</t>
  </si>
  <si>
    <t>2610398</t>
  </si>
  <si>
    <t>MG Primark BA WB012</t>
  </si>
  <si>
    <t>1247565</t>
  </si>
  <si>
    <t>MGL-EF260680</t>
  </si>
  <si>
    <t>00000947-001725-2026</t>
  </si>
  <si>
    <t>C459964</t>
  </si>
  <si>
    <t>2610399</t>
  </si>
  <si>
    <t>00000947-001726-2026</t>
  </si>
  <si>
    <t>459968</t>
  </si>
  <si>
    <t>2610400</t>
  </si>
  <si>
    <t>00000947-001727-2026</t>
  </si>
  <si>
    <t>C459974</t>
  </si>
  <si>
    <t>2610401</t>
  </si>
  <si>
    <t>00000947-001728-2026</t>
  </si>
  <si>
    <t>459963</t>
  </si>
  <si>
    <t>2610402</t>
  </si>
  <si>
    <t>00000947-001729-2026</t>
  </si>
  <si>
    <t>459976</t>
  </si>
  <si>
    <t>2610404</t>
  </si>
  <si>
    <t>7200017771</t>
  </si>
  <si>
    <t>MGNSL-EF260590</t>
  </si>
  <si>
    <t>00000042-005730-2026</t>
  </si>
  <si>
    <t>2610406</t>
  </si>
  <si>
    <t>0003449783</t>
  </si>
  <si>
    <t>MGL-EF260681</t>
  </si>
  <si>
    <t>00000947-001731-2026</t>
  </si>
  <si>
    <t>2610407</t>
  </si>
  <si>
    <t>7200022711</t>
  </si>
  <si>
    <t>MGNSL-EF260591</t>
  </si>
  <si>
    <t>00000042-005731-2026</t>
  </si>
  <si>
    <t>2610409</t>
  </si>
  <si>
    <t>Aldi Sourcing Asia Limited</t>
  </si>
  <si>
    <t>MG BA Aldi-03</t>
  </si>
  <si>
    <t>26IB25610</t>
  </si>
  <si>
    <t>Austria</t>
  </si>
  <si>
    <t>MGNSL-EF260592, MGNSL-EF260593</t>
  </si>
  <si>
    <t>00001079-003701-2026</t>
  </si>
  <si>
    <t>2610410</t>
  </si>
  <si>
    <t>WISER GLOBE</t>
  </si>
  <si>
    <t>Mohammadi/FG/28/2026</t>
  </si>
  <si>
    <t>1786949,1789976,1789972,1786866,1786901</t>
  </si>
  <si>
    <t>MGL-EF260688</t>
  </si>
  <si>
    <t xml:space="preserve"> 00000947-001759-2026</t>
  </si>
  <si>
    <t>2610411</t>
  </si>
  <si>
    <t>0156190569801</t>
  </si>
  <si>
    <t>MGL-EF260683</t>
  </si>
  <si>
    <t>00001880-001849-2026</t>
  </si>
  <si>
    <t>2610412</t>
  </si>
  <si>
    <t>0156190570001</t>
  </si>
  <si>
    <t>MGL-EF260682</t>
  </si>
  <si>
    <t>00001880-001850-2026</t>
  </si>
  <si>
    <t>2610413</t>
  </si>
  <si>
    <t>0156190547301</t>
  </si>
  <si>
    <t>00001880-001851-2026</t>
  </si>
  <si>
    <t>2610414</t>
  </si>
  <si>
    <t>0156190547501</t>
  </si>
  <si>
    <t>00001880-001852-2026</t>
  </si>
  <si>
    <t>2610415</t>
  </si>
  <si>
    <t>0156190547401</t>
  </si>
  <si>
    <t>00001880-001853-2026</t>
  </si>
  <si>
    <t>2610416</t>
  </si>
  <si>
    <t>0156190573501</t>
  </si>
  <si>
    <t>00001880-001854-2026</t>
  </si>
  <si>
    <t>2610417</t>
  </si>
  <si>
    <t>0156190573401</t>
  </si>
  <si>
    <t>00001880-001855-2026</t>
  </si>
  <si>
    <t>2610418</t>
  </si>
  <si>
    <t>4191153</t>
  </si>
  <si>
    <t>MGL-EF260684</t>
  </si>
  <si>
    <t>00001949-001932-2026</t>
  </si>
  <si>
    <t>4191145,4191148,4191151,4191150,4191147,4191144,4191146,4191149,4191155,4191154,4191156,4191152,4191143</t>
  </si>
  <si>
    <t>00001949-001933-2026</t>
  </si>
  <si>
    <t>2610420</t>
  </si>
  <si>
    <t>0152090651801</t>
  </si>
  <si>
    <t>Madrid</t>
  </si>
  <si>
    <t>MGL-EF260689</t>
  </si>
  <si>
    <t>00001880-001847-2026</t>
  </si>
  <si>
    <t>2610421</t>
  </si>
  <si>
    <t>0152090651802</t>
  </si>
  <si>
    <t>00001880-001858-2026</t>
  </si>
  <si>
    <t>2610422</t>
  </si>
  <si>
    <t>MGL-EF260690</t>
  </si>
  <si>
    <t>00001880-001859-2026</t>
  </si>
  <si>
    <t>2610423</t>
  </si>
  <si>
    <t>MGL-EF260698</t>
  </si>
  <si>
    <t>00001880-001860-2026</t>
  </si>
  <si>
    <t>2610424</t>
  </si>
  <si>
    <t>00001880-001861-2026</t>
  </si>
  <si>
    <t>2610425</t>
  </si>
  <si>
    <t>00001880-001862-2026</t>
  </si>
  <si>
    <t>2610426</t>
  </si>
  <si>
    <t>MGL-EF260697</t>
  </si>
  <si>
    <t>00001880-001863-2026</t>
  </si>
  <si>
    <t>2610427</t>
  </si>
  <si>
    <t xml:space="preserve"> 00001880-001864-2026</t>
  </si>
  <si>
    <t>2610428</t>
  </si>
  <si>
    <t>00001880-001865-2026</t>
  </si>
  <si>
    <t>2610429</t>
  </si>
  <si>
    <t>00001880-001866-2026</t>
  </si>
  <si>
    <t>2610430</t>
  </si>
  <si>
    <t>00001880-001867-2026</t>
  </si>
  <si>
    <t>2610431</t>
  </si>
  <si>
    <t>6048563</t>
  </si>
  <si>
    <t>00001079-003785-2026</t>
  </si>
  <si>
    <t>2610433</t>
  </si>
  <si>
    <t>MNS4693327,MNS4693325,MNS4693326,MNS4699790,MNS4699789</t>
  </si>
  <si>
    <t>MGNSL-EF260595</t>
  </si>
  <si>
    <t>00001079-003703-2026</t>
  </si>
  <si>
    <t>2610434</t>
  </si>
  <si>
    <t>TEDDY S.P.A.</t>
  </si>
  <si>
    <t>00912ECD26S00720</t>
  </si>
  <si>
    <t>HTRNMPE2710010173492</t>
  </si>
  <si>
    <t>Italy</t>
  </si>
  <si>
    <t>MGL-EF260700</t>
  </si>
  <si>
    <t>00000947-001774-2026</t>
  </si>
  <si>
    <t>120 Days</t>
  </si>
  <si>
    <t>2610435</t>
  </si>
  <si>
    <t>Saudia Arabia</t>
  </si>
  <si>
    <t>MGL-EF260704</t>
  </si>
  <si>
    <t>00000947-001775-2026</t>
  </si>
  <si>
    <t>2610436</t>
  </si>
  <si>
    <t>7200017793</t>
  </si>
  <si>
    <t>MGNSL-EF260596</t>
  </si>
  <si>
    <t xml:space="preserve"> 00000042-005743-2026</t>
  </si>
  <si>
    <t>2610437</t>
  </si>
  <si>
    <t>7200017725</t>
  </si>
  <si>
    <t>MGNSL-EF260598</t>
  </si>
  <si>
    <t>00000042-005744-2026</t>
  </si>
  <si>
    <t>2610438</t>
  </si>
  <si>
    <t>8571206,8559082</t>
  </si>
  <si>
    <t>MGL-EF260685, MGL-EF260686</t>
  </si>
  <si>
    <t>00000947-001760-2026</t>
  </si>
  <si>
    <t>2610439</t>
  </si>
  <si>
    <t>SC-2023-CCL0000118</t>
  </si>
  <si>
    <t>1270310 E-31007/90128JB</t>
  </si>
  <si>
    <t>MGL-EF260699</t>
  </si>
  <si>
    <t>00000947-001742-2026</t>
  </si>
  <si>
    <t>479691</t>
  </si>
  <si>
    <t>2610440</t>
  </si>
  <si>
    <t>1270360 E-31008/90124JT</t>
  </si>
  <si>
    <t>MGL-EF260696</t>
  </si>
  <si>
    <t>00000947-001743-2026</t>
  </si>
  <si>
    <t>474082</t>
  </si>
  <si>
    <t>2610441</t>
  </si>
  <si>
    <t>00000947-001744-2026</t>
  </si>
  <si>
    <t>479641</t>
  </si>
  <si>
    <t>2610442</t>
  </si>
  <si>
    <t>00000947-001745-2026</t>
  </si>
  <si>
    <t>474073</t>
  </si>
  <si>
    <t>2610443</t>
  </si>
  <si>
    <t>MGL-EF260692</t>
  </si>
  <si>
    <t>00000947-001746-2026</t>
  </si>
  <si>
    <t>472658</t>
  </si>
  <si>
    <t>2610444</t>
  </si>
  <si>
    <t>00000947-001747-2026</t>
  </si>
  <si>
    <t>479623</t>
  </si>
  <si>
    <t>2610445</t>
  </si>
  <si>
    <t>00000947-001748-2026</t>
  </si>
  <si>
    <t>479708</t>
  </si>
  <si>
    <t>2610446</t>
  </si>
  <si>
    <t>00000947-001749-2026</t>
  </si>
  <si>
    <t>479723</t>
  </si>
  <si>
    <t>2610447</t>
  </si>
  <si>
    <t>00000947-001750-2026</t>
  </si>
  <si>
    <t>472682</t>
  </si>
  <si>
    <t>2610448</t>
  </si>
  <si>
    <t>MGL-EF260693</t>
  </si>
  <si>
    <t>00000947-001751-2026</t>
  </si>
  <si>
    <t>472652</t>
  </si>
  <si>
    <t>2610449</t>
  </si>
  <si>
    <t>00000947-001752-2026</t>
  </si>
  <si>
    <t>472671</t>
  </si>
  <si>
    <t>2610450</t>
  </si>
  <si>
    <t>00000947-001753-2026</t>
  </si>
  <si>
    <t>472676</t>
  </si>
  <si>
    <t>2610451</t>
  </si>
  <si>
    <t>MGL-EF260691</t>
  </si>
  <si>
    <t>00000947-001754-2026</t>
  </si>
  <si>
    <t>472661</t>
  </si>
  <si>
    <t>2610452</t>
  </si>
  <si>
    <t>MGL-EF260695, MGL-EF260692, MGL-EF260694</t>
  </si>
  <si>
    <t>00000947-001755-2026</t>
  </si>
  <si>
    <t>472747</t>
  </si>
  <si>
    <t>2610453</t>
  </si>
  <si>
    <t>00000947-001756-2026</t>
  </si>
  <si>
    <t>479651</t>
  </si>
  <si>
    <t>2610454</t>
  </si>
  <si>
    <t>00000947-001757-2026</t>
  </si>
  <si>
    <t>474061</t>
  </si>
  <si>
    <t>2610455</t>
  </si>
  <si>
    <t>00000947-001758-2026</t>
  </si>
  <si>
    <t>479671</t>
  </si>
  <si>
    <t>2610457</t>
  </si>
  <si>
    <t>6048565</t>
  </si>
  <si>
    <t>00001079-003786-2026</t>
  </si>
  <si>
    <t>2610461</t>
  </si>
  <si>
    <t>577308-1515</t>
  </si>
  <si>
    <t>MGSL-EF261193</t>
  </si>
  <si>
    <t>00001689-022303-2026</t>
  </si>
  <si>
    <t>2610462</t>
  </si>
  <si>
    <t>577554-5777</t>
  </si>
  <si>
    <t>00001689-022304-2026</t>
  </si>
  <si>
    <t>2610463</t>
  </si>
  <si>
    <t>578621-5777</t>
  </si>
  <si>
    <t>00001689-022305-2026</t>
  </si>
  <si>
    <t>2610464</t>
  </si>
  <si>
    <t>583238-1515</t>
  </si>
  <si>
    <t>00001689-022306-2026</t>
  </si>
  <si>
    <t>2610465</t>
  </si>
  <si>
    <t>MGSL-EF261194</t>
  </si>
  <si>
    <t>00001689-022307-2026</t>
  </si>
  <si>
    <t>2610466</t>
  </si>
  <si>
    <t>00001689-022308-2026</t>
  </si>
  <si>
    <t>2610467</t>
  </si>
  <si>
    <t>00001689-022309-2026</t>
  </si>
  <si>
    <t>2610468</t>
  </si>
  <si>
    <t>00001689-022310-2026</t>
  </si>
  <si>
    <t>2610469</t>
  </si>
  <si>
    <t>00001689-022311-2026</t>
  </si>
  <si>
    <t>2610470</t>
  </si>
  <si>
    <t>00001689-022312-2026</t>
  </si>
  <si>
    <t>2610471</t>
  </si>
  <si>
    <t>00001689-022313-2026</t>
  </si>
  <si>
    <t>2610472</t>
  </si>
  <si>
    <t>MGSL-EF261188</t>
  </si>
  <si>
    <t>00001689-022314-2026</t>
  </si>
  <si>
    <t>2610473</t>
  </si>
  <si>
    <t>00001689-022315-2026</t>
  </si>
  <si>
    <t>2610474</t>
  </si>
  <si>
    <t>00001689-022316-2026</t>
  </si>
  <si>
    <t>2610475</t>
  </si>
  <si>
    <t>00001689-022317-2026</t>
  </si>
  <si>
    <t>2610476</t>
  </si>
  <si>
    <t>00001689-022318-2026</t>
  </si>
  <si>
    <t>2610477</t>
  </si>
  <si>
    <t>00001689-022319-2026</t>
  </si>
  <si>
    <t>2610478</t>
  </si>
  <si>
    <t>00001689-022320-2026</t>
  </si>
  <si>
    <t>2610479</t>
  </si>
  <si>
    <t>00001689-022321-2026</t>
  </si>
  <si>
    <t>2610480</t>
  </si>
  <si>
    <t>00001689-022322-2026</t>
  </si>
  <si>
    <t>2610481</t>
  </si>
  <si>
    <t>00001689-022323-2026</t>
  </si>
  <si>
    <t>2610482</t>
  </si>
  <si>
    <t>00001689-022324-2026</t>
  </si>
  <si>
    <t>2610483</t>
  </si>
  <si>
    <t>678516-8757</t>
  </si>
  <si>
    <t>00001689-022325-2026</t>
  </si>
  <si>
    <t>2610484</t>
  </si>
  <si>
    <t>00001689-022326-2026</t>
  </si>
  <si>
    <t>2610485</t>
  </si>
  <si>
    <t>00001689-022327-2026</t>
  </si>
  <si>
    <t>2610486</t>
  </si>
  <si>
    <t>682782-7878</t>
  </si>
  <si>
    <t>00001689-022328-2026</t>
  </si>
  <si>
    <t>2610487</t>
  </si>
  <si>
    <t>00001689-022329-2026</t>
  </si>
  <si>
    <t>2610488</t>
  </si>
  <si>
    <t>00001689-022330-2026</t>
  </si>
  <si>
    <t>2610489</t>
  </si>
  <si>
    <t>00001689-022331-2026</t>
  </si>
  <si>
    <t>2610490</t>
  </si>
  <si>
    <t>00001689-022332-2026</t>
  </si>
  <si>
    <t>2610491</t>
  </si>
  <si>
    <t>00001689-022333-2026</t>
  </si>
  <si>
    <t>2610492</t>
  </si>
  <si>
    <t>00001689-022334-2026</t>
  </si>
  <si>
    <t>2610493</t>
  </si>
  <si>
    <t>00001689-022335-2026</t>
  </si>
  <si>
    <t>2610494</t>
  </si>
  <si>
    <t>MGSL-EF261184</t>
  </si>
  <si>
    <t>00001689-022336-2026</t>
  </si>
  <si>
    <t>2610495</t>
  </si>
  <si>
    <t>00001689-022337-2026</t>
  </si>
  <si>
    <t>2610496</t>
  </si>
  <si>
    <t>00001689-022338-2026</t>
  </si>
  <si>
    <t>2610497</t>
  </si>
  <si>
    <t>00001689-022339-2026</t>
  </si>
  <si>
    <t>2610498</t>
  </si>
  <si>
    <t>00001689-022340-2026</t>
  </si>
  <si>
    <t>2610499</t>
  </si>
  <si>
    <t>00001689-022341-2026</t>
  </si>
  <si>
    <t>2610500</t>
  </si>
  <si>
    <t>00001689-022342-2026</t>
  </si>
  <si>
    <t>2610501</t>
  </si>
  <si>
    <t>00001689-022343-2026</t>
  </si>
  <si>
    <t>2610502</t>
  </si>
  <si>
    <t>721863-7657</t>
  </si>
  <si>
    <t>00001689-022344-2026</t>
  </si>
  <si>
    <t>2610506</t>
  </si>
  <si>
    <t>MGSL-EF261187</t>
  </si>
  <si>
    <t>00001689-022348-2026</t>
  </si>
  <si>
    <t>2610507</t>
  </si>
  <si>
    <t>669057-7879</t>
  </si>
  <si>
    <t>00001689-022349-2026</t>
  </si>
  <si>
    <t>2610508</t>
  </si>
  <si>
    <t>00001689-022350-2026</t>
  </si>
  <si>
    <t>2610509</t>
  </si>
  <si>
    <t>MGSL-EF261189</t>
  </si>
  <si>
    <t>00001689-022351-2026</t>
  </si>
  <si>
    <t>2610510</t>
  </si>
  <si>
    <t>00001689-022352-2026</t>
  </si>
  <si>
    <t>2610511</t>
  </si>
  <si>
    <t>00001689-022353-2026</t>
  </si>
  <si>
    <t>2610512</t>
  </si>
  <si>
    <t>MGSL-EF261186</t>
  </si>
  <si>
    <t>00001689-022354-2026</t>
  </si>
  <si>
    <t>2610513</t>
  </si>
  <si>
    <t>00001689-022355-2026</t>
  </si>
  <si>
    <t>2610514</t>
  </si>
  <si>
    <t>MGSL-EF261190</t>
  </si>
  <si>
    <t>00001689-022356-2026</t>
  </si>
  <si>
    <t>2610515</t>
  </si>
  <si>
    <t>00001689-022357-2026</t>
  </si>
  <si>
    <t>2610516</t>
  </si>
  <si>
    <t>00001689-022358-2026</t>
  </si>
  <si>
    <t>2610517</t>
  </si>
  <si>
    <t>00001689-022359-2026</t>
  </si>
  <si>
    <t>2610518</t>
  </si>
  <si>
    <t>00001689-022360-2026</t>
  </si>
  <si>
    <t>2610519</t>
  </si>
  <si>
    <t>00001689-022361-2026</t>
  </si>
  <si>
    <t>2610520</t>
  </si>
  <si>
    <t>Malaysia</t>
  </si>
  <si>
    <t>00001689-022362-2026</t>
  </si>
  <si>
    <t>2610521</t>
  </si>
  <si>
    <t>00001689-022363-2026</t>
  </si>
  <si>
    <t>2610522</t>
  </si>
  <si>
    <t>00001689-022364-2026</t>
  </si>
  <si>
    <t>2610523</t>
  </si>
  <si>
    <t>MGSL-EF261185</t>
  </si>
  <si>
    <t>00001689-022365-2026</t>
  </si>
  <si>
    <t>2610524</t>
  </si>
  <si>
    <t>MGSL-EF261183</t>
  </si>
  <si>
    <t>00001689-022366-2026</t>
  </si>
  <si>
    <t>2610525</t>
  </si>
  <si>
    <t>MGSL-EF261192</t>
  </si>
  <si>
    <t>00001689-022367-2026</t>
  </si>
  <si>
    <t>2610526</t>
  </si>
  <si>
    <t>00001689-022368-2026</t>
  </si>
  <si>
    <t>2610527</t>
  </si>
  <si>
    <t>00001689-022369-2026</t>
  </si>
  <si>
    <t>2610528</t>
  </si>
  <si>
    <t>MGSL-EF261191</t>
  </si>
  <si>
    <t>00001689-022370-2026</t>
  </si>
  <si>
    <t>2610529</t>
  </si>
  <si>
    <t>00001689-022371-2026</t>
  </si>
  <si>
    <t>2610530</t>
  </si>
  <si>
    <t>00001689-022372-2026</t>
  </si>
  <si>
    <t>2610531</t>
  </si>
  <si>
    <t>00001689-022373-2026</t>
  </si>
  <si>
    <t>2610532</t>
  </si>
  <si>
    <t>00001689-022374-2026</t>
  </si>
  <si>
    <t>2610533</t>
  </si>
  <si>
    <t>00001689-022375-2026</t>
  </si>
  <si>
    <t>2610534</t>
  </si>
  <si>
    <t>00001689-022376-2026</t>
  </si>
  <si>
    <t>2610535</t>
  </si>
  <si>
    <t>00001689-022377-2026</t>
  </si>
  <si>
    <t>2610536</t>
  </si>
  <si>
    <t>00001689-022378-2026</t>
  </si>
  <si>
    <t>2610537</t>
  </si>
  <si>
    <t>00001689-022379-2026</t>
  </si>
  <si>
    <t>2610538</t>
  </si>
  <si>
    <t>00001689-022380-2026</t>
  </si>
  <si>
    <t>2610539</t>
  </si>
  <si>
    <t>00001689-022381-2026</t>
  </si>
  <si>
    <t>2610540</t>
  </si>
  <si>
    <t>601661-8617</t>
  </si>
  <si>
    <t>00001689-022382-2026</t>
  </si>
  <si>
    <t>2610541</t>
  </si>
  <si>
    <t>00001689-022383-2026</t>
  </si>
  <si>
    <t>2610542</t>
  </si>
  <si>
    <t>00001689-022384-2026</t>
  </si>
  <si>
    <t>2610543</t>
  </si>
  <si>
    <t>00001689-022385-2026</t>
  </si>
  <si>
    <t>2610544</t>
  </si>
  <si>
    <t>00001689-022386-2026</t>
  </si>
  <si>
    <t>2610545</t>
  </si>
  <si>
    <t>00001689-022387-2026</t>
  </si>
  <si>
    <t>2610546</t>
  </si>
  <si>
    <t>00001689-022388-2026</t>
  </si>
  <si>
    <t>2610547</t>
  </si>
  <si>
    <t>00001689-022389-2026</t>
  </si>
  <si>
    <t>2610548</t>
  </si>
  <si>
    <t>00001689-022390-2026</t>
  </si>
  <si>
    <t>2610549</t>
  </si>
  <si>
    <t>00001689-022391-2026</t>
  </si>
  <si>
    <t>2610550</t>
  </si>
  <si>
    <t>00001689-022392-2026</t>
  </si>
  <si>
    <t>2610551</t>
  </si>
  <si>
    <t>00001689-022393-2026</t>
  </si>
  <si>
    <t>2610552</t>
  </si>
  <si>
    <t>00001689-022394-2026</t>
  </si>
  <si>
    <t>2610553</t>
  </si>
  <si>
    <t>00001689-022395-2026</t>
  </si>
  <si>
    <t>2610554</t>
  </si>
  <si>
    <t>00001689-022396-2026</t>
  </si>
  <si>
    <t>2610555</t>
  </si>
  <si>
    <t>00001689-022397-2026</t>
  </si>
  <si>
    <t>2610556</t>
  </si>
  <si>
    <t>00001689-022398-2026</t>
  </si>
  <si>
    <t>2610557</t>
  </si>
  <si>
    <t>00001689-022399-2026</t>
  </si>
  <si>
    <t>2610558</t>
  </si>
  <si>
    <t>00001689-022400-2026</t>
  </si>
  <si>
    <t>2610559</t>
  </si>
  <si>
    <t>00001689-022401-2026</t>
  </si>
  <si>
    <t>2610560</t>
  </si>
  <si>
    <t>00001689-022402-2026</t>
  </si>
  <si>
    <t>2610561</t>
  </si>
  <si>
    <t>00001689-022403-2026</t>
  </si>
  <si>
    <t>2610562</t>
  </si>
  <si>
    <t>00001689-022404-2026</t>
  </si>
  <si>
    <t>2610563</t>
  </si>
  <si>
    <t>00001689-022405-2026</t>
  </si>
  <si>
    <t>2610564</t>
  </si>
  <si>
    <t>00001689-022406-2026</t>
  </si>
  <si>
    <t>2610565</t>
  </si>
  <si>
    <t>00001689-022407-2026</t>
  </si>
  <si>
    <t>2610566</t>
  </si>
  <si>
    <t>00001689-022408-2026</t>
  </si>
  <si>
    <t>2610567</t>
  </si>
  <si>
    <t>00001689-022409-2026</t>
  </si>
  <si>
    <t>2610568</t>
  </si>
  <si>
    <t>5500003382,5500004734</t>
  </si>
  <si>
    <t>MGL-EF260687</t>
  </si>
  <si>
    <t>00000947-001765-2026</t>
  </si>
  <si>
    <t>2610569</t>
  </si>
  <si>
    <t>LPP SA</t>
  </si>
  <si>
    <t>GMMS/MGL/01/2026</t>
  </si>
  <si>
    <t>11512864</t>
  </si>
  <si>
    <t>Poland</t>
  </si>
  <si>
    <t>MGL-EF260703</t>
  </si>
  <si>
    <t>25590.20</t>
  </si>
  <si>
    <t>00000947-001769-2026</t>
  </si>
  <si>
    <t>2610571</t>
  </si>
  <si>
    <t>MGSL-EF261203</t>
  </si>
  <si>
    <t>00001689-022512-2026</t>
  </si>
  <si>
    <t>478186</t>
  </si>
  <si>
    <t>2610572</t>
  </si>
  <si>
    <t>00001689-022513-2026</t>
  </si>
  <si>
    <t>2610573</t>
  </si>
  <si>
    <t>MGSL-EF261201</t>
  </si>
  <si>
    <t>00001689-022514-2026</t>
  </si>
  <si>
    <t>2610574</t>
  </si>
  <si>
    <t>00001689-022515-2026</t>
  </si>
  <si>
    <t>2610575</t>
  </si>
  <si>
    <t>00001689-022516-2026</t>
  </si>
  <si>
    <t>2610576</t>
  </si>
  <si>
    <t>00001689-022517-2026</t>
  </si>
  <si>
    <t>2610577</t>
  </si>
  <si>
    <t>00001689-022518-2026</t>
  </si>
  <si>
    <t>2610578</t>
  </si>
  <si>
    <t>00001689-022519-2026</t>
  </si>
  <si>
    <t>2610579</t>
  </si>
  <si>
    <t>00001689-022520-2026</t>
  </si>
  <si>
    <t>2610580</t>
  </si>
  <si>
    <t>00001689-022521-2026</t>
  </si>
  <si>
    <t>2610581</t>
  </si>
  <si>
    <t>00001689-022522-2026</t>
  </si>
  <si>
    <t>2610582</t>
  </si>
  <si>
    <t>679102-8757</t>
  </si>
  <si>
    <t>MGSL-EF261204</t>
  </si>
  <si>
    <t>00001689-022523-2026</t>
  </si>
  <si>
    <t>2610583</t>
  </si>
  <si>
    <t>00001689-022524-2026</t>
  </si>
  <si>
    <t>478244</t>
  </si>
  <si>
    <t>2610584</t>
  </si>
  <si>
    <t>00001689-022525-2026</t>
  </si>
  <si>
    <t>2610585</t>
  </si>
  <si>
    <t>00001689-022526-2026</t>
  </si>
  <si>
    <t>2610586</t>
  </si>
  <si>
    <t>00001689-022527-2026</t>
  </si>
  <si>
    <t>2610587</t>
  </si>
  <si>
    <t>00001689-022528-2026</t>
  </si>
  <si>
    <t>2610588</t>
  </si>
  <si>
    <t>MGSL-EF261209, MGSL-EF261201</t>
  </si>
  <si>
    <t>00001689-022529-2026</t>
  </si>
  <si>
    <t>2610589</t>
  </si>
  <si>
    <t>00001689-022530-2026</t>
  </si>
  <si>
    <t>2610590</t>
  </si>
  <si>
    <t>00001689-022531-2026</t>
  </si>
  <si>
    <t>2610591</t>
  </si>
  <si>
    <t>00001689-022532-2026</t>
  </si>
  <si>
    <t>2610592</t>
  </si>
  <si>
    <t>MGSL-EF261200</t>
  </si>
  <si>
    <t>00001689-022533-2026</t>
  </si>
  <si>
    <t>2610593</t>
  </si>
  <si>
    <t>00001689-022534-2026</t>
  </si>
  <si>
    <t>2610594</t>
  </si>
  <si>
    <t>00001689-022535-2026</t>
  </si>
  <si>
    <t>2610595</t>
  </si>
  <si>
    <t>953.</t>
  </si>
  <si>
    <t>MGSL-EF261195</t>
  </si>
  <si>
    <t>00000042-005778-2026</t>
  </si>
  <si>
    <t>2610596</t>
  </si>
  <si>
    <t>597958-8617</t>
  </si>
  <si>
    <t>MGSL-EF261205</t>
  </si>
  <si>
    <t>00001689-022536-2026</t>
  </si>
  <si>
    <t>2610597</t>
  </si>
  <si>
    <t>655328-7657</t>
  </si>
  <si>
    <t>MGSL-EF261206</t>
  </si>
  <si>
    <t>00001689-022537-2026</t>
  </si>
  <si>
    <t>2610598</t>
  </si>
  <si>
    <t>MGSL-EF261207</t>
  </si>
  <si>
    <t>00001689-022538-2026</t>
  </si>
  <si>
    <t>2610599</t>
  </si>
  <si>
    <t>690115-8617</t>
  </si>
  <si>
    <t>00001689-022539-2026</t>
  </si>
  <si>
    <t>2610600</t>
  </si>
  <si>
    <t>696359-8617</t>
  </si>
  <si>
    <t>MGSL-EF261202</t>
  </si>
  <si>
    <t>00001689-022540-2026</t>
  </si>
  <si>
    <t>2610601</t>
  </si>
  <si>
    <t>00001689-022541-2026</t>
  </si>
  <si>
    <t>2610602</t>
  </si>
  <si>
    <t>716503-8617</t>
  </si>
  <si>
    <t>00001689-022542-2026</t>
  </si>
  <si>
    <t>2610603</t>
  </si>
  <si>
    <t>00001689-022543-2026</t>
  </si>
  <si>
    <t>2610604</t>
  </si>
  <si>
    <t>00001689-022544-2026</t>
  </si>
  <si>
    <t>2610605</t>
  </si>
  <si>
    <t>00001689-022545-2026</t>
  </si>
  <si>
    <t>2610606</t>
  </si>
  <si>
    <t>00001689-022546-2026</t>
  </si>
  <si>
    <t>2610607</t>
  </si>
  <si>
    <t>00001689-022547-2026</t>
  </si>
  <si>
    <t>2610608</t>
  </si>
  <si>
    <t>00001689-022548-2026</t>
  </si>
  <si>
    <t>2610609</t>
  </si>
  <si>
    <t>00001689-022549-2026</t>
  </si>
  <si>
    <t>2610610</t>
  </si>
  <si>
    <t>730889-8617</t>
  </si>
  <si>
    <t>00001689-022550-2026</t>
  </si>
  <si>
    <t>2610611</t>
  </si>
  <si>
    <t>00001689-022551-2026</t>
  </si>
  <si>
    <t>2610612</t>
  </si>
  <si>
    <t>00001689-022552-2026</t>
  </si>
  <si>
    <t>2610613</t>
  </si>
  <si>
    <t>00001689-022553-2026</t>
  </si>
  <si>
    <t>2610614</t>
  </si>
  <si>
    <t>00001689-022554-2026</t>
  </si>
  <si>
    <t>2610615</t>
  </si>
  <si>
    <t>0156190586401</t>
  </si>
  <si>
    <t>MGL-EF260701</t>
  </si>
  <si>
    <t>00001949-001970-2026</t>
  </si>
  <si>
    <t>2610616</t>
  </si>
  <si>
    <t>0117490234401</t>
  </si>
  <si>
    <t>00001949-001971-2026</t>
  </si>
  <si>
    <t>2610621</t>
  </si>
  <si>
    <t>MGSL-EF261197</t>
  </si>
  <si>
    <t>00001689-022555-2026</t>
  </si>
  <si>
    <t>2610622</t>
  </si>
  <si>
    <t>MGSL-EF261199</t>
  </si>
  <si>
    <t>00001689-022556-2026</t>
  </si>
  <si>
    <t>478284</t>
  </si>
  <si>
    <t>2610623</t>
  </si>
  <si>
    <t>00001689-022557-2026</t>
  </si>
  <si>
    <t>2610625</t>
  </si>
  <si>
    <t>00001689-022559-2026</t>
  </si>
  <si>
    <t>2610626</t>
  </si>
  <si>
    <t>00001689-022560-2026</t>
  </si>
  <si>
    <t>2610627</t>
  </si>
  <si>
    <t>00001689-022561-2026</t>
  </si>
  <si>
    <t>2610628</t>
  </si>
  <si>
    <t>MGSL-EF261198</t>
  </si>
  <si>
    <t>00001689-022562-2026</t>
  </si>
  <si>
    <t>2610629</t>
  </si>
  <si>
    <t>00001689-022563-2026</t>
  </si>
  <si>
    <t>2610630</t>
  </si>
  <si>
    <t>00001689-022564-2026</t>
  </si>
  <si>
    <t>2610631</t>
  </si>
  <si>
    <t>00001689-022565-2026</t>
  </si>
  <si>
    <t>2610632</t>
  </si>
  <si>
    <t>00001689-022566-2026</t>
  </si>
  <si>
    <t>2610633</t>
  </si>
  <si>
    <t>00001689-022567-2026</t>
  </si>
  <si>
    <t>2610634</t>
  </si>
  <si>
    <t>00001689-022568-2026</t>
  </si>
  <si>
    <t>2610635</t>
  </si>
  <si>
    <t>00001689-022569-2026</t>
  </si>
  <si>
    <t>2610636</t>
  </si>
  <si>
    <t>00001689-022570-2026</t>
  </si>
  <si>
    <t>2610637</t>
  </si>
  <si>
    <t>00001689-022571-2026</t>
  </si>
  <si>
    <t>2610638</t>
  </si>
  <si>
    <t>00001689-022572-2026</t>
  </si>
  <si>
    <t>2610639</t>
  </si>
  <si>
    <t>00001689-022573-2026</t>
  </si>
  <si>
    <t>2610640</t>
  </si>
  <si>
    <t>Germany</t>
  </si>
  <si>
    <t>00001689-022574-2026</t>
  </si>
  <si>
    <t>2610641</t>
  </si>
  <si>
    <t>00001689-022575-2026</t>
  </si>
  <si>
    <t>2610642</t>
  </si>
  <si>
    <t>00001689-022576-2026</t>
  </si>
  <si>
    <t>2610643</t>
  </si>
  <si>
    <t>00001689-022577-2026</t>
  </si>
  <si>
    <t>2610644</t>
  </si>
  <si>
    <t>00001689-022578-2026</t>
  </si>
  <si>
    <t>2610645</t>
  </si>
  <si>
    <t>00001689-022579-2026</t>
  </si>
  <si>
    <t>2610646</t>
  </si>
  <si>
    <t>00001689-022580-2026</t>
  </si>
  <si>
    <t>2610647</t>
  </si>
  <si>
    <t>00001689-022581-2026</t>
  </si>
  <si>
    <t>2610648</t>
  </si>
  <si>
    <t>00001689-022582-2026</t>
  </si>
  <si>
    <t>2610649</t>
  </si>
  <si>
    <t>00001689-022583-2026</t>
  </si>
  <si>
    <t>2610650</t>
  </si>
  <si>
    <t>00001689-022584-2026</t>
  </si>
  <si>
    <t>2610651</t>
  </si>
  <si>
    <t>00001689-022585-2026</t>
  </si>
  <si>
    <t>2610652</t>
  </si>
  <si>
    <t>00001689-022586-2026</t>
  </si>
  <si>
    <t>2610653</t>
  </si>
  <si>
    <t>722304-8617</t>
  </si>
  <si>
    <t>00001689-022587-2026</t>
  </si>
  <si>
    <t>2610654</t>
  </si>
  <si>
    <t>00001689-022588-2026</t>
  </si>
  <si>
    <t>2610655</t>
  </si>
  <si>
    <t>00001689-022589-2026</t>
  </si>
  <si>
    <t>2610657</t>
  </si>
  <si>
    <t>00001689-022590-2026</t>
  </si>
  <si>
    <t>2610658</t>
  </si>
  <si>
    <t>00001689-022591-2026</t>
  </si>
  <si>
    <t>2610660</t>
  </si>
  <si>
    <t>11512859</t>
  </si>
  <si>
    <t>00000947-001778-2026</t>
  </si>
  <si>
    <t>2610661</t>
  </si>
  <si>
    <t>MGL-EF260705</t>
  </si>
  <si>
    <t>00000947-001779-2026</t>
  </si>
  <si>
    <t>2610662</t>
  </si>
  <si>
    <t>00000947-001780-2026</t>
  </si>
  <si>
    <t>2610663</t>
  </si>
  <si>
    <t>00000947-001781-2026</t>
  </si>
  <si>
    <t>2610664</t>
  </si>
  <si>
    <t>00000947-001782-2026</t>
  </si>
  <si>
    <t>2610665</t>
  </si>
  <si>
    <t>00000947-001783-2026</t>
  </si>
  <si>
    <t>2610666</t>
  </si>
  <si>
    <t>SAVANA</t>
  </si>
  <si>
    <t>00000947-001784-2026</t>
  </si>
  <si>
    <t>2610668</t>
  </si>
  <si>
    <t>Bestseller 09</t>
  </si>
  <si>
    <t>MNS4691849</t>
  </si>
  <si>
    <t>MGNSL-EF260603</t>
  </si>
  <si>
    <t>00001079-003787-2026</t>
  </si>
  <si>
    <t>TT 40 Days</t>
  </si>
  <si>
    <t>2610669</t>
  </si>
  <si>
    <t>0154190383701</t>
  </si>
  <si>
    <t>MGL-EF260707</t>
  </si>
  <si>
    <t>00001949-001973-2026</t>
  </si>
  <si>
    <t>2610670</t>
  </si>
  <si>
    <t>0154190386701</t>
  </si>
  <si>
    <t>MGL-EF260708</t>
  </si>
  <si>
    <t>00001949-001974-2026</t>
  </si>
  <si>
    <t>2610671</t>
  </si>
  <si>
    <t>0154190383801</t>
  </si>
  <si>
    <t>00001949-001975-2026</t>
  </si>
  <si>
    <t>2610672</t>
  </si>
  <si>
    <t>0154190383501</t>
  </si>
  <si>
    <t>00001949-001976-2026</t>
  </si>
  <si>
    <t>2610673</t>
  </si>
  <si>
    <t>0117490234301</t>
  </si>
  <si>
    <t>00001949-001977-2026</t>
  </si>
  <si>
    <t>2610674</t>
  </si>
  <si>
    <t>P2026-270B</t>
  </si>
  <si>
    <t>PARAGUAY</t>
  </si>
  <si>
    <t>MGSL-EF261212</t>
  </si>
  <si>
    <t>00000042-005780-2026</t>
  </si>
  <si>
    <t>2610675</t>
  </si>
  <si>
    <t>7200017757</t>
  </si>
  <si>
    <t>MGNSL-EF260604</t>
  </si>
  <si>
    <t>00000042-005781-2026</t>
  </si>
  <si>
    <t>2610676</t>
  </si>
  <si>
    <t>7200017760</t>
  </si>
  <si>
    <t>00000042-005782-2026</t>
  </si>
  <si>
    <t>2610677</t>
  </si>
  <si>
    <t>GM/Next/03/2026</t>
  </si>
  <si>
    <t>CJ8474081</t>
  </si>
  <si>
    <t>MGL-EF260709</t>
  </si>
  <si>
    <t>00000947-001786-2026</t>
  </si>
  <si>
    <t>2610678</t>
  </si>
  <si>
    <t>CJ8474078</t>
  </si>
  <si>
    <t>00000947-001787-2026</t>
  </si>
  <si>
    <t>2610679</t>
  </si>
  <si>
    <t>MGL-EF260710</t>
  </si>
  <si>
    <t>00000947-001788-2026</t>
  </si>
  <si>
    <t>2610682</t>
  </si>
  <si>
    <t>MNS4691486,MNS4689623,MNS4691507,MNS4689629,MNS4691848,MNS4691847,MNS4691513,MNS4691845</t>
  </si>
  <si>
    <t>MGNSL-EF260606</t>
  </si>
  <si>
    <t>00001079-003797-2026</t>
  </si>
  <si>
    <t>2610683</t>
  </si>
  <si>
    <t>177293,177340,177339,177296,177336,177297,177291,177341,177298,177292,177299,177338,177302,177337</t>
  </si>
  <si>
    <t>MGL-EF260731</t>
  </si>
  <si>
    <t>00000947-001804-2026</t>
  </si>
  <si>
    <t>2610684</t>
  </si>
  <si>
    <t>7200017759</t>
  </si>
  <si>
    <t>Colombo</t>
  </si>
  <si>
    <t xml:space="preserve"> 00000042-005784-2026</t>
  </si>
  <si>
    <t>2610685</t>
  </si>
  <si>
    <t>MNS4689624,MNS4691906</t>
  </si>
  <si>
    <t>00001079-003798-2026</t>
  </si>
  <si>
    <t>2610686</t>
  </si>
  <si>
    <t>MNS4691493,MNS4691508,MNS4691489,MNS4691528,MNS4691512,MNS4691487,MNS4691521,MNS4691530,MNS4691510,MNS4691505,MNS4691488,MNS4691515,MNS4691511,MNS4691506,MNS4691522,MNS4691492,MNS4691504,MNS4691491</t>
  </si>
  <si>
    <t>00001079-003799-2026</t>
  </si>
  <si>
    <t>2610688</t>
  </si>
  <si>
    <t>0154190386501</t>
  </si>
  <si>
    <t>MGL-EF260711</t>
  </si>
  <si>
    <t>00001949-001982-2026</t>
  </si>
  <si>
    <t>2610689</t>
  </si>
  <si>
    <t>0154190383901</t>
  </si>
  <si>
    <t>00001949-001983-2026</t>
  </si>
  <si>
    <t>2610690</t>
  </si>
  <si>
    <t>0117490234201</t>
  </si>
  <si>
    <t>MGL-EF260717</t>
  </si>
  <si>
    <t>00001949-002000-2026</t>
  </si>
  <si>
    <t>2610691</t>
  </si>
  <si>
    <t>11512860,11512861,11512866,11512865</t>
  </si>
  <si>
    <t>Constanta</t>
  </si>
  <si>
    <t>MGL-EF260712</t>
  </si>
  <si>
    <t>00000947-001803-2026</t>
  </si>
  <si>
    <t>2610692</t>
  </si>
  <si>
    <t>MNS4695036</t>
  </si>
  <si>
    <t>MGNSL-EF260608</t>
  </si>
  <si>
    <t>00001079-003800-2026</t>
  </si>
  <si>
    <t>2610693</t>
  </si>
  <si>
    <t>2026-270E</t>
  </si>
  <si>
    <t>MGSL-EF261211</t>
  </si>
  <si>
    <t>00000042-005794-2026</t>
  </si>
  <si>
    <t>2610698</t>
  </si>
  <si>
    <t>0117490237501</t>
  </si>
  <si>
    <t>00001949-002001-2026</t>
  </si>
  <si>
    <t>2610702</t>
  </si>
  <si>
    <t>MGSL-EF261213</t>
  </si>
  <si>
    <t>00001689-022845-2026</t>
  </si>
  <si>
    <t>2610703</t>
  </si>
  <si>
    <t>00001689-022846-2026</t>
  </si>
  <si>
    <t>2610704</t>
  </si>
  <si>
    <t>710963-7878</t>
  </si>
  <si>
    <t>MGSL-EF261215</t>
  </si>
  <si>
    <t>00001689-022847-2026</t>
  </si>
  <si>
    <t>2610705</t>
  </si>
  <si>
    <t>00001689-022848-2026</t>
  </si>
  <si>
    <t>2610706</t>
  </si>
  <si>
    <t>712800-8617</t>
  </si>
  <si>
    <t>00001689-022849-2026</t>
  </si>
  <si>
    <t>2610707</t>
  </si>
  <si>
    <t>00001689-022850-2026</t>
  </si>
  <si>
    <t>2610708</t>
  </si>
  <si>
    <t>MGSL-EF261214</t>
  </si>
  <si>
    <t>00001689-022851-2026</t>
  </si>
  <si>
    <t>2610709</t>
  </si>
  <si>
    <t>00001689-022852-2026</t>
  </si>
  <si>
    <t>2610710</t>
  </si>
  <si>
    <t>00001689-022853-2026</t>
  </si>
  <si>
    <t>2610711</t>
  </si>
  <si>
    <t>00001689-022854-2026</t>
  </si>
  <si>
    <t>2610712</t>
  </si>
  <si>
    <t>00001689-022855-2026</t>
  </si>
  <si>
    <t>2610713</t>
  </si>
  <si>
    <t>00001689-022856-2026</t>
  </si>
  <si>
    <t>2610714</t>
  </si>
  <si>
    <t>00001689-022857-2026</t>
  </si>
  <si>
    <t>2610715</t>
  </si>
  <si>
    <t>00001689-022858-2026</t>
  </si>
  <si>
    <t>2610716</t>
  </si>
  <si>
    <t>00001689-022859-2026</t>
  </si>
  <si>
    <t>2610717</t>
  </si>
  <si>
    <t>00001689-022860-2026</t>
  </si>
  <si>
    <t>2610718</t>
  </si>
  <si>
    <t>00001689-022861-2026</t>
  </si>
  <si>
    <t>2610719</t>
  </si>
  <si>
    <t>00001689-022862-2026</t>
  </si>
  <si>
    <t>2610720</t>
  </si>
  <si>
    <t>697254-7657</t>
  </si>
  <si>
    <t>00001689-022863-2026</t>
  </si>
  <si>
    <t>2610721</t>
  </si>
  <si>
    <t>00001689-022864-2026</t>
  </si>
  <si>
    <t>2610722</t>
  </si>
  <si>
    <t>697270-7657</t>
  </si>
  <si>
    <t>00001689-022865-2026</t>
  </si>
  <si>
    <t>2610723</t>
  </si>
  <si>
    <t>00001689-022866-2026</t>
  </si>
  <si>
    <t>2610724</t>
  </si>
  <si>
    <t>00001689-022867-2026</t>
  </si>
  <si>
    <t>2610725</t>
  </si>
  <si>
    <t>00001689-022868-2026</t>
  </si>
  <si>
    <t>2610726</t>
  </si>
  <si>
    <t>00001689-022869-2026</t>
  </si>
  <si>
    <t>2610727</t>
  </si>
  <si>
    <t>00001689-022870-2026</t>
  </si>
  <si>
    <t>2610728</t>
  </si>
  <si>
    <t>00001689-022871-2026</t>
  </si>
  <si>
    <t>2610729</t>
  </si>
  <si>
    <t>00001689-022872-2026</t>
  </si>
  <si>
    <t>2610730</t>
  </si>
  <si>
    <t>00001689-022873-2026</t>
  </si>
  <si>
    <t>2610731</t>
  </si>
  <si>
    <t>00001689-022874-2026</t>
  </si>
  <si>
    <t>2610732</t>
  </si>
  <si>
    <t>00001689-022875-2026</t>
  </si>
  <si>
    <t>2610733</t>
  </si>
  <si>
    <t>00001689-022876-2026</t>
  </si>
  <si>
    <t>2610734</t>
  </si>
  <si>
    <t>00001689-022877-2026</t>
  </si>
  <si>
    <t>2610735</t>
  </si>
  <si>
    <t>00001689-022878-2026</t>
  </si>
  <si>
    <t>2610736</t>
  </si>
  <si>
    <t>00001689-022879-2026</t>
  </si>
  <si>
    <t>2610737</t>
  </si>
  <si>
    <t>00001689-022880-2026</t>
  </si>
  <si>
    <t>2610738</t>
  </si>
  <si>
    <t>00001689-022881-2026</t>
  </si>
  <si>
    <t>2610739</t>
  </si>
  <si>
    <t>00001689-022882-2026</t>
  </si>
  <si>
    <t>2610740</t>
  </si>
  <si>
    <t>00001689-022883-2026</t>
  </si>
  <si>
    <t>2610741</t>
  </si>
  <si>
    <t>00001689-022884-2026</t>
  </si>
  <si>
    <t>2610742</t>
  </si>
  <si>
    <t>MGSL-EF261218</t>
  </si>
  <si>
    <t>00001689-022885-2026</t>
  </si>
  <si>
    <t>2610743</t>
  </si>
  <si>
    <t>603780-7878</t>
  </si>
  <si>
    <t>MGSL-EF261217</t>
  </si>
  <si>
    <t>00001689-022886-2026</t>
  </si>
  <si>
    <t>2610744</t>
  </si>
  <si>
    <t>603783-7878</t>
  </si>
  <si>
    <t>00001689-022887-2026</t>
  </si>
  <si>
    <t>2610745</t>
  </si>
  <si>
    <t>603785-7878</t>
  </si>
  <si>
    <t>00001689-022888-2026</t>
  </si>
  <si>
    <t>2610746</t>
  </si>
  <si>
    <t>MGSL-EF261219</t>
  </si>
  <si>
    <t>00001689-022889-2026</t>
  </si>
  <si>
    <t>2610747</t>
  </si>
  <si>
    <t>00001689-022890-2026</t>
  </si>
  <si>
    <t>2610748</t>
  </si>
  <si>
    <t>00001689-022891-2026</t>
  </si>
  <si>
    <t>2610749</t>
  </si>
  <si>
    <t>00001689-022892-2026</t>
  </si>
  <si>
    <t>2610750</t>
  </si>
  <si>
    <t>00001689-022893-2026</t>
  </si>
  <si>
    <t>2610751</t>
  </si>
  <si>
    <t>00001689-022894-2026</t>
  </si>
  <si>
    <t>2610752</t>
  </si>
  <si>
    <t>00001689-022895-2026</t>
  </si>
  <si>
    <t>2610753</t>
  </si>
  <si>
    <t>00001689-022896-2026</t>
  </si>
  <si>
    <t>2610754</t>
  </si>
  <si>
    <t>00001689-022897-2026</t>
  </si>
  <si>
    <t>2610755</t>
  </si>
  <si>
    <t>00001689-022898-2026</t>
  </si>
  <si>
    <t>2610756</t>
  </si>
  <si>
    <t>00001689-022899-2026</t>
  </si>
  <si>
    <t>2610757</t>
  </si>
  <si>
    <t>00001689-022900-2026</t>
  </si>
  <si>
    <t>2610758</t>
  </si>
  <si>
    <t>668537-7878</t>
  </si>
  <si>
    <t>00001689-022901-2026</t>
  </si>
  <si>
    <t>2610759</t>
  </si>
  <si>
    <t>00001689-022902-2026</t>
  </si>
  <si>
    <t>2610760</t>
  </si>
  <si>
    <t>00001689-022903-2026</t>
  </si>
  <si>
    <t>2610761</t>
  </si>
  <si>
    <t>00001689-022904-2026</t>
  </si>
  <si>
    <t>2610762</t>
  </si>
  <si>
    <t>00001689-022905-2026</t>
  </si>
  <si>
    <t>2610763</t>
  </si>
  <si>
    <t>00001689-022906-2026</t>
  </si>
  <si>
    <t>2610764</t>
  </si>
  <si>
    <t>00001689-022907-2026</t>
  </si>
  <si>
    <t>2610765</t>
  </si>
  <si>
    <t>670523-7878</t>
  </si>
  <si>
    <t>00001689-022908-2026</t>
  </si>
  <si>
    <t>2610766</t>
  </si>
  <si>
    <t>00001689-022909-2026</t>
  </si>
  <si>
    <t>2610767</t>
  </si>
  <si>
    <t>00001689-022910-2026</t>
  </si>
  <si>
    <t>2610768</t>
  </si>
  <si>
    <t>00001689-022911-2026</t>
  </si>
  <si>
    <t>2610769</t>
  </si>
  <si>
    <t>00001689-022912-2026</t>
  </si>
  <si>
    <t>2610770</t>
  </si>
  <si>
    <t>00001689-022913-2026</t>
  </si>
  <si>
    <t>2610771</t>
  </si>
  <si>
    <t>00001689-022914-2026</t>
  </si>
  <si>
    <t>2610772</t>
  </si>
  <si>
    <t>00001689-022915-2026</t>
  </si>
  <si>
    <t>2610773</t>
  </si>
  <si>
    <t>00001689-022916-2026</t>
  </si>
  <si>
    <t>2610774</t>
  </si>
  <si>
    <t>00001689-022917-2026</t>
  </si>
  <si>
    <t>2610775</t>
  </si>
  <si>
    <t>00001689-022918-2026</t>
  </si>
  <si>
    <t>2610776</t>
  </si>
  <si>
    <t>00001689-022919-2026</t>
  </si>
  <si>
    <t>2610777</t>
  </si>
  <si>
    <t>00001689-022920-2026</t>
  </si>
  <si>
    <t>2610778</t>
  </si>
  <si>
    <t>00001689-022921-2026</t>
  </si>
  <si>
    <t>2610779</t>
  </si>
  <si>
    <t>00001689-022922-2026</t>
  </si>
  <si>
    <t>2610781</t>
  </si>
  <si>
    <t>712055-9630</t>
  </si>
  <si>
    <t>00001689-022923-2026</t>
  </si>
  <si>
    <t>2610782</t>
  </si>
  <si>
    <t>00001689-022924-2026</t>
  </si>
  <si>
    <t>2610783</t>
  </si>
  <si>
    <t>MGSL-EF261222</t>
  </si>
  <si>
    <t>00001689-022925-2026</t>
  </si>
  <si>
    <t>2610784</t>
  </si>
  <si>
    <t>635417-7878</t>
  </si>
  <si>
    <t>MGSL-EF261224</t>
  </si>
  <si>
    <t>00001689-022926-2026</t>
  </si>
  <si>
    <t>2610785</t>
  </si>
  <si>
    <t>MGSL-EF261221</t>
  </si>
  <si>
    <t>00001689-022927-2026</t>
  </si>
  <si>
    <t>2610786</t>
  </si>
  <si>
    <t>00001689-022928-2026</t>
  </si>
  <si>
    <t>2610787</t>
  </si>
  <si>
    <t>00001689-022929-2026</t>
  </si>
  <si>
    <t>2610788</t>
  </si>
  <si>
    <t>MGSL-EF261223</t>
  </si>
  <si>
    <t>00001689-022930-2026</t>
  </si>
  <si>
    <t>2610789</t>
  </si>
  <si>
    <t>719385-8617</t>
  </si>
  <si>
    <t>00001689-022931-2026</t>
  </si>
  <si>
    <t>2610790</t>
  </si>
  <si>
    <t>00001689-022932-2026</t>
  </si>
  <si>
    <t>2610791</t>
  </si>
  <si>
    <t>00001689-022933-2026</t>
  </si>
  <si>
    <t>2610792</t>
  </si>
  <si>
    <t>00001689-022934-2026</t>
  </si>
  <si>
    <t>2610793</t>
  </si>
  <si>
    <t>00001689-022935-2026</t>
  </si>
  <si>
    <t>2610794</t>
  </si>
  <si>
    <t>0154190386401</t>
  </si>
  <si>
    <t>MGL-EF260714</t>
  </si>
  <si>
    <t>00001949-001993-2026</t>
  </si>
  <si>
    <t>2610795</t>
  </si>
  <si>
    <t>0156190611801</t>
  </si>
  <si>
    <t>00001949-001994-2026</t>
  </si>
  <si>
    <t>2610798</t>
  </si>
  <si>
    <t>7200017754</t>
  </si>
  <si>
    <t>NHAVA-SHEVA</t>
  </si>
  <si>
    <t>MGNSL-EF260610</t>
  </si>
  <si>
    <t>00000042-005840-2026</t>
  </si>
  <si>
    <t>2610799</t>
  </si>
  <si>
    <t>7200017752</t>
  </si>
  <si>
    <t>00000042-005841-2026</t>
  </si>
  <si>
    <t>2610800</t>
  </si>
  <si>
    <t>7200017753</t>
  </si>
  <si>
    <t>MGNSL-EF260609</t>
  </si>
  <si>
    <t>00000042-005842-2026</t>
  </si>
  <si>
    <t>2610801</t>
  </si>
  <si>
    <t>7200017755</t>
  </si>
  <si>
    <t>00000042-005848-2026</t>
  </si>
  <si>
    <t>2610802</t>
  </si>
  <si>
    <t>7200017762</t>
  </si>
  <si>
    <t>00000042-005849-2026</t>
  </si>
  <si>
    <t>2610803</t>
  </si>
  <si>
    <t>7200017761,7200017746,7200017743</t>
  </si>
  <si>
    <t>00000042-005850-2026</t>
  </si>
  <si>
    <t>2610805</t>
  </si>
  <si>
    <t>8557923,8557922,8554909,8562524,8562525,8572202,8555224,8559592,8556482,8557499,8548284,8550666</t>
  </si>
  <si>
    <t>MGL-EF260715</t>
  </si>
  <si>
    <t>00000947-001819-2026</t>
  </si>
  <si>
    <t>2610806</t>
  </si>
  <si>
    <t>MGSL-EF261225</t>
  </si>
  <si>
    <t>00001689-023109-2026</t>
  </si>
  <si>
    <t>2610807</t>
  </si>
  <si>
    <t>MGSL-EF261227</t>
  </si>
  <si>
    <t>00001689-023110-2026</t>
  </si>
  <si>
    <t>2610808</t>
  </si>
  <si>
    <t>00001689-023111-2026</t>
  </si>
  <si>
    <t>2610809</t>
  </si>
  <si>
    <t>00001689-023112-2026</t>
  </si>
  <si>
    <t>2610810</t>
  </si>
  <si>
    <t>00001689-023113-2026</t>
  </si>
  <si>
    <t>2610811</t>
  </si>
  <si>
    <t>00001689-023114-2026</t>
  </si>
  <si>
    <t>2610812</t>
  </si>
  <si>
    <t>00001689-023115-2026</t>
  </si>
  <si>
    <t>2610813</t>
  </si>
  <si>
    <t>MGSL-EF261220</t>
  </si>
  <si>
    <t>00001689-023116-2026</t>
  </si>
  <si>
    <t>2610814</t>
  </si>
  <si>
    <t>00001689-023117-2026</t>
  </si>
  <si>
    <t>2610815</t>
  </si>
  <si>
    <t>00001689-023118-2026</t>
  </si>
  <si>
    <t>2610816</t>
  </si>
  <si>
    <t>MGSL-EF261234</t>
  </si>
  <si>
    <t>00001689-023119-2026</t>
  </si>
  <si>
    <t>2610817</t>
  </si>
  <si>
    <t>00001689-023120-2026</t>
  </si>
  <si>
    <t>2610818</t>
  </si>
  <si>
    <t>MGSL-EF261235</t>
  </si>
  <si>
    <t>00001689-023121-2026</t>
  </si>
  <si>
    <t>2610819</t>
  </si>
  <si>
    <t>00001689-023122-2026</t>
  </si>
  <si>
    <t>2610820</t>
  </si>
  <si>
    <t>MGSL-EF261233</t>
  </si>
  <si>
    <t>00001689-023123-2026</t>
  </si>
  <si>
    <t>2610821</t>
  </si>
  <si>
    <t>00001689-023124-2026</t>
  </si>
  <si>
    <t>2610822</t>
  </si>
  <si>
    <t>00001689-023125-2026</t>
  </si>
  <si>
    <t>2610823</t>
  </si>
  <si>
    <t>00001689-023126-2026</t>
  </si>
  <si>
    <t>2610824</t>
  </si>
  <si>
    <t>00001689-023127-2026</t>
  </si>
  <si>
    <t>2610825</t>
  </si>
  <si>
    <t>00001689-023128-2026</t>
  </si>
  <si>
    <t>2610826</t>
  </si>
  <si>
    <t>00001689-023129-2026</t>
  </si>
  <si>
    <t>2610827</t>
  </si>
  <si>
    <t>00001689-023130-2026</t>
  </si>
  <si>
    <t>2610828</t>
  </si>
  <si>
    <t>MGSL-EF261232</t>
  </si>
  <si>
    <t>00001689-023131-2026</t>
  </si>
  <si>
    <t>2610829</t>
  </si>
  <si>
    <t>MGSL-EF261231</t>
  </si>
  <si>
    <t>00001689-023132-2026</t>
  </si>
  <si>
    <t>2610830</t>
  </si>
  <si>
    <t>00001689-023133-2026</t>
  </si>
  <si>
    <t>2610831</t>
  </si>
  <si>
    <t>00001689-023134-2026</t>
  </si>
  <si>
    <t>2610832</t>
  </si>
  <si>
    <t>00001689-023135-2026</t>
  </si>
  <si>
    <t>2610833</t>
  </si>
  <si>
    <t>MGSL-EF261230</t>
  </si>
  <si>
    <t>00001689-023136-2026</t>
  </si>
  <si>
    <t>2610834</t>
  </si>
  <si>
    <t>00001689-023137-2026</t>
  </si>
  <si>
    <t>2610835</t>
  </si>
  <si>
    <t>00001689-023138-2026</t>
  </si>
  <si>
    <t>2610836</t>
  </si>
  <si>
    <t>00001689-023139-2026</t>
  </si>
  <si>
    <t>2610837</t>
  </si>
  <si>
    <t>00001689-023140-2026</t>
  </si>
  <si>
    <t>2610838</t>
  </si>
  <si>
    <t>00001689-023141-2026</t>
  </si>
  <si>
    <t>2610839</t>
  </si>
  <si>
    <t>00001689-023142-2026</t>
  </si>
  <si>
    <t>2610840</t>
  </si>
  <si>
    <t>00001689-023143-2026</t>
  </si>
  <si>
    <t>2610841</t>
  </si>
  <si>
    <t>00001689-023144-2026</t>
  </si>
  <si>
    <t>2610842</t>
  </si>
  <si>
    <t>00001689-023145-2026</t>
  </si>
  <si>
    <t>2610843</t>
  </si>
  <si>
    <t>00001689-023146-2026</t>
  </si>
  <si>
    <t>2610844</t>
  </si>
  <si>
    <t>00001689-023147-2026</t>
  </si>
  <si>
    <t>2610845</t>
  </si>
  <si>
    <t>700259-7657</t>
  </si>
  <si>
    <t>00001689-023148-2026</t>
  </si>
  <si>
    <t>2610846</t>
  </si>
  <si>
    <t>00001689-023149-2026</t>
  </si>
  <si>
    <t>2610847</t>
  </si>
  <si>
    <t>MGSL-EF261229</t>
  </si>
  <si>
    <t>00001689-023150-2026</t>
  </si>
  <si>
    <t>2610848</t>
  </si>
  <si>
    <t>00001689-023151-2026</t>
  </si>
  <si>
    <t>2610849</t>
  </si>
  <si>
    <t>00001689-023152-2026</t>
  </si>
  <si>
    <t>2610850</t>
  </si>
  <si>
    <t>00001689-023153-2026</t>
  </si>
  <si>
    <t>2610851</t>
  </si>
  <si>
    <t>00001689-023154-2026</t>
  </si>
  <si>
    <t>2610852</t>
  </si>
  <si>
    <t>00001689-023155-2026</t>
  </si>
  <si>
    <t>2610853</t>
  </si>
  <si>
    <t>00001689-023156-2026</t>
  </si>
  <si>
    <t>2610856</t>
  </si>
  <si>
    <t>2026-270F</t>
  </si>
  <si>
    <t>MGSL-EF261228</t>
  </si>
  <si>
    <t>00000042-005851-2026</t>
  </si>
  <si>
    <t>2610858</t>
  </si>
  <si>
    <t>748810-8617</t>
  </si>
  <si>
    <t>00001689-023202-2026</t>
  </si>
  <si>
    <t>2610859</t>
  </si>
  <si>
    <t>7200017745</t>
  </si>
  <si>
    <t>00000042-005868-2026</t>
  </si>
  <si>
    <t>2610860</t>
  </si>
  <si>
    <t>11512862,11512867</t>
  </si>
  <si>
    <t>MGL-EF260718</t>
  </si>
  <si>
    <t>00000947-001802-2026</t>
  </si>
  <si>
    <t>2610861</t>
  </si>
  <si>
    <t>8566057,8532643,8558979,8567820,8567821,8563232</t>
  </si>
  <si>
    <t>MGL-EF260716</t>
  </si>
  <si>
    <t>00000947-001821-2026</t>
  </si>
  <si>
    <t>2610862</t>
  </si>
  <si>
    <t>0110890184601</t>
  </si>
  <si>
    <t>00001949-002002-2026</t>
  </si>
  <si>
    <t>2610864</t>
  </si>
  <si>
    <t>MGL-EF260719</t>
  </si>
  <si>
    <t>00000947-001825-2026</t>
  </si>
  <si>
    <t>2610865</t>
  </si>
  <si>
    <t>00000947-001826-2026</t>
  </si>
  <si>
    <t>2610866</t>
  </si>
  <si>
    <t>00000947-001827-2026</t>
  </si>
  <si>
    <t>2610867</t>
  </si>
  <si>
    <t>00000947-001828-2026</t>
  </si>
  <si>
    <t>2610868</t>
  </si>
  <si>
    <t>1258360</t>
  </si>
  <si>
    <t>MGL-EF260730</t>
  </si>
  <si>
    <t>00000947-001835-2026</t>
  </si>
  <si>
    <t>2610869</t>
  </si>
  <si>
    <t>00000947-001836-2026</t>
  </si>
  <si>
    <t>2610870</t>
  </si>
  <si>
    <t>00000947-001837-2026</t>
  </si>
  <si>
    <t>2610871</t>
  </si>
  <si>
    <t>00000947-001838-2026</t>
  </si>
  <si>
    <t>2610872</t>
  </si>
  <si>
    <t>00000947-001839-2026</t>
  </si>
  <si>
    <t>2610873</t>
  </si>
  <si>
    <t>00000947-001840-2026</t>
  </si>
  <si>
    <t>2610874</t>
  </si>
  <si>
    <t>00000947-001841-2026</t>
  </si>
  <si>
    <t>2610875</t>
  </si>
  <si>
    <t>00000947-001842-2026</t>
  </si>
  <si>
    <t>2610876</t>
  </si>
  <si>
    <t>5190028,5190025,5190026,5190017,5190027,5190029,5190019,5190022,5190024,5190018,5190054,5190056,5190016,5190021,5190015,5190020,5190023</t>
  </si>
  <si>
    <t>MGL-EF260723, MGL-EF260729, MGL-EF260726, MGL-EF260725, MGL-EF260727</t>
  </si>
  <si>
    <t xml:space="preserve"> 00001880-001952-2026</t>
  </si>
  <si>
    <t>2610877</t>
  </si>
  <si>
    <t>5190055</t>
  </si>
  <si>
    <t>MGL-EF260724</t>
  </si>
  <si>
    <t>00001880-001949-2026</t>
  </si>
  <si>
    <t>2610878</t>
  </si>
  <si>
    <t>5190057</t>
  </si>
  <si>
    <t>MGL-EF260729</t>
  </si>
  <si>
    <t>00001880-001950-2026</t>
  </si>
  <si>
    <t>2610879</t>
  </si>
  <si>
    <t>5190058</t>
  </si>
  <si>
    <t>00001880-001951-2026</t>
  </si>
  <si>
    <t>2610881</t>
  </si>
  <si>
    <t>MNS4720088,MNS4720090,MNS4720087</t>
  </si>
  <si>
    <t>MGNSL-EF260612</t>
  </si>
  <si>
    <t>2610880</t>
  </si>
  <si>
    <t>4191209</t>
  </si>
  <si>
    <t>MGL-EF260728</t>
  </si>
  <si>
    <t>000019490020032026</t>
  </si>
  <si>
    <t>Gape</t>
  </si>
  <si>
    <t>Ex factory Date</t>
  </si>
  <si>
    <t>Bank Name</t>
  </si>
  <si>
    <t>AD Code</t>
  </si>
  <si>
    <t>Branch Name</t>
  </si>
  <si>
    <t>EXP Serial</t>
  </si>
  <si>
    <t>EXP Year</t>
  </si>
  <si>
    <t>EXP No</t>
  </si>
  <si>
    <t>HSCODE</t>
  </si>
  <si>
    <t>Country Code</t>
  </si>
  <si>
    <t>Currency Code</t>
  </si>
  <si>
    <t>Currency</t>
  </si>
  <si>
    <t>Cmt Amount</t>
  </si>
  <si>
    <t>Amount Inv</t>
  </si>
  <si>
    <t>Inv Confirmed</t>
  </si>
  <si>
    <t>Freight</t>
  </si>
  <si>
    <t>Insurance</t>
  </si>
  <si>
    <t>Other Charges</t>
  </si>
  <si>
    <t>CMT Customs</t>
  </si>
  <si>
    <t>Amount Customs</t>
  </si>
  <si>
    <t>Realized Date</t>
  </si>
  <si>
    <t>Amount Realized</t>
  </si>
  <si>
    <t>Ship Port</t>
  </si>
  <si>
    <t>Ship Date</t>
  </si>
  <si>
    <t>ERC No</t>
  </si>
  <si>
    <t>BIN</t>
  </si>
  <si>
    <t>Exporter</t>
  </si>
  <si>
    <t>Lc Contact</t>
  </si>
  <si>
    <t>Importer</t>
  </si>
  <si>
    <t>Dup Flag</t>
  </si>
  <si>
    <t>Dup Date</t>
  </si>
  <si>
    <t>Dup AD</t>
  </si>
  <si>
    <t>Trp Flag</t>
  </si>
  <si>
    <t>Unit Code</t>
  </si>
  <si>
    <t>Unit ISO</t>
  </si>
  <si>
    <t>Quantity</t>
  </si>
  <si>
    <t>Issue Officer</t>
  </si>
  <si>
    <t>Bank Bill No</t>
  </si>
  <si>
    <t>Bank Bill Date</t>
  </si>
  <si>
    <t>Cancel Flag</t>
  </si>
  <si>
    <t>Remarks</t>
  </si>
  <si>
    <t>Entry Date</t>
  </si>
  <si>
    <t>Entry User</t>
  </si>
  <si>
    <t>Incoterm</t>
  </si>
  <si>
    <t>Carrier</t>
  </si>
  <si>
    <t>Trans Doc Type</t>
  </si>
  <si>
    <t>Sector</t>
  </si>
  <si>
    <t>Dest Port</t>
  </si>
  <si>
    <t>Trans Doc No</t>
  </si>
  <si>
    <t>Bank Ref No</t>
  </si>
  <si>
    <t>Trans Doc Date</t>
  </si>
  <si>
    <t>Custom Code</t>
  </si>
  <si>
    <t>Export Bill No</t>
  </si>
  <si>
    <t>Export Bill Date</t>
  </si>
  <si>
    <t>Signatory Id</t>
  </si>
  <si>
    <t>PRC ID/Count</t>
  </si>
  <si>
    <t>EXIM Bank Ltd.</t>
  </si>
  <si>
    <t>Gulshan Branch</t>
  </si>
  <si>
    <t>USD</t>
  </si>
  <si>
    <t>000312864-0305</t>
  </si>
  <si>
    <t>MOHAMMADI GROUP LTD, LOTUS KAMAL TOWER-1, 10TH FLOOR, 57, JOAR SAHARA, AIRPORT ROAD, DHAKA</t>
  </si>
  <si>
    <t>LC - ECI-SS27</t>
  </si>
  <si>
    <t>EL CORTE INGLES S.A., SPAIN</t>
  </si>
  <si>
    <t>PCE</t>
  </si>
  <si>
    <t>EXP-100277</t>
  </si>
  <si>
    <t>NA</t>
  </si>
  <si>
    <t>PRIVATE</t>
  </si>
  <si>
    <t>00001949-001812-2026</t>
  </si>
  <si>
    <t>LC - ECI-SS26</t>
  </si>
  <si>
    <t>EL CORTE INGLES, SPAIN.</t>
  </si>
  <si>
    <t>Y</t>
  </si>
  <si>
    <t>.</t>
  </si>
  <si>
    <t>SILKWAY WEST AIRLINES</t>
  </si>
  <si>
    <t>41C0033648</t>
  </si>
  <si>
    <t>EUR</t>
  </si>
  <si>
    <t>LC - MG-SPF-2026</t>
  </si>
  <si>
    <t xml:space="preserve">EUROFIEL MEXICO SA DE CV
AVENIDA ADOLFO LOPEZ MATEOS NORTE
#2405 PISO 18OFICINA 4-A COLONIA ITALIA PROVIDENCIA, 
C.P. 44648GUADALAJARA, JALISCO, MEXICO, 
</t>
  </si>
  <si>
    <t>RE</t>
  </si>
  <si>
    <t xml:space="preserve">EUROFIEL CONFECCION S.A.
Avda. Del llano Castellano, 51
28034 Madrid  - Spain
</t>
  </si>
  <si>
    <t>LC - MG-PEPE JEANS SS25MC</t>
  </si>
  <si>
    <t>PEPE JEANS SL, SPAIN.</t>
  </si>
  <si>
    <t>MSC  SIJING / V-SX637R</t>
  </si>
  <si>
    <t>SDACF3013770</t>
  </si>
  <si>
    <t>00001949-001665-2026</t>
  </si>
  <si>
    <t>LC - MGNS602092026</t>
  </si>
  <si>
    <t>J.M RESOURCES CO.LTD.</t>
  </si>
  <si>
    <t>FDBC 07-0542-2026</t>
  </si>
  <si>
    <t>IPLL26084336</t>
  </si>
  <si>
    <t>00001949-001749-2026</t>
  </si>
  <si>
    <t>ETIHAD AIRWAYS</t>
  </si>
  <si>
    <t>RAF0544745</t>
  </si>
  <si>
    <t>00001949-001739-2026</t>
  </si>
  <si>
    <t>re</t>
  </si>
  <si>
    <t>61C0212719</t>
  </si>
  <si>
    <t>00001949-001664-2026</t>
  </si>
  <si>
    <t>FDBC 07-0591-26</t>
  </si>
  <si>
    <t>61C0211711</t>
  </si>
  <si>
    <t>00001949-001752-2026</t>
  </si>
  <si>
    <t>00001949-001750-2026</t>
  </si>
  <si>
    <t>KUWAIT AIRWAYS</t>
  </si>
  <si>
    <t>00001949-001751-2026</t>
  </si>
  <si>
    <t>00001949-001771-2026</t>
  </si>
  <si>
    <t>FDBC 07-0598-26</t>
  </si>
  <si>
    <t>RQT</t>
  </si>
  <si>
    <t>61C0213624</t>
  </si>
  <si>
    <t>00001949-001770-2026</t>
  </si>
  <si>
    <t>FDBC 07-0554-2026</t>
  </si>
  <si>
    <t>IPLL-08-26-30100</t>
  </si>
  <si>
    <t>00001949-001813-2026</t>
  </si>
  <si>
    <t>41C0033653</t>
  </si>
  <si>
    <t>00001949-001815-2026</t>
  </si>
  <si>
    <t>41C0033655</t>
  </si>
  <si>
    <t>00001949-001853-2026</t>
  </si>
  <si>
    <t>FDBC 07-0590-2026</t>
  </si>
  <si>
    <t>R</t>
  </si>
  <si>
    <t>IPLL26084464</t>
  </si>
  <si>
    <t>00001949-001841-2026</t>
  </si>
  <si>
    <t>41C0033729</t>
  </si>
  <si>
    <t>00001949-001820-2026</t>
  </si>
  <si>
    <t>FDBC 07-0563-26</t>
  </si>
  <si>
    <t>IPLL-08-26-30116</t>
  </si>
  <si>
    <t>LC - ECI-AW25</t>
  </si>
  <si>
    <t>00001949-001814-2026</t>
  </si>
  <si>
    <t>41C0033654</t>
  </si>
  <si>
    <t>00001949-001823-2026</t>
  </si>
  <si>
    <t>FDBC 07-0600-26</t>
  </si>
  <si>
    <t>HMM CHITTAGONG V-0047N</t>
  </si>
  <si>
    <t>61C0211710</t>
  </si>
  <si>
    <t>00001949-001842-2026</t>
  </si>
  <si>
    <t>FDBC 07-0561-2026</t>
  </si>
  <si>
    <t>IPLL-08-26-1016</t>
  </si>
  <si>
    <t>00001949-001809-2026</t>
  </si>
  <si>
    <t>MCC CEBU, V-621D</t>
  </si>
  <si>
    <t>61C0213041</t>
  </si>
  <si>
    <t>00001949-001810-2026</t>
  </si>
  <si>
    <t>61C0211712</t>
  </si>
  <si>
    <t>00001949-001811-2026</t>
  </si>
  <si>
    <t>MAERSK DAVAO, V-618B</t>
  </si>
  <si>
    <t>61c0215837</t>
  </si>
  <si>
    <t>00001949-002003-2026</t>
  </si>
  <si>
    <t>SPRINGFIELD, SPAIN</t>
  </si>
  <si>
    <t>00001949-001868-2026</t>
  </si>
  <si>
    <t>CNC NEPTUNE V-0HBH4N1MA</t>
  </si>
  <si>
    <t>61C0214748</t>
  </si>
  <si>
    <t>National Bank Ltd.</t>
  </si>
  <si>
    <t>Mohakhali Branch</t>
  </si>
  <si>
    <t>00000947-001564-2026</t>
  </si>
  <si>
    <t>LC - MG/WG-26</t>
  </si>
  <si>
    <t>TRADEWIND GMBH</t>
  </si>
  <si>
    <t>584/2026</t>
  </si>
  <si>
    <t>EFOE26083280</t>
  </si>
  <si>
    <t>00000947-001477-2026</t>
  </si>
  <si>
    <t>LC - PRIMARK LINGERIE BA 25</t>
  </si>
  <si>
    <t>Primark Store Inc</t>
  </si>
  <si>
    <t>555/2026</t>
  </si>
  <si>
    <t>FCR001534896</t>
  </si>
  <si>
    <t>00000947-001478-2026</t>
  </si>
  <si>
    <t>LC - MG PRIMARK BA WB012</t>
  </si>
  <si>
    <t>PRIMARK STORE INC
PRIMARK HOUSE 41 WEST STREET READING UK</t>
  </si>
  <si>
    <t>FCR001534898</t>
  </si>
  <si>
    <t>00000947-001479-2026</t>
  </si>
  <si>
    <t>LC - FFT/BH/03/2026</t>
  </si>
  <si>
    <t>BOOHQ COM UK LIMITED 
ENGLAND</t>
  </si>
  <si>
    <t>00000947-001480-2026</t>
  </si>
  <si>
    <t>00000947-001537-2026</t>
  </si>
  <si>
    <t>LC - SC-2023-CCL0000121</t>
  </si>
  <si>
    <t>Carmel Clothing ltd.unit:1,55-57 holmes road, London,NW5,3AN</t>
  </si>
  <si>
    <t>00000947-001730-2026</t>
  </si>
  <si>
    <t>BOOHOO UK LIMITED 
ENGLAND</t>
  </si>
  <si>
    <t>HR AARAI V-MRAI0122S</t>
  </si>
  <si>
    <t>EFOE26091590</t>
  </si>
  <si>
    <t>00000947-001541-2026</t>
  </si>
  <si>
    <t>BOOHOO. UK LIMITED
49/51 Dale St, Manchester, M1 2HF, United Kingdom</t>
  </si>
  <si>
    <t>00000947-001441-2026</t>
  </si>
  <si>
    <t>LC - ZXY/FDC/MGA/260400198</t>
  </si>
  <si>
    <t>FALABELLA DE COLOMBIA SA 
BOGOTA COLOMBIA</t>
  </si>
  <si>
    <t>578/2026</t>
  </si>
  <si>
    <t>BAC0641886</t>
  </si>
  <si>
    <t>00000947-001386-2026</t>
  </si>
  <si>
    <t>DAC00026237</t>
  </si>
  <si>
    <t>00000947-001387-2026</t>
  </si>
  <si>
    <t>DAC00026233</t>
  </si>
  <si>
    <t>00000947-001588-2026</t>
  </si>
  <si>
    <t>LC - ETM/MGL/ETM/02/2026</t>
  </si>
  <si>
    <t>ASSURER AT WORK LIMITED 
HONGKONG</t>
  </si>
  <si>
    <t>r</t>
  </si>
  <si>
    <t>YOURS CLOTHING LIMITED
NEWCOMBE HOUSE, BAKEWELL ROAD, ORTON
SOUTHGATE, PETERBOROUGH, PE2 6XU. UNITED
KINGDOM.</t>
  </si>
  <si>
    <t>00000947-001470-2026</t>
  </si>
  <si>
    <t>FCR001515208</t>
  </si>
  <si>
    <t>00000947-001548-2026</t>
  </si>
  <si>
    <t>581/2026</t>
  </si>
  <si>
    <t>FCR001574609</t>
  </si>
  <si>
    <t>00000947-001549-2026</t>
  </si>
  <si>
    <t>FCR001571482</t>
  </si>
  <si>
    <t>00000947-001550-2026</t>
  </si>
  <si>
    <t>FCR001561958</t>
  </si>
  <si>
    <t>00000947-001551-2026</t>
  </si>
  <si>
    <t>FCR001570966</t>
  </si>
  <si>
    <t>00000947-001552-2026</t>
  </si>
  <si>
    <t>FCR001580215</t>
  </si>
  <si>
    <t>00000947-001553-2026</t>
  </si>
  <si>
    <t>FCR001577691</t>
  </si>
  <si>
    <t>00000947-001491-2026</t>
  </si>
  <si>
    <t>LC - GM/NEXT/01/2026</t>
  </si>
  <si>
    <t>NEXT DIRECTORY LTD
DESFORD ROAD ENDERBY LEICESTER LE19 4AT,
ENGLAND UNITED KINGDOM.</t>
  </si>
  <si>
    <t>00000947-001845-2026</t>
  </si>
  <si>
    <t>LC - ETM/MGL/JLN/03/2026</t>
  </si>
  <si>
    <t>ASSURE WORLDWIDE APPAREL LLC-FZ</t>
  </si>
  <si>
    <t>00000947-001572-2026</t>
  </si>
  <si>
    <t>00000947-001573-2026</t>
  </si>
  <si>
    <t>00000947-001574-2026</t>
  </si>
  <si>
    <t>00000947-001575-2026</t>
  </si>
  <si>
    <t>00000947-001576-2026</t>
  </si>
  <si>
    <t>00000947-001539-2026</t>
  </si>
  <si>
    <t>00000947-001429-2026</t>
  </si>
  <si>
    <t>LC - FMUSPA-01</t>
  </si>
  <si>
    <t>AMD APPARELS PRIVATE LTD BENGALORE INDIA</t>
  </si>
  <si>
    <t>579/2026</t>
  </si>
  <si>
    <t>MV-SHAMAYEL, V-SL043</t>
  </si>
  <si>
    <t>MOHCCUF26829</t>
  </si>
  <si>
    <t>00000947-001432-2026</t>
  </si>
  <si>
    <t>FCR001505695</t>
  </si>
  <si>
    <t>00000947-001388-2026</t>
  </si>
  <si>
    <t>DAC00026231</t>
  </si>
  <si>
    <t>00000947-001389-2026</t>
  </si>
  <si>
    <t>DAC00026234</t>
  </si>
  <si>
    <t>00000947-001390-2026</t>
  </si>
  <si>
    <t>EFOE26080441</t>
  </si>
  <si>
    <t>00000947-001391-2026</t>
  </si>
  <si>
    <t>FCR001471418</t>
  </si>
  <si>
    <t>00000947-001392-2026</t>
  </si>
  <si>
    <t>FCR001455340</t>
  </si>
  <si>
    <t>00000947-001393-2026</t>
  </si>
  <si>
    <t>FCR001471415</t>
  </si>
  <si>
    <t>LC - ETM/MGL/01/2026</t>
  </si>
  <si>
    <t>ASSURER WORLDWIDE APPAREL LLC-FZ DUBAI UAE</t>
  </si>
  <si>
    <t>582/2026</t>
  </si>
  <si>
    <t>REV</t>
  </si>
  <si>
    <t>EUR26L-3126</t>
  </si>
  <si>
    <t>00000947-001401-2026</t>
  </si>
  <si>
    <t>00000947-001402-2026</t>
  </si>
  <si>
    <t>00000947-001403-2026</t>
  </si>
  <si>
    <t>00000947-001404-2026</t>
  </si>
  <si>
    <t>00000947-001405-2026</t>
  </si>
  <si>
    <t>00000947-001406-2026</t>
  </si>
  <si>
    <t>00000947-001407-2026</t>
  </si>
  <si>
    <t>MOHCCUF26800</t>
  </si>
  <si>
    <t>LC - GM/NEXT/02/2026</t>
  </si>
  <si>
    <t>ACS260903520</t>
  </si>
  <si>
    <t>00000947-001428-2026</t>
  </si>
  <si>
    <t>00000947-001472-2026</t>
  </si>
  <si>
    <t>574/2026</t>
  </si>
  <si>
    <t>EFOE26082066</t>
  </si>
  <si>
    <t>00000947-001667-2026</t>
  </si>
  <si>
    <t>FCR001614481</t>
  </si>
  <si>
    <t>00000947-001473-2026</t>
  </si>
  <si>
    <t>LC - GMMS/MGL/01/2026</t>
  </si>
  <si>
    <t>LPP SA POLAND</t>
  </si>
  <si>
    <t>MSC EYRA 2 /V-SM634R</t>
  </si>
  <si>
    <t>DACS026391</t>
  </si>
  <si>
    <t>00000947-001510-2026</t>
  </si>
  <si>
    <t>00000947-001565-2026</t>
  </si>
  <si>
    <t>LC - SC-2023-CCL0000118</t>
  </si>
  <si>
    <t>CARMEL EUROPE IRELAND</t>
  </si>
  <si>
    <t>00000947-001566-2026</t>
  </si>
  <si>
    <t>00000947-001567-2026</t>
  </si>
  <si>
    <t>00000947-001568-2026</t>
  </si>
  <si>
    <t>00000947-001569-2026</t>
  </si>
  <si>
    <t>00000947-001570-2026</t>
  </si>
  <si>
    <t>LC - MG BA VG-01</t>
  </si>
  <si>
    <t>NITEX PTE LTD UK</t>
  </si>
  <si>
    <t>00000947-001495-2026</t>
  </si>
  <si>
    <t xml:space="preserve">ASSURER WORLDWIDE APPAREL LLC-FZ DUBAI UAE </t>
  </si>
  <si>
    <t>564/2026</t>
  </si>
  <si>
    <t>Re</t>
  </si>
  <si>
    <t>ESGY263440</t>
  </si>
  <si>
    <t>00000947-001452-2026</t>
  </si>
  <si>
    <t>FCR001551890</t>
  </si>
  <si>
    <t>00000947-001453-2026</t>
  </si>
  <si>
    <t>FCR001522452</t>
  </si>
  <si>
    <t>00000947-001454-2026</t>
  </si>
  <si>
    <t>FCR001537922</t>
  </si>
  <si>
    <t>00000947-001455-2026</t>
  </si>
  <si>
    <t>FCR001535873</t>
  </si>
  <si>
    <t>00000947-001456-2026</t>
  </si>
  <si>
    <t>FCR001528670</t>
  </si>
  <si>
    <t>00000947-001457-2026</t>
  </si>
  <si>
    <t>FCR001521679</t>
  </si>
  <si>
    <t>00000947-001458-2026</t>
  </si>
  <si>
    <t>FCR001522473</t>
  </si>
  <si>
    <t>00000947-001459-2026</t>
  </si>
  <si>
    <t>LC - FFT/NB/03/2026</t>
  </si>
  <si>
    <t>N-BROWN GROUP PLC .MANCHESTER UK</t>
  </si>
  <si>
    <t>MSC KYMEA II V-SG632R</t>
  </si>
  <si>
    <t>SDACF3013582</t>
  </si>
  <si>
    <t>EFOE26090392</t>
  </si>
  <si>
    <t>00000947-001471-2026</t>
  </si>
  <si>
    <t>FCR001514637</t>
  </si>
  <si>
    <t>HR FARHA V-MHRF0120S</t>
  </si>
  <si>
    <t>EFOE26083948</t>
  </si>
  <si>
    <t>00000947-001622-2026</t>
  </si>
  <si>
    <t>FCR001593061</t>
  </si>
  <si>
    <t>00000947-001623-2026</t>
  </si>
  <si>
    <t>00000947-001624-2026</t>
  </si>
  <si>
    <t>FCR001608544</t>
  </si>
  <si>
    <t>00000947-001512-2026</t>
  </si>
  <si>
    <t>FCR001560310</t>
  </si>
  <si>
    <t>00000947-001513-2026</t>
  </si>
  <si>
    <t>FCR001548466</t>
  </si>
  <si>
    <t>00000947-001514-2026</t>
  </si>
  <si>
    <t>FCR001561489</t>
  </si>
  <si>
    <t>00000947-001515-2026</t>
  </si>
  <si>
    <t>FCR001549260</t>
  </si>
  <si>
    <t>00000947-001516-2026</t>
  </si>
  <si>
    <t>FCR001578203</t>
  </si>
  <si>
    <t>00000947-001517-2026</t>
  </si>
  <si>
    <t>FCR001593289</t>
  </si>
  <si>
    <t>00000947-001518-2026</t>
  </si>
  <si>
    <t>FCR001555933</t>
  </si>
  <si>
    <t>00000947-001519-2026</t>
  </si>
  <si>
    <t>FCR001559760</t>
  </si>
  <si>
    <t>00000947-001520-2026</t>
  </si>
  <si>
    <t>00000947-001521-2026</t>
  </si>
  <si>
    <t>00000947-001522-2026</t>
  </si>
  <si>
    <t>00000947-001523-2026</t>
  </si>
  <si>
    <t>00000947-001524-2026</t>
  </si>
  <si>
    <t>00000947-001525-2026</t>
  </si>
  <si>
    <t>00000947-001526-2026</t>
  </si>
  <si>
    <t>00000947-001527-2026</t>
  </si>
  <si>
    <t>00000947-001528-2026</t>
  </si>
  <si>
    <t>BOOHOO UK LIMITED 
BOOHOO. UK LIMITED</t>
  </si>
  <si>
    <t>00000947-001500-2026</t>
  </si>
  <si>
    <t>JD WILLIAMS &amp; CO. LTD
GRIFFIN HOUSE, 40 LEVER STREET, MANCHESTER,
M60 6ES</t>
  </si>
  <si>
    <t>SDACF3013584</t>
  </si>
  <si>
    <t>00000947-001501-2026</t>
  </si>
  <si>
    <t>00000947-001502-2026</t>
  </si>
  <si>
    <t>ACS260803427</t>
  </si>
  <si>
    <t>00000947-001503-2026</t>
  </si>
  <si>
    <t>ACS260803426</t>
  </si>
  <si>
    <t>00000947-001504-2026</t>
  </si>
  <si>
    <t>LOGIX FZCO
PO Box 261422, PLOT No. S21515, South Block, Jebel
Ali Free Zone DUBAI</t>
  </si>
  <si>
    <t>00000947-001530-2026</t>
  </si>
  <si>
    <t>00000947-001531-2026</t>
  </si>
  <si>
    <t>00000947-001532-2026</t>
  </si>
  <si>
    <t>00000947-001533-2026</t>
  </si>
  <si>
    <t>00000947-001534-2026</t>
  </si>
  <si>
    <t>00000947-001535-2026</t>
  </si>
  <si>
    <t>00000947-001536-2026</t>
  </si>
  <si>
    <t>IRELAND</t>
  </si>
  <si>
    <t>NITEX PTE LTD UK
Shop Direct Home Shopping Ltd Skyways House,
Speke Road, Speke, Liverpool L70 1AB United Kingdom</t>
  </si>
  <si>
    <t>00000947-001555-2026</t>
  </si>
  <si>
    <t>SPAIN</t>
  </si>
  <si>
    <t>00000947-001556-2026</t>
  </si>
  <si>
    <t>00000947-001557-2026</t>
  </si>
  <si>
    <t>00000947-001558-2026</t>
  </si>
  <si>
    <t>00000947-001559-2026</t>
  </si>
  <si>
    <t>00000947-001560-2026</t>
  </si>
  <si>
    <t>00000947-001561-2026</t>
  </si>
  <si>
    <t>00000947-001612-2026</t>
  </si>
  <si>
    <t>00000947-001613-2026</t>
  </si>
  <si>
    <t>00000947-001614-2026</t>
  </si>
  <si>
    <t>00000947-001615-2026</t>
  </si>
  <si>
    <t>00000947-001616-2026</t>
  </si>
  <si>
    <t>00000947-001617-2026</t>
  </si>
  <si>
    <t>00000947-001618-2026</t>
  </si>
  <si>
    <t>00000947-001619-2026</t>
  </si>
  <si>
    <t>00000947-001676-2026</t>
  </si>
  <si>
    <t>00000947-001509-2026</t>
  </si>
  <si>
    <t>ESGY263417</t>
  </si>
  <si>
    <t>00000947-001579-2026</t>
  </si>
  <si>
    <t>00000947-001580-2026</t>
  </si>
  <si>
    <t>00000947-001581-2026</t>
  </si>
  <si>
    <t>00000947-001582-2026</t>
  </si>
  <si>
    <t>00000947-001583-2026</t>
  </si>
  <si>
    <t>00000947-001584-2026</t>
  </si>
  <si>
    <t>00000947-001585-2026</t>
  </si>
  <si>
    <t>00000947-001586-2026</t>
  </si>
  <si>
    <t>00000947-001587-2026</t>
  </si>
  <si>
    <t>00000947-001704-2026</t>
  </si>
  <si>
    <t>MV-SHAMAYEL, V-SL045</t>
  </si>
  <si>
    <t>MOHCCUF26967</t>
  </si>
  <si>
    <t>00000947-001673-2026</t>
  </si>
  <si>
    <t>00000947-001668-2026</t>
  </si>
  <si>
    <t>FCR001615191</t>
  </si>
  <si>
    <t>00000947-001538-2026</t>
  </si>
  <si>
    <t>FCR001549052</t>
  </si>
  <si>
    <t>00000947-001691-2026</t>
  </si>
  <si>
    <t>00000947-001686-2026</t>
  </si>
  <si>
    <t>580/2026</t>
  </si>
  <si>
    <t>CLLA26090085</t>
  </si>
  <si>
    <t>00000947-001499-2026</t>
  </si>
  <si>
    <t>SDACF3013583</t>
  </si>
  <si>
    <t>FCR001602186</t>
  </si>
  <si>
    <t>FCR001599041</t>
  </si>
  <si>
    <t>FCR001607705</t>
  </si>
  <si>
    <t>FCR001607140</t>
  </si>
  <si>
    <t>00000947-001609-2026</t>
  </si>
  <si>
    <t>00000947-001610-2026</t>
  </si>
  <si>
    <t>00000947-001611-2026</t>
  </si>
  <si>
    <t>MSC PAXI 2 / V-SM639R</t>
  </si>
  <si>
    <t>DACS027106</t>
  </si>
  <si>
    <t>00000947-001759-2026</t>
  </si>
  <si>
    <t>LC - MOHAMMADI/FG/28/2026</t>
  </si>
  <si>
    <t>SW STUDIOS GMBH
GERMANY</t>
  </si>
  <si>
    <t>DSV1638625</t>
  </si>
  <si>
    <t>LC - 00912ECD26S00720</t>
  </si>
  <si>
    <t>TEDDY SPA 
RIMINI ITALY</t>
  </si>
  <si>
    <t>FFW MAERSK LOGISTICS AND SERVISE ROMANIA SRL
ZONA LIBERA CONSTANTA SUD,1B
CONSTANTA,907015, CT, ROMANIA</t>
  </si>
  <si>
    <t>ETAM UNDIZ SA CSP ETAM
92613 CLICHY, CEDEX, FRANCE</t>
  </si>
  <si>
    <t>LC - GM/NEXT/03/2026</t>
  </si>
  <si>
    <t>DACS027105</t>
  </si>
  <si>
    <t>00000947-001738-2026</t>
  </si>
  <si>
    <t>GENIEMODE GLOBAL INC</t>
  </si>
  <si>
    <t>00000947-001732-2026</t>
  </si>
  <si>
    <t>00000947-001846-2026</t>
  </si>
  <si>
    <t>00000947-001847-2026</t>
  </si>
  <si>
    <t>One Bank Ltd.</t>
  </si>
  <si>
    <t>00001880-001575-2026</t>
  </si>
  <si>
    <t>LC - ECI-AW26</t>
  </si>
  <si>
    <t>EL CORTE INGLES, SPAIN</t>
  </si>
  <si>
    <t xml:space="preserve">FITS AIR </t>
  </si>
  <si>
    <t>GWL26080171</t>
  </si>
  <si>
    <t>LC - MG-SPF-2025</t>
  </si>
  <si>
    <t>Damco Hong Kong Limited
DD124 Tin Ha Road,
Damco Hong Kong Limited
DD124 Tin Ha Road,
Ping Shan, Yuen Long,
Hong Kong</t>
  </si>
  <si>
    <t>00001880-001579-2026</t>
  </si>
  <si>
    <t>1880FDBC260810</t>
  </si>
  <si>
    <t>41C0033650</t>
  </si>
  <si>
    <t>00001880-001633-2026</t>
  </si>
  <si>
    <t>1880FDBC260856</t>
  </si>
  <si>
    <t>HR SAHARE, V-MSAH0147S</t>
  </si>
  <si>
    <t>61C0216206</t>
  </si>
  <si>
    <t>00001880-001616-2026</t>
  </si>
  <si>
    <t>61C0213625</t>
  </si>
  <si>
    <t>EUROFIEL MEXICO SA DE CV
AVENIDA ADOLFO LOPEZ MATEOS NORTE
#2405 PISO 18OFICINA 4-A COLONIA ITALIA PROVIDENCIA, 
C.P. 44648GUADALAJARA, JALISCO, MEXICO, 
RFC: EME1303201B</t>
  </si>
  <si>
    <t>RAF0559085</t>
  </si>
  <si>
    <t>00001880-001581-2026</t>
  </si>
  <si>
    <t>41C0033652</t>
  </si>
  <si>
    <t>00001880-001726-2026</t>
  </si>
  <si>
    <t>EUROFIEL CONFECCION S.A.
Avda. Del llano Castellano, 51
28034 Madrid  - Spain</t>
  </si>
  <si>
    <t>RAF0544726</t>
  </si>
  <si>
    <t>00001880-001591-2026</t>
  </si>
  <si>
    <t>61C0213291</t>
  </si>
  <si>
    <t>00001880-001571-2026</t>
  </si>
  <si>
    <t>61C0214023</t>
  </si>
  <si>
    <t>00001880-001572-2026</t>
  </si>
  <si>
    <t>61C0211169</t>
  </si>
  <si>
    <t>00001880-001612-2026</t>
  </si>
  <si>
    <t>MAERSK MONGLA, V-549D</t>
  </si>
  <si>
    <t>61C0211179</t>
  </si>
  <si>
    <t>00001880-001580-2026</t>
  </si>
  <si>
    <t>41C0033651</t>
  </si>
  <si>
    <t>00001880-001864-2026</t>
  </si>
  <si>
    <t xml:space="preserve">Damco Hong Kong Limited
DD124 Tin Ha Road,
Ping Shan, Yuen Long,
Hong Kong
</t>
  </si>
  <si>
    <t>00001880-001952-2026</t>
  </si>
  <si>
    <t>00001880-001711-2026</t>
  </si>
  <si>
    <t>61C0216209</t>
  </si>
  <si>
    <t>00001880-001712-2026</t>
  </si>
  <si>
    <t>MCC YANGON V-637E</t>
  </si>
  <si>
    <t>61C0216210</t>
  </si>
  <si>
    <t>00001880-001713-2026</t>
  </si>
  <si>
    <t>61C0216203</t>
  </si>
  <si>
    <t>00001880-001714-2026</t>
  </si>
  <si>
    <t>61C0216742</t>
  </si>
  <si>
    <t>00001880-001509-2026</t>
  </si>
  <si>
    <t>1880FDBC260811</t>
  </si>
  <si>
    <t>RAF0505300</t>
  </si>
  <si>
    <t>00001880-001561-2026</t>
  </si>
  <si>
    <t>RIYADH AIR</t>
  </si>
  <si>
    <t>41C0033620</t>
  </si>
  <si>
    <t>61C0211176</t>
  </si>
  <si>
    <t>MCCYANGON V-637E</t>
  </si>
  <si>
    <t>61C0211177</t>
  </si>
  <si>
    <t>EUROFIEL CONFECCION S.A.
Avda. Del llano Castellano, 51
28034 Madrid  - Spain
28034 Madrid  - Spain</t>
  </si>
  <si>
    <t>00001880-001653-2026</t>
  </si>
  <si>
    <t>61C0213615</t>
  </si>
  <si>
    <t>00001880-001650-2026</t>
  </si>
  <si>
    <t>61C0213616</t>
  </si>
  <si>
    <t>00001880-001651-2026</t>
  </si>
  <si>
    <t>61C0213617</t>
  </si>
  <si>
    <t>00001880-001652-2026</t>
  </si>
  <si>
    <t>61C0213614</t>
  </si>
  <si>
    <t>00001880-001494-2026</t>
  </si>
  <si>
    <t>1880FDBC260819</t>
  </si>
  <si>
    <t>61C0212722</t>
  </si>
  <si>
    <t>00001880-001498-2026</t>
  </si>
  <si>
    <t>1880FDBC260852</t>
  </si>
  <si>
    <t>61C0211181</t>
  </si>
  <si>
    <t>00001880-001510-2026</t>
  </si>
  <si>
    <t>RAF0505295</t>
  </si>
  <si>
    <t>00001880-001511-2026</t>
  </si>
  <si>
    <t>1880FDBC260853</t>
  </si>
  <si>
    <t>RAF0509254</t>
  </si>
  <si>
    <t>00001880-001512-2026</t>
  </si>
  <si>
    <t>RAF0509250</t>
  </si>
  <si>
    <t>00001880-001468-2026</t>
  </si>
  <si>
    <t>61C0214607</t>
  </si>
  <si>
    <t>00001880-001524-2026</t>
  </si>
  <si>
    <t>61C0212724</t>
  </si>
  <si>
    <t>00001880-001525-2026</t>
  </si>
  <si>
    <t>MSC AGGELIKI II V-SG631R</t>
  </si>
  <si>
    <t>GWL260801451</t>
  </si>
  <si>
    <t>00001880-001526-2026</t>
  </si>
  <si>
    <t>61C0212720</t>
  </si>
  <si>
    <t>00001880-001527-2026</t>
  </si>
  <si>
    <t>GWL260801452</t>
  </si>
  <si>
    <t>00001880-001497-2026</t>
  </si>
  <si>
    <t>61C0211180</t>
  </si>
  <si>
    <t>00001880-001529-2026</t>
  </si>
  <si>
    <t>61C0208455</t>
  </si>
  <si>
    <t>00001880-001460-2026</t>
  </si>
  <si>
    <t>61C0214547</t>
  </si>
  <si>
    <t>00001880-001532-2026</t>
  </si>
  <si>
    <t>61C0211172</t>
  </si>
  <si>
    <t>00001880-001533-2026</t>
  </si>
  <si>
    <t>61C0212725</t>
  </si>
  <si>
    <t>00001880-001534-2026</t>
  </si>
  <si>
    <t>GWL260801453</t>
  </si>
  <si>
    <t>00001880-001535-2026</t>
  </si>
  <si>
    <t>61C0211704</t>
  </si>
  <si>
    <t>00001880-001536-2026</t>
  </si>
  <si>
    <t>GWL260801444</t>
  </si>
  <si>
    <t>00001880-001537-2026</t>
  </si>
  <si>
    <t>61C0213289</t>
  </si>
  <si>
    <t>00001880-001538-2026</t>
  </si>
  <si>
    <t>61C0213288</t>
  </si>
  <si>
    <t>00001880-001539-2026</t>
  </si>
  <si>
    <t>61C0215564</t>
  </si>
  <si>
    <t>00001880-001631-2026</t>
  </si>
  <si>
    <t>DAC8293825</t>
  </si>
  <si>
    <t>00001880-001495-2026</t>
  </si>
  <si>
    <t>GWL260801349</t>
  </si>
  <si>
    <t>00001880-001461-2026</t>
  </si>
  <si>
    <t>61C0214785</t>
  </si>
  <si>
    <t>00001880-001605-2026</t>
  </si>
  <si>
    <t>61C0213621</t>
  </si>
  <si>
    <t>00001880-001618-2026</t>
  </si>
  <si>
    <t>61C0216075</t>
  </si>
  <si>
    <t>00001880-001592-2026</t>
  </si>
  <si>
    <t>61C0213293</t>
  </si>
  <si>
    <t>00001880-001614-2026</t>
  </si>
  <si>
    <t>61C0213623</t>
  </si>
  <si>
    <t>00001880-001599-2026</t>
  </si>
  <si>
    <t>61C0213618</t>
  </si>
  <si>
    <t>00001880-001559-2026</t>
  </si>
  <si>
    <t>41C0033619</t>
  </si>
  <si>
    <t>00001880-001617-2026</t>
  </si>
  <si>
    <t>61C0216038</t>
  </si>
  <si>
    <t>00001880-001611-2026</t>
  </si>
  <si>
    <t>61C0211178</t>
  </si>
  <si>
    <t>00001880-001613-2026</t>
  </si>
  <si>
    <t>61C0213622</t>
  </si>
  <si>
    <t>00001880-001634-2026</t>
  </si>
  <si>
    <t>61C0216207</t>
  </si>
  <si>
    <t>00001880-001596-2026</t>
  </si>
  <si>
    <t>61C0213619</t>
  </si>
  <si>
    <t>00001880-001597-2026</t>
  </si>
  <si>
    <t>61C0213620</t>
  </si>
  <si>
    <t>00001880-001545-2026</t>
  </si>
  <si>
    <t>GWL260801454</t>
  </si>
  <si>
    <t>00001880-001544-2026</t>
  </si>
  <si>
    <t>61C0213626</t>
  </si>
  <si>
    <t>00001880-001615-2026</t>
  </si>
  <si>
    <t>61C0216037</t>
  </si>
  <si>
    <t>00001880-001578-2026</t>
  </si>
  <si>
    <t>41C0033649</t>
  </si>
  <si>
    <t>00001880-001573-2026</t>
  </si>
  <si>
    <t>41C0033647</t>
  </si>
  <si>
    <t>00001880-001610-2026</t>
  </si>
  <si>
    <t>61C0216036</t>
  </si>
  <si>
    <t>00001880-001566-2026</t>
  </si>
  <si>
    <t>RAF0515953</t>
  </si>
  <si>
    <t>00001880-001567-2026</t>
  </si>
  <si>
    <t>RAF0515952</t>
  </si>
  <si>
    <t>00001880-001568-2026</t>
  </si>
  <si>
    <t>RAF0515968</t>
  </si>
  <si>
    <t>00001880-001569-2026</t>
  </si>
  <si>
    <t>RAF0515964</t>
  </si>
  <si>
    <t>00001880-001570-2026</t>
  </si>
  <si>
    <t>RAF0515967</t>
  </si>
  <si>
    <t>00001880-001577-2026</t>
  </si>
  <si>
    <t>Updated by Ticket 1692706</t>
  </si>
  <si>
    <t>41C0033646</t>
  </si>
  <si>
    <t>00001880-001754-2026</t>
  </si>
  <si>
    <t>CHITTAGONG</t>
  </si>
  <si>
    <t>Customs House, lCD, Chattogram</t>
  </si>
  <si>
    <t>Bill of Lading (B/L)</t>
  </si>
  <si>
    <t>MOHAMMADI GROUP LTD</t>
  </si>
  <si>
    <t>FCA</t>
  </si>
  <si>
    <t>POLAND</t>
  </si>
  <si>
    <t>MOHAMMADI/FG/28/2026</t>
  </si>
  <si>
    <t>GERMANY</t>
  </si>
  <si>
    <t>INDIA</t>
  </si>
  <si>
    <t>U.K.</t>
  </si>
  <si>
    <t>MG-PEPE JEANS SS25MC</t>
  </si>
  <si>
    <t>FCR</t>
  </si>
  <si>
    <t>PRIMARK LINGERIE BA 25</t>
  </si>
  <si>
    <t>MEXICO</t>
  </si>
  <si>
    <t>ECI-SS26</t>
  </si>
  <si>
    <t>U.S.A.</t>
  </si>
  <si>
    <t>SHAHAJALAL INT. AIRPORT</t>
  </si>
  <si>
    <t>Dhaka Customs House</t>
  </si>
  <si>
    <t>Airway Bill</t>
  </si>
  <si>
    <t>ETM/MGL/JLN/03/2026</t>
  </si>
  <si>
    <t>GM/NEXT/02/2026</t>
  </si>
  <si>
    <t>CPT</t>
  </si>
  <si>
    <t>FRANCE</t>
  </si>
  <si>
    <t>EUR26L-3122</t>
  </si>
  <si>
    <t>GM/NEXT/01/2026</t>
  </si>
  <si>
    <t>MG/WG-26</t>
  </si>
  <si>
    <t>MGNS602092026</t>
  </si>
  <si>
    <t>KOREA, REPUBLIC OF</t>
  </si>
  <si>
    <t>FCR001536583</t>
  </si>
  <si>
    <t>FCR001520323</t>
  </si>
  <si>
    <t>FCR001520324</t>
  </si>
  <si>
    <t>MG PRIMARK BA WB012</t>
  </si>
  <si>
    <t>ZXY/FDC/MGA/260400198</t>
  </si>
  <si>
    <t>COLOMBIA</t>
  </si>
  <si>
    <t>HAWB</t>
  </si>
  <si>
    <t>HONGKONG</t>
  </si>
  <si>
    <t>GWL260801346</t>
  </si>
  <si>
    <t>GWL260801347</t>
  </si>
  <si>
    <t>GWL260801348</t>
  </si>
  <si>
    <t>EFOE26070274</t>
  </si>
  <si>
    <t>533/2026</t>
  </si>
  <si>
    <t>FCR001435998</t>
  </si>
  <si>
    <t>494/2026</t>
  </si>
  <si>
    <t>FCR001436207</t>
  </si>
  <si>
    <t>Custom House, Chattogram</t>
  </si>
  <si>
    <t>ESGY263128</t>
  </si>
  <si>
    <t>534/2026</t>
  </si>
  <si>
    <t>SKYL6172</t>
  </si>
  <si>
    <t>470/2026</t>
  </si>
  <si>
    <t>LISA TEX GERMANY</t>
  </si>
  <si>
    <t>114LCA2600096</t>
  </si>
  <si>
    <t>61C0213285</t>
  </si>
  <si>
    <t>1880FDBC260769</t>
  </si>
  <si>
    <t>61C0213286</t>
  </si>
  <si>
    <t>DACS025502</t>
  </si>
  <si>
    <t>MSC EYRA 2 / V-SM631R</t>
  </si>
  <si>
    <t>468/2026</t>
  </si>
  <si>
    <t>LPP SA 
UI. Lakowa,39/44, 80-769, Gdansk, Poland</t>
  </si>
  <si>
    <t>61C0212721</t>
  </si>
  <si>
    <t>61C0212723</t>
  </si>
  <si>
    <t>61C0211709</t>
  </si>
  <si>
    <t>RAF0478402</t>
  </si>
  <si>
    <t>61C0211700</t>
  </si>
  <si>
    <t>FDBC 07-0546-26</t>
  </si>
  <si>
    <t>EFOE26073631</t>
  </si>
  <si>
    <t>61C0213287</t>
  </si>
  <si>
    <t>FCR001418644</t>
  </si>
  <si>
    <t>FCR001420531</t>
  </si>
  <si>
    <t>FCR001411905</t>
  </si>
  <si>
    <t>FCR001418645</t>
  </si>
  <si>
    <t>DACA004218</t>
  </si>
  <si>
    <t>61C0211175</t>
  </si>
  <si>
    <t>61C0212153</t>
  </si>
  <si>
    <t>61C0211699</t>
  </si>
  <si>
    <t>61C0213546</t>
  </si>
  <si>
    <t>MOHCCUF26768</t>
  </si>
  <si>
    <t>MV.ZUNAIRAH / V-ZARISHA 4</t>
  </si>
  <si>
    <t>DACA004215</t>
  </si>
  <si>
    <t>PRC ID/PRC Count</t>
  </si>
  <si>
    <t>Port Name</t>
  </si>
  <si>
    <t>Port ID</t>
  </si>
  <si>
    <t>Signatory ID</t>
  </si>
  <si>
    <t>Custom Office</t>
  </si>
  <si>
    <t>Type ID</t>
  </si>
  <si>
    <t>Trans Type</t>
  </si>
  <si>
    <t>DUP Date</t>
  </si>
  <si>
    <t>LC/Contact</t>
  </si>
  <si>
    <t>Issue User</t>
  </si>
  <si>
    <t>Issue Date</t>
  </si>
  <si>
    <t>CMT Amount</t>
  </si>
  <si>
    <t>Incoterm Name</t>
  </si>
  <si>
    <t>Incoterm ID</t>
  </si>
  <si>
    <t>CURR_ISO</t>
  </si>
  <si>
    <t>Country Name</t>
  </si>
  <si>
    <t>Country</t>
  </si>
  <si>
    <t>Issue AD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</si>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</sst>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#,##0_);\(#,##0\);\-"/>
  </numFmts>
  <fonts count="4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37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37" fontId="0" fillId="0" borderId="0" xfId="0" applyNumberFormat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1" fillId="0" borderId="0" xfId="1"/>
    <xf numFmtId="4" fontId="1" fillId="0" borderId="0" xfId="1" applyNumberFormat="1"/>
    <xf numFmtId="15" fontId="1" fillId="0" borderId="0" xfId="1" applyNumberFormat="1"/>
    <xf numFmtId="0" fontId="1" fillId="0" borderId="0" xfId="1" applyAlignment="1">
      <alignment wrapText="1"/>
    </xf>
    <xf numFmtId="0" fontId="1" fillId="2" borderId="0" xfId="1" applyFill="1"/>
    <xf numFmtId="14" fontId="1" fillId="0" borderId="0" xfId="1" applyNumberFormat="1"/>
    <xf numFmtId="0" fontId="3" fillId="0" borderId="0" xfId="0" applyFont="1"/>
  </cellXfs>
  <cellStyles count="2">
    <cellStyle name="Normal" xfId="0" builtinId="0"/>
    <cellStyle name="Normal 2" xfId="1" xr:uid="{BFE9711C-FC08-4B76-9295-0C80DB3DE82A}"/>
  </cellStyles>
  <dxfs count="9">
    <dxf>
      <numFmt numFmtId="164" formatCode="\ dd\-mmm\-yyyy"/>
    </dxf>
    <dxf>
      <numFmt numFmtId="164" formatCode="\ dd\-mmm\-yyyy"/>
    </dxf>
    <dxf>
      <numFmt numFmtId="164" formatCode="\ dd\-mmm\-yyyy"/>
    </dxf>
    <dxf>
      <numFmt numFmtId="5" formatCode="#,##0_);\(#,##0\)"/>
      <alignment horizontal="general" vertical="top" textRotation="0" wrapText="0" indent="0" justifyLastLine="0" shrinkToFit="0" readingOrder="0"/>
    </dxf>
    <dxf>
      <numFmt numFmtId="5" formatCode="#,##0_);\(#,##0\)"/>
    </dxf>
    <dxf>
      <numFmt numFmtId="4" formatCode="#,##0.00"/>
    </dxf>
    <dxf>
      <numFmt numFmtId="4" formatCode="#,##0.00"/>
    </dxf>
    <dxf>
      <numFmt numFmtId="165" formatCode="#,##0_);\(#,##0\);\-"/>
    </dxf>
    <dxf>
      <numFmt numFmtId="5" formatCode="#,##0_);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CD74B-BCCC-435D-BC2E-1B23A86EDD64}" name="Table1" displayName="Table1" ref="A1:AG851" totalsRowShown="0">
  <autoFilter ref="A1:AG851" xr:uid="{C23CD74B-BCCC-435D-BC2E-1B23A86EDD64}">
    <filterColumn colId="14">
      <filters>
        <filter val="37"/>
        <filter val="523"/>
        <filter val="556"/>
      </filters>
    </filterColumn>
  </autoFilter>
  <tableColumns count="33">
    <tableColumn id="1" xr3:uid="{07CA4B91-45D9-4482-BDF8-D430F64978CC}" name="Status"/>
    <tableColumn id="2" xr3:uid="{CDF9A3F5-1363-450D-A418-B5CFF7EA4F94}" name="Invoice No"/>
    <tableColumn id="3" xr3:uid="{8DD3A554-201E-4980-BEE3-588C470392EC}" name="Buyer"/>
    <tableColumn id="4" xr3:uid="{64A22F5D-F015-4D02-9A80-9CA83B8D3BBB}" name="LC No"/>
    <tableColumn id="5" xr3:uid="{B9BCA32F-60D0-4794-B9A0-9C227AE2E8CD}" name="Order No"/>
    <tableColumn id="6" xr3:uid="{120CC7E0-3A21-484B-B627-84275DD452E8}" name="Destination"/>
    <tableColumn id="7" xr3:uid="{69F6D6EB-3871-4AF7-9901-390E66145EC8}" name="Invoice Qty" dataDxfId="8"/>
    <tableColumn id="8" xr3:uid="{936672CB-DD99-4FEC-8E8B-D70AA789EB3F}" name="CTN Qty" dataDxfId="7"/>
    <tableColumn id="9" xr3:uid="{9C57BC7F-3AC2-40F0-8CE5-E0EFEF5A1F44}" name="Invoice Value" dataDxfId="6"/>
    <tableColumn id="10" xr3:uid="{E4E8BD7B-3885-42D7-8081-937118B31991}" name="Discount" dataDxfId="5"/>
    <tableColumn id="11" xr3:uid="{A949DB89-0CF5-4347-A2F6-30917ADE6C93}" name="Mode"/>
    <tableColumn id="12" xr3:uid="{4108106E-9B26-4D6B-BFBD-1DAC3099622C}" name="Company"/>
    <tableColumn id="13" xr3:uid="{9B2FA0E3-E9DB-4170-9329-5185480991CE}" name="Ex Factory"/>
    <tableColumn id="14" xr3:uid="{D92E81FE-45E1-483D-ADF0-D8986320FD7D}" name="ExFactory Qty" dataDxfId="4"/>
    <tableColumn id="32" xr3:uid="{EF1D3FD2-77EA-491C-AF84-230866A6D858}" name="Gape" dataDxfId="3">
      <calculatedColumnFormula>Table1[[#This Row],[Invoice Qty]]-Table1[[#This Row],[ExFactory Qty]]</calculatedColumnFormula>
    </tableColumn>
    <tableColumn id="15" xr3:uid="{59679DD3-95BF-4A77-85CD-8ADE8B646CBD}" name="Ex Factory No"/>
    <tableColumn id="16" xr3:uid="{4AD81C30-7FAC-403D-828C-6153350B0DE0}" name="Ex factory Date" dataDxfId="2"/>
    <tableColumn id="17" xr3:uid="{C572AE07-8C60-4E57-9937-023DCDC304FB}" name="On Board Date"/>
    <tableColumn id="18" xr3:uid="{D33CF4D1-3AE4-4292-BF9A-FE431F6F4F9C}" name="Is Bank Submit?"/>
    <tableColumn id="19" xr3:uid="{CE025C4B-212A-46AE-A933-42C4F3B0B9D9}" name="Bank Sub Date"/>
    <tableColumn id="20" xr3:uid="{BF901CE5-0D1C-4558-B4FD-1717829349DA}" name="FDBC No"/>
    <tableColumn id="21" xr3:uid="{85E91F5D-4967-4127-85A1-6B2C02110D8B}" name="Bank"/>
    <tableColumn id="22" xr3:uid="{A90A6283-1776-4850-BB02-1D8DF82498EB}" name="Realize NO"/>
    <tableColumn id="23" xr3:uid="{575563F6-5158-4E4F-89AA-786BB3A893F8}" name="Realize Date"/>
    <tableColumn id="24" xr3:uid="{F7DD0991-055F-4226-BF3B-A6F45030CDF9}" name="Realize Value"/>
    <tableColumn id="25" xr3:uid="{7CCA9847-958D-4D43-A215-3C63F9317E58}" name="BL Date"/>
    <tableColumn id="26" xr3:uid="{C973DF8D-9C84-473C-BF9C-4DB20DDA0F29}" name="Exp No"/>
    <tableColumn id="27" xr3:uid="{6B9A8497-66AB-4EAE-9AE4-E2DF23EBAE12}" name="Exp Date" dataDxfId="1"/>
    <tableColumn id="28" xr3:uid="{0EEAFF58-D0F7-47DB-9D5D-F94A3FF2EE3E}" name="Invoice Date" dataDxfId="0"/>
    <tableColumn id="29" xr3:uid="{AB3479BA-4AF0-4009-AF47-0BF67D927197}" name="S.Bill Date"/>
    <tableColumn id="30" xr3:uid="{1CC9A198-C5DE-46C3-A3E8-A5C633360541}" name="S.Bill No"/>
    <tableColumn id="31" xr3:uid="{7D7BC4D0-559E-45B0-9493-C8D295A0A952}" name="PaymentTerm"/>
    <tableColumn id="33" xr3:uid="{9923C6A8-A7AC-48A5-847E-E9BDE5897008}" name="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G851"/>
  <sheetViews>
    <sheetView topLeftCell="R1" zoomScale="115" zoomScaleNormal="115" workbookViewId="0">
      <pane ySplit="1" topLeftCell="A48" activePane="bottomLeft" state="frozen"/>
      <selection pane="bottomLeft" activeCell="AG49" sqref="AG49"/>
    </sheetView>
  </sheetViews>
  <sheetFormatPr defaultColWidth="6.85546875" defaultRowHeight="12.75" customHeight="1" x14ac:dyDescent="0.2"/>
  <cols>
    <col min="1" max="1" width="19.28515625" bestFit="1" customWidth="1"/>
    <col min="2" max="2" width="12.85546875" bestFit="1" customWidth="1"/>
    <col min="3" max="3" width="33.28515625" bestFit="1" customWidth="1"/>
    <col min="4" max="4" width="25.140625" bestFit="1" customWidth="1"/>
    <col min="5" max="5" width="24.42578125" customWidth="1"/>
    <col min="6" max="6" width="19" bestFit="1" customWidth="1"/>
    <col min="7" max="7" width="13.42578125" bestFit="1" customWidth="1"/>
    <col min="8" max="8" width="10.5703125" bestFit="1" customWidth="1"/>
    <col min="9" max="9" width="15.85546875" hidden="1" customWidth="1"/>
    <col min="10" max="10" width="11" hidden="1" customWidth="1"/>
    <col min="11" max="11" width="8.28515625" hidden="1" customWidth="1"/>
    <col min="12" max="12" width="11.85546875" hidden="1" customWidth="1"/>
    <col min="13" max="13" width="12.85546875" bestFit="1" customWidth="1"/>
    <col min="14" max="14" width="16" bestFit="1" customWidth="1"/>
    <col min="15" max="15" width="8.140625" bestFit="1" customWidth="1"/>
    <col min="16" max="16" width="27.28515625" customWidth="1"/>
    <col min="17" max="17" width="12.28515625" customWidth="1"/>
    <col min="18" max="18" width="14.28515625" customWidth="1"/>
    <col min="19" max="19" width="18.140625" bestFit="1" customWidth="1"/>
    <col min="20" max="20" width="16.85546875" bestFit="1" customWidth="1"/>
    <col min="21" max="21" width="13.28515625" bestFit="1" customWidth="1"/>
    <col min="22" max="22" width="8.5703125" bestFit="1" customWidth="1"/>
    <col min="23" max="23" width="13.42578125" bestFit="1" customWidth="1"/>
    <col min="24" max="24" width="14.85546875" bestFit="1" customWidth="1"/>
    <col min="25" max="25" width="16.140625" bestFit="1" customWidth="1"/>
    <col min="26" max="26" width="12" bestFit="1" customWidth="1"/>
    <col min="27" max="27" width="21" bestFit="1" customWidth="1"/>
    <col min="28" max="28" width="12" bestFit="1" customWidth="1"/>
    <col min="29" max="29" width="14.5703125" bestFit="1" customWidth="1"/>
    <col min="30" max="30" width="12.85546875" bestFit="1" customWidth="1"/>
    <col min="31" max="31" width="11.140625" bestFit="1" customWidth="1"/>
    <col min="32" max="32" width="17.42578125" bestFit="1" customWidth="1"/>
  </cols>
  <sheetData>
    <row r="1" spans="1:33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2500</v>
      </c>
      <c r="P1" s="1" t="s">
        <v>14</v>
      </c>
      <c r="Q1" s="1" t="s">
        <v>2501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5" t="s">
        <v>3179</v>
      </c>
    </row>
    <row r="2" spans="1:33" ht="12.75" hidden="1" customHeight="1" x14ac:dyDescent="0.2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3">
        <v>2476</v>
      </c>
      <c r="H2" s="4">
        <v>88</v>
      </c>
      <c r="I2" s="5">
        <v>9136.44</v>
      </c>
      <c r="J2" s="5">
        <v>0</v>
      </c>
      <c r="K2" s="1" t="s">
        <v>36</v>
      </c>
      <c r="L2" s="1" t="s">
        <v>37</v>
      </c>
      <c r="M2" s="1" t="s">
        <v>37</v>
      </c>
      <c r="N2" s="3">
        <v>2476</v>
      </c>
      <c r="O2" s="6">
        <f>Table1[[#This Row],[Invoice Qty]]-Table1[[#This Row],[ExFactory Qty]]</f>
        <v>0</v>
      </c>
      <c r="P2" s="1" t="s">
        <v>38</v>
      </c>
      <c r="Q2" s="2">
        <v>46268.697986111103</v>
      </c>
      <c r="R2" s="2">
        <v>46279</v>
      </c>
      <c r="S2" s="1" t="s">
        <v>39</v>
      </c>
      <c r="U2" s="1" t="s">
        <v>40</v>
      </c>
      <c r="V2" s="1" t="s">
        <v>41</v>
      </c>
      <c r="W2" s="1" t="s">
        <v>40</v>
      </c>
      <c r="X2" s="1" t="s">
        <v>40</v>
      </c>
      <c r="AA2" s="1" t="s">
        <v>42</v>
      </c>
      <c r="AB2" s="2">
        <v>46268</v>
      </c>
      <c r="AC2" s="2">
        <v>46188</v>
      </c>
      <c r="AE2" s="1" t="s">
        <v>40</v>
      </c>
      <c r="AF2" s="1" t="s">
        <v>43</v>
      </c>
    </row>
    <row r="3" spans="1:33" ht="12.75" hidden="1" customHeight="1" x14ac:dyDescent="0.2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3">
        <v>8416</v>
      </c>
      <c r="H3" s="4">
        <v>111</v>
      </c>
      <c r="I3" s="5">
        <v>26994.89</v>
      </c>
      <c r="J3" s="5">
        <v>0</v>
      </c>
      <c r="K3" s="1" t="s">
        <v>50</v>
      </c>
      <c r="L3" s="1" t="s">
        <v>51</v>
      </c>
      <c r="M3" s="1" t="s">
        <v>51</v>
      </c>
      <c r="N3" s="3">
        <v>8416</v>
      </c>
      <c r="O3" s="6">
        <f>Table1[[#This Row],[Invoice Qty]]-Table1[[#This Row],[ExFactory Qty]]</f>
        <v>0</v>
      </c>
      <c r="P3" s="1" t="s">
        <v>52</v>
      </c>
      <c r="Q3" s="2">
        <v>46268.450462963003</v>
      </c>
      <c r="R3" s="2">
        <v>46274</v>
      </c>
      <c r="S3" s="1" t="s">
        <v>53</v>
      </c>
      <c r="T3" s="2">
        <v>46286</v>
      </c>
      <c r="U3" s="1" t="s">
        <v>54</v>
      </c>
      <c r="V3" s="1" t="s">
        <v>55</v>
      </c>
      <c r="W3" s="1" t="s">
        <v>56</v>
      </c>
      <c r="X3" s="1" t="s">
        <v>57</v>
      </c>
      <c r="Y3" s="5">
        <v>26994.89</v>
      </c>
      <c r="AA3" s="1" t="s">
        <v>58</v>
      </c>
      <c r="AB3" s="2">
        <v>46229</v>
      </c>
      <c r="AC3" s="2">
        <v>46226</v>
      </c>
      <c r="AE3" s="1" t="s">
        <v>40</v>
      </c>
      <c r="AF3" s="1" t="s">
        <v>43</v>
      </c>
    </row>
    <row r="4" spans="1:33" ht="12.75" hidden="1" customHeight="1" x14ac:dyDescent="0.2">
      <c r="A4" s="1" t="s">
        <v>30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49</v>
      </c>
      <c r="G4" s="3">
        <v>1802</v>
      </c>
      <c r="H4" s="4">
        <v>58</v>
      </c>
      <c r="I4" s="5">
        <v>2522.8000000000002</v>
      </c>
      <c r="J4" s="5">
        <v>0</v>
      </c>
      <c r="K4" s="1" t="s">
        <v>50</v>
      </c>
      <c r="L4" s="1" t="s">
        <v>37</v>
      </c>
      <c r="M4" s="1" t="s">
        <v>37</v>
      </c>
      <c r="N4" s="3">
        <v>1802</v>
      </c>
      <c r="O4" s="6">
        <f>Table1[[#This Row],[Invoice Qty]]-Table1[[#This Row],[ExFactory Qty]]</f>
        <v>0</v>
      </c>
      <c r="P4" s="1" t="s">
        <v>63</v>
      </c>
      <c r="Q4" s="2">
        <v>46267.4308101852</v>
      </c>
      <c r="R4" s="2">
        <v>46270</v>
      </c>
      <c r="S4" s="1" t="s">
        <v>39</v>
      </c>
      <c r="U4" s="1" t="s">
        <v>40</v>
      </c>
      <c r="V4" s="1" t="s">
        <v>64</v>
      </c>
      <c r="W4" s="1" t="s">
        <v>40</v>
      </c>
      <c r="X4" s="1" t="s">
        <v>40</v>
      </c>
      <c r="AA4" s="1" t="s">
        <v>65</v>
      </c>
      <c r="AB4" s="2">
        <v>46267</v>
      </c>
      <c r="AC4" s="2">
        <v>46237</v>
      </c>
      <c r="AE4" s="1" t="s">
        <v>40</v>
      </c>
      <c r="AF4" s="1" t="s">
        <v>43</v>
      </c>
    </row>
    <row r="5" spans="1:33" ht="12.75" hidden="1" customHeight="1" x14ac:dyDescent="0.2">
      <c r="A5" s="1" t="s">
        <v>30</v>
      </c>
      <c r="B5" s="1" t="s">
        <v>66</v>
      </c>
      <c r="C5" s="1" t="s">
        <v>60</v>
      </c>
      <c r="D5" s="1" t="s">
        <v>61</v>
      </c>
      <c r="E5" s="1" t="s">
        <v>67</v>
      </c>
      <c r="F5" s="1" t="s">
        <v>49</v>
      </c>
      <c r="G5" s="3">
        <v>4821</v>
      </c>
      <c r="H5" s="4">
        <v>149</v>
      </c>
      <c r="I5" s="5">
        <v>5881.62</v>
      </c>
      <c r="J5" s="5">
        <v>0</v>
      </c>
      <c r="K5" s="1" t="s">
        <v>50</v>
      </c>
      <c r="L5" s="1" t="s">
        <v>37</v>
      </c>
      <c r="M5" s="1" t="s">
        <v>37</v>
      </c>
      <c r="N5" s="3">
        <v>4821</v>
      </c>
      <c r="O5" s="6">
        <f>Table1[[#This Row],[Invoice Qty]]-Table1[[#This Row],[ExFactory Qty]]</f>
        <v>0</v>
      </c>
      <c r="P5" s="1" t="s">
        <v>68</v>
      </c>
      <c r="Q5" s="2">
        <v>46273.5881828704</v>
      </c>
      <c r="R5" s="2">
        <v>46281</v>
      </c>
      <c r="S5" s="1" t="s">
        <v>39</v>
      </c>
      <c r="U5" s="1" t="s">
        <v>40</v>
      </c>
      <c r="V5" s="1" t="s">
        <v>64</v>
      </c>
      <c r="W5" s="1" t="s">
        <v>40</v>
      </c>
      <c r="X5" s="1" t="s">
        <v>40</v>
      </c>
      <c r="AA5" s="1" t="s">
        <v>69</v>
      </c>
      <c r="AB5" s="2">
        <v>46267</v>
      </c>
      <c r="AC5" s="2">
        <v>46237</v>
      </c>
      <c r="AE5" s="1" t="s">
        <v>40</v>
      </c>
      <c r="AF5" s="1" t="s">
        <v>43</v>
      </c>
    </row>
    <row r="6" spans="1:33" ht="12.75" hidden="1" customHeight="1" x14ac:dyDescent="0.2">
      <c r="A6" s="1" t="s">
        <v>30</v>
      </c>
      <c r="B6" s="1" t="s">
        <v>70</v>
      </c>
      <c r="C6" s="1" t="s">
        <v>71</v>
      </c>
      <c r="D6" s="1" t="s">
        <v>72</v>
      </c>
      <c r="E6" s="1" t="s">
        <v>73</v>
      </c>
      <c r="F6" s="1" t="s">
        <v>74</v>
      </c>
      <c r="G6" s="3">
        <v>283</v>
      </c>
      <c r="H6" s="4">
        <v>8</v>
      </c>
      <c r="I6" s="5">
        <v>690.52</v>
      </c>
      <c r="J6" s="5">
        <v>0</v>
      </c>
      <c r="K6" s="1" t="s">
        <v>36</v>
      </c>
      <c r="L6" s="1" t="s">
        <v>75</v>
      </c>
      <c r="M6" s="1" t="s">
        <v>51</v>
      </c>
      <c r="N6" s="3">
        <v>283</v>
      </c>
      <c r="O6" s="6">
        <f>Table1[[#This Row],[Invoice Qty]]-Table1[[#This Row],[ExFactory Qty]]</f>
        <v>0</v>
      </c>
      <c r="P6" s="1" t="s">
        <v>76</v>
      </c>
      <c r="Q6" s="2">
        <v>46268.372812499998</v>
      </c>
      <c r="R6" s="2">
        <v>46283</v>
      </c>
      <c r="S6" s="1" t="s">
        <v>39</v>
      </c>
      <c r="U6" s="1" t="s">
        <v>40</v>
      </c>
      <c r="V6" s="1" t="s">
        <v>77</v>
      </c>
      <c r="W6" s="1" t="s">
        <v>40</v>
      </c>
      <c r="X6" s="1" t="s">
        <v>40</v>
      </c>
      <c r="Z6" s="2">
        <v>46283</v>
      </c>
      <c r="AA6" s="1" t="s">
        <v>78</v>
      </c>
      <c r="AB6" s="2">
        <v>46247</v>
      </c>
      <c r="AC6" s="2">
        <v>46247</v>
      </c>
      <c r="AE6" s="1" t="s">
        <v>40</v>
      </c>
      <c r="AF6" s="1" t="s">
        <v>79</v>
      </c>
    </row>
    <row r="7" spans="1:33" ht="12.75" hidden="1" customHeight="1" x14ac:dyDescent="0.2">
      <c r="A7" s="1" t="s">
        <v>30</v>
      </c>
      <c r="B7" s="1" t="s">
        <v>80</v>
      </c>
      <c r="C7" s="1" t="s">
        <v>71</v>
      </c>
      <c r="D7" s="1" t="s">
        <v>72</v>
      </c>
      <c r="E7" s="1" t="s">
        <v>73</v>
      </c>
      <c r="F7" s="1" t="s">
        <v>74</v>
      </c>
      <c r="G7" s="3">
        <v>329</v>
      </c>
      <c r="H7" s="4">
        <v>8</v>
      </c>
      <c r="I7" s="5">
        <v>802.76</v>
      </c>
      <c r="J7" s="5">
        <v>0</v>
      </c>
      <c r="K7" s="1" t="s">
        <v>36</v>
      </c>
      <c r="L7" s="1" t="s">
        <v>75</v>
      </c>
      <c r="M7" s="1" t="s">
        <v>51</v>
      </c>
      <c r="N7" s="3">
        <v>329</v>
      </c>
      <c r="O7" s="6">
        <f>Table1[[#This Row],[Invoice Qty]]-Table1[[#This Row],[ExFactory Qty]]</f>
        <v>0</v>
      </c>
      <c r="P7" s="1" t="s">
        <v>76</v>
      </c>
      <c r="Q7" s="2">
        <v>46268.372812499998</v>
      </c>
      <c r="R7" s="2">
        <v>46283</v>
      </c>
      <c r="S7" s="1" t="s">
        <v>39</v>
      </c>
      <c r="U7" s="1" t="s">
        <v>40</v>
      </c>
      <c r="V7" s="1" t="s">
        <v>77</v>
      </c>
      <c r="W7" s="1" t="s">
        <v>40</v>
      </c>
      <c r="X7" s="1" t="s">
        <v>40</v>
      </c>
      <c r="Z7" s="2">
        <v>46283</v>
      </c>
      <c r="AA7" s="1" t="s">
        <v>81</v>
      </c>
      <c r="AB7" s="2">
        <v>46247</v>
      </c>
      <c r="AC7" s="2">
        <v>46247</v>
      </c>
      <c r="AE7" s="1" t="s">
        <v>40</v>
      </c>
      <c r="AF7" s="1" t="s">
        <v>79</v>
      </c>
    </row>
    <row r="8" spans="1:33" ht="12.75" hidden="1" customHeight="1" x14ac:dyDescent="0.2">
      <c r="A8" s="1" t="s">
        <v>30</v>
      </c>
      <c r="B8" s="1" t="s">
        <v>82</v>
      </c>
      <c r="C8" s="1" t="s">
        <v>60</v>
      </c>
      <c r="D8" s="1" t="s">
        <v>61</v>
      </c>
      <c r="E8" s="1" t="s">
        <v>83</v>
      </c>
      <c r="F8" s="1" t="s">
        <v>49</v>
      </c>
      <c r="G8" s="3">
        <v>3082</v>
      </c>
      <c r="H8" s="4">
        <v>95</v>
      </c>
      <c r="I8" s="5">
        <v>3760.04</v>
      </c>
      <c r="J8" s="5">
        <v>0</v>
      </c>
      <c r="K8" s="1" t="s">
        <v>50</v>
      </c>
      <c r="L8" s="1" t="s">
        <v>37</v>
      </c>
      <c r="M8" s="1" t="s">
        <v>37</v>
      </c>
      <c r="N8" s="3">
        <v>3082</v>
      </c>
      <c r="O8" s="6">
        <f>Table1[[#This Row],[Invoice Qty]]-Table1[[#This Row],[ExFactory Qty]]</f>
        <v>0</v>
      </c>
      <c r="P8" s="1" t="s">
        <v>84</v>
      </c>
      <c r="Q8" s="2">
        <v>46277.589895833298</v>
      </c>
      <c r="R8" s="2">
        <v>46281</v>
      </c>
      <c r="S8" s="1" t="s">
        <v>39</v>
      </c>
      <c r="U8" s="1" t="s">
        <v>40</v>
      </c>
      <c r="V8" s="1" t="s">
        <v>64</v>
      </c>
      <c r="W8" s="1" t="s">
        <v>40</v>
      </c>
      <c r="X8" s="1" t="s">
        <v>40</v>
      </c>
      <c r="AA8" s="1" t="s">
        <v>85</v>
      </c>
      <c r="AB8" s="2">
        <v>46275</v>
      </c>
      <c r="AC8" s="2">
        <v>46251</v>
      </c>
      <c r="AE8" s="1" t="s">
        <v>40</v>
      </c>
      <c r="AF8" s="1" t="s">
        <v>43</v>
      </c>
    </row>
    <row r="9" spans="1:33" ht="12.75" hidden="1" customHeight="1" x14ac:dyDescent="0.2">
      <c r="A9" s="1" t="s">
        <v>86</v>
      </c>
      <c r="B9" s="1" t="s">
        <v>87</v>
      </c>
      <c r="C9" s="1" t="s">
        <v>32</v>
      </c>
      <c r="D9" s="1" t="s">
        <v>33</v>
      </c>
      <c r="E9" s="1" t="s">
        <v>88</v>
      </c>
      <c r="F9" s="1" t="s">
        <v>35</v>
      </c>
      <c r="G9" s="3">
        <v>3936</v>
      </c>
      <c r="H9" s="4">
        <v>112</v>
      </c>
      <c r="I9" s="5">
        <v>19325.759999999998</v>
      </c>
      <c r="J9" s="5">
        <v>0</v>
      </c>
      <c r="K9" s="1" t="s">
        <v>36</v>
      </c>
      <c r="L9" s="1" t="s">
        <v>37</v>
      </c>
      <c r="M9" s="1" t="s">
        <v>37</v>
      </c>
      <c r="N9" s="3">
        <v>3936</v>
      </c>
      <c r="O9" s="6">
        <f>Table1[[#This Row],[Invoice Qty]]-Table1[[#This Row],[ExFactory Qty]]</f>
        <v>0</v>
      </c>
      <c r="P9" s="1" t="s">
        <v>89</v>
      </c>
      <c r="Q9" s="2">
        <v>46286.3351736111</v>
      </c>
      <c r="S9" s="1" t="s">
        <v>39</v>
      </c>
      <c r="U9" s="1" t="s">
        <v>40</v>
      </c>
      <c r="V9" s="1" t="s">
        <v>41</v>
      </c>
      <c r="W9" s="1" t="s">
        <v>40</v>
      </c>
      <c r="X9" s="1" t="s">
        <v>40</v>
      </c>
      <c r="AA9" s="1" t="s">
        <v>90</v>
      </c>
      <c r="AB9" s="2">
        <v>46254</v>
      </c>
      <c r="AC9" s="2">
        <v>46252</v>
      </c>
      <c r="AE9" s="1" t="s">
        <v>40</v>
      </c>
      <c r="AF9" s="1" t="s">
        <v>43</v>
      </c>
    </row>
    <row r="10" spans="1:33" ht="12.75" hidden="1" customHeight="1" x14ac:dyDescent="0.2">
      <c r="A10" s="1" t="s">
        <v>30</v>
      </c>
      <c r="B10" s="1" t="s">
        <v>91</v>
      </c>
      <c r="C10" s="1" t="s">
        <v>32</v>
      </c>
      <c r="D10" s="1" t="s">
        <v>33</v>
      </c>
      <c r="E10" s="1" t="s">
        <v>92</v>
      </c>
      <c r="F10" s="1" t="s">
        <v>35</v>
      </c>
      <c r="G10" s="3">
        <v>4925</v>
      </c>
      <c r="H10" s="4">
        <v>147</v>
      </c>
      <c r="I10" s="5">
        <v>18173.25</v>
      </c>
      <c r="J10" s="5">
        <v>0</v>
      </c>
      <c r="K10" s="1" t="s">
        <v>36</v>
      </c>
      <c r="L10" s="1" t="s">
        <v>37</v>
      </c>
      <c r="M10" s="1" t="s">
        <v>37</v>
      </c>
      <c r="N10" s="3">
        <v>4925</v>
      </c>
      <c r="O10" s="6">
        <f>Table1[[#This Row],[Invoice Qty]]-Table1[[#This Row],[ExFactory Qty]]</f>
        <v>0</v>
      </c>
      <c r="P10" s="1" t="s">
        <v>93</v>
      </c>
      <c r="Q10" s="2">
        <v>46267.695196759298</v>
      </c>
      <c r="R10" s="2">
        <v>46279</v>
      </c>
      <c r="S10" s="1" t="s">
        <v>39</v>
      </c>
      <c r="U10" s="1" t="s">
        <v>40</v>
      </c>
      <c r="V10" s="1" t="s">
        <v>41</v>
      </c>
      <c r="W10" s="1" t="s">
        <v>40</v>
      </c>
      <c r="X10" s="1" t="s">
        <v>40</v>
      </c>
      <c r="AA10" s="1" t="s">
        <v>94</v>
      </c>
      <c r="AB10" s="2">
        <v>46267</v>
      </c>
      <c r="AC10" s="2">
        <v>46257</v>
      </c>
      <c r="AE10" s="1" t="s">
        <v>40</v>
      </c>
      <c r="AF10" s="1" t="s">
        <v>43</v>
      </c>
    </row>
    <row r="11" spans="1:33" ht="12.75" hidden="1" customHeight="1" x14ac:dyDescent="0.2">
      <c r="A11" s="1" t="s">
        <v>44</v>
      </c>
      <c r="B11" s="1" t="s">
        <v>95</v>
      </c>
      <c r="C11" s="1" t="s">
        <v>32</v>
      </c>
      <c r="D11" s="1" t="s">
        <v>33</v>
      </c>
      <c r="E11" s="1" t="s">
        <v>96</v>
      </c>
      <c r="F11" s="1" t="s">
        <v>97</v>
      </c>
      <c r="G11" s="3">
        <v>1144</v>
      </c>
      <c r="H11" s="4">
        <v>37</v>
      </c>
      <c r="I11" s="5">
        <v>11108.24</v>
      </c>
      <c r="J11" s="5">
        <v>0</v>
      </c>
      <c r="K11" s="1" t="s">
        <v>36</v>
      </c>
      <c r="L11" s="1" t="s">
        <v>37</v>
      </c>
      <c r="M11" s="1" t="s">
        <v>37</v>
      </c>
      <c r="N11" s="3">
        <v>1144</v>
      </c>
      <c r="O11" s="6">
        <f>Table1[[#This Row],[Invoice Qty]]-Table1[[#This Row],[ExFactory Qty]]</f>
        <v>0</v>
      </c>
      <c r="P11" s="1" t="s">
        <v>98</v>
      </c>
      <c r="Q11" s="2">
        <v>46266.790416666699</v>
      </c>
      <c r="R11" s="2">
        <v>46273</v>
      </c>
      <c r="S11" s="1" t="s">
        <v>53</v>
      </c>
      <c r="T11" s="2">
        <v>46289</v>
      </c>
      <c r="U11" s="1" t="s">
        <v>99</v>
      </c>
      <c r="V11" s="1" t="s">
        <v>41</v>
      </c>
      <c r="W11" s="1" t="s">
        <v>100</v>
      </c>
      <c r="X11" s="1" t="s">
        <v>101</v>
      </c>
      <c r="Y11" s="5">
        <v>11108.24</v>
      </c>
      <c r="AA11" s="1" t="s">
        <v>102</v>
      </c>
      <c r="AB11" s="2">
        <v>46267</v>
      </c>
      <c r="AC11" s="2">
        <v>46258</v>
      </c>
      <c r="AE11" s="1" t="s">
        <v>40</v>
      </c>
      <c r="AF11" s="1" t="s">
        <v>43</v>
      </c>
    </row>
    <row r="12" spans="1:33" ht="12.75" hidden="1" customHeight="1" x14ac:dyDescent="0.2">
      <c r="A12" s="1" t="s">
        <v>86</v>
      </c>
      <c r="B12" s="1" t="s">
        <v>103</v>
      </c>
      <c r="C12" s="1" t="s">
        <v>32</v>
      </c>
      <c r="D12" s="1" t="s">
        <v>33</v>
      </c>
      <c r="E12" s="1" t="s">
        <v>104</v>
      </c>
      <c r="F12" s="1" t="s">
        <v>97</v>
      </c>
      <c r="G12" s="3">
        <v>1400</v>
      </c>
      <c r="H12" s="4">
        <v>20</v>
      </c>
      <c r="I12" s="5">
        <v>4144</v>
      </c>
      <c r="J12" s="5">
        <v>0</v>
      </c>
      <c r="K12" s="1" t="s">
        <v>36</v>
      </c>
      <c r="L12" s="1" t="s">
        <v>37</v>
      </c>
      <c r="M12" s="1" t="s">
        <v>37</v>
      </c>
      <c r="N12" s="3">
        <v>1400</v>
      </c>
      <c r="O12" s="6">
        <f>Table1[[#This Row],[Invoice Qty]]-Table1[[#This Row],[ExFactory Qty]]</f>
        <v>0</v>
      </c>
      <c r="P12" s="1" t="s">
        <v>105</v>
      </c>
      <c r="Q12" s="2">
        <v>46287.3534953704</v>
      </c>
      <c r="S12" s="1" t="s">
        <v>39</v>
      </c>
      <c r="U12" s="1" t="s">
        <v>40</v>
      </c>
      <c r="V12" s="1" t="s">
        <v>41</v>
      </c>
      <c r="W12" s="1" t="s">
        <v>40</v>
      </c>
      <c r="X12" s="1" t="s">
        <v>40</v>
      </c>
      <c r="AA12" s="1" t="s">
        <v>106</v>
      </c>
      <c r="AB12" s="2">
        <v>46287</v>
      </c>
      <c r="AC12" s="2">
        <v>46258</v>
      </c>
      <c r="AE12" s="1" t="s">
        <v>40</v>
      </c>
      <c r="AF12" s="1" t="s">
        <v>43</v>
      </c>
    </row>
    <row r="13" spans="1:33" ht="12.75" hidden="1" customHeight="1" x14ac:dyDescent="0.2">
      <c r="A13" s="1" t="s">
        <v>30</v>
      </c>
      <c r="B13" s="1" t="s">
        <v>107</v>
      </c>
      <c r="C13" s="1" t="s">
        <v>71</v>
      </c>
      <c r="D13" s="1" t="s">
        <v>72</v>
      </c>
      <c r="E13" s="1" t="s">
        <v>73</v>
      </c>
      <c r="F13" s="1" t="s">
        <v>108</v>
      </c>
      <c r="G13" s="3">
        <v>100</v>
      </c>
      <c r="H13" s="4">
        <v>2</v>
      </c>
      <c r="I13" s="5">
        <v>244</v>
      </c>
      <c r="J13" s="5">
        <v>0</v>
      </c>
      <c r="K13" s="1" t="s">
        <v>36</v>
      </c>
      <c r="L13" s="1" t="s">
        <v>75</v>
      </c>
      <c r="M13" s="1" t="s">
        <v>51</v>
      </c>
      <c r="N13" s="3">
        <v>100</v>
      </c>
      <c r="O13" s="6">
        <f>Table1[[#This Row],[Invoice Qty]]-Table1[[#This Row],[ExFactory Qty]]</f>
        <v>0</v>
      </c>
      <c r="P13" s="1" t="s">
        <v>109</v>
      </c>
      <c r="Q13" s="2">
        <v>46268.701689814799</v>
      </c>
      <c r="R13" s="2">
        <v>46278</v>
      </c>
      <c r="S13" s="1" t="s">
        <v>39</v>
      </c>
      <c r="U13" s="1" t="s">
        <v>40</v>
      </c>
      <c r="V13" s="1" t="s">
        <v>77</v>
      </c>
      <c r="W13" s="1" t="s">
        <v>40</v>
      </c>
      <c r="X13" s="1" t="s">
        <v>40</v>
      </c>
      <c r="Z13" s="2">
        <v>46279</v>
      </c>
      <c r="AA13" s="1" t="s">
        <v>110</v>
      </c>
      <c r="AB13" s="2">
        <v>46261</v>
      </c>
      <c r="AC13" s="2">
        <v>46261.580381944397</v>
      </c>
      <c r="AE13" s="1" t="s">
        <v>40</v>
      </c>
      <c r="AF13" s="1" t="s">
        <v>79</v>
      </c>
    </row>
    <row r="14" spans="1:33" ht="12.75" hidden="1" customHeight="1" x14ac:dyDescent="0.2">
      <c r="A14" s="1" t="s">
        <v>111</v>
      </c>
      <c r="B14" s="1" t="s">
        <v>112</v>
      </c>
      <c r="C14" s="1" t="s">
        <v>32</v>
      </c>
      <c r="D14" s="1" t="s">
        <v>33</v>
      </c>
      <c r="E14" s="1" t="s">
        <v>113</v>
      </c>
      <c r="F14" s="1" t="s">
        <v>97</v>
      </c>
      <c r="G14" s="3">
        <v>6998</v>
      </c>
      <c r="H14" s="4">
        <v>241</v>
      </c>
      <c r="I14" s="5">
        <v>38419.019999999997</v>
      </c>
      <c r="J14" s="5">
        <v>0</v>
      </c>
      <c r="K14" s="1" t="s">
        <v>36</v>
      </c>
      <c r="L14" s="1" t="s">
        <v>37</v>
      </c>
      <c r="M14" s="1" t="s">
        <v>37</v>
      </c>
      <c r="N14" s="3">
        <v>6998</v>
      </c>
      <c r="O14" s="6">
        <f>Table1[[#This Row],[Invoice Qty]]-Table1[[#This Row],[ExFactory Qty]]</f>
        <v>0</v>
      </c>
      <c r="P14" s="1" t="s">
        <v>114</v>
      </c>
      <c r="Q14" s="2">
        <v>46267.699016203696</v>
      </c>
      <c r="R14" s="2">
        <v>46279</v>
      </c>
      <c r="S14" s="1" t="s">
        <v>53</v>
      </c>
      <c r="T14" s="2">
        <v>46295</v>
      </c>
      <c r="U14" s="1" t="s">
        <v>115</v>
      </c>
      <c r="V14" s="1" t="s">
        <v>41</v>
      </c>
      <c r="W14" s="1" t="s">
        <v>40</v>
      </c>
      <c r="X14" s="1" t="s">
        <v>40</v>
      </c>
      <c r="AA14" s="1" t="s">
        <v>116</v>
      </c>
      <c r="AB14" s="2">
        <v>46267</v>
      </c>
      <c r="AC14" s="2">
        <v>46261</v>
      </c>
      <c r="AE14" s="1" t="s">
        <v>40</v>
      </c>
      <c r="AF14" s="1" t="s">
        <v>43</v>
      </c>
    </row>
    <row r="15" spans="1:33" ht="12.75" hidden="1" customHeight="1" x14ac:dyDescent="0.2">
      <c r="A15" s="1" t="s">
        <v>30</v>
      </c>
      <c r="B15" s="1" t="s">
        <v>117</v>
      </c>
      <c r="C15" s="1" t="s">
        <v>32</v>
      </c>
      <c r="D15" s="1" t="s">
        <v>33</v>
      </c>
      <c r="E15" s="1" t="s">
        <v>118</v>
      </c>
      <c r="F15" s="1" t="s">
        <v>97</v>
      </c>
      <c r="G15" s="3">
        <v>3198</v>
      </c>
      <c r="H15" s="4">
        <v>66</v>
      </c>
      <c r="I15" s="5">
        <v>10329.540000000001</v>
      </c>
      <c r="J15" s="5">
        <v>0</v>
      </c>
      <c r="K15" s="1" t="s">
        <v>36</v>
      </c>
      <c r="L15" s="1" t="s">
        <v>37</v>
      </c>
      <c r="M15" s="1" t="s">
        <v>37</v>
      </c>
      <c r="N15" s="3">
        <v>3198</v>
      </c>
      <c r="O15" s="6">
        <f>Table1[[#This Row],[Invoice Qty]]-Table1[[#This Row],[ExFactory Qty]]</f>
        <v>0</v>
      </c>
      <c r="P15" s="1" t="s">
        <v>38</v>
      </c>
      <c r="Q15" s="2">
        <v>46268.697986111103</v>
      </c>
      <c r="R15" s="2">
        <v>46279</v>
      </c>
      <c r="S15" s="1" t="s">
        <v>39</v>
      </c>
      <c r="U15" s="1" t="s">
        <v>40</v>
      </c>
      <c r="V15" s="1" t="s">
        <v>41</v>
      </c>
      <c r="W15" s="1" t="s">
        <v>40</v>
      </c>
      <c r="X15" s="1" t="s">
        <v>40</v>
      </c>
      <c r="AA15" s="1" t="s">
        <v>119</v>
      </c>
      <c r="AB15" s="2">
        <v>46268</v>
      </c>
      <c r="AC15" s="2">
        <v>46261</v>
      </c>
      <c r="AE15" s="1" t="s">
        <v>40</v>
      </c>
      <c r="AF15" s="1" t="s">
        <v>43</v>
      </c>
    </row>
    <row r="16" spans="1:33" ht="12.75" hidden="1" customHeight="1" x14ac:dyDescent="0.2">
      <c r="A16" s="1" t="s">
        <v>30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G16" s="3">
        <v>4300</v>
      </c>
      <c r="H16" s="4">
        <v>270</v>
      </c>
      <c r="I16" s="5">
        <v>6885</v>
      </c>
      <c r="J16" s="5">
        <v>0</v>
      </c>
      <c r="K16" s="1" t="s">
        <v>36</v>
      </c>
      <c r="L16" s="1" t="s">
        <v>51</v>
      </c>
      <c r="M16" s="1" t="s">
        <v>125</v>
      </c>
      <c r="N16" s="3">
        <v>4300</v>
      </c>
      <c r="O16" s="6">
        <f>Table1[[#This Row],[Invoice Qty]]-Table1[[#This Row],[ExFactory Qty]]</f>
        <v>0</v>
      </c>
      <c r="P16" s="1" t="s">
        <v>126</v>
      </c>
      <c r="Q16" s="2">
        <v>46268.872673611098</v>
      </c>
      <c r="R16" s="2">
        <v>46276</v>
      </c>
      <c r="S16" s="1" t="s">
        <v>39</v>
      </c>
      <c r="U16" s="1" t="s">
        <v>40</v>
      </c>
      <c r="V16" s="1" t="s">
        <v>55</v>
      </c>
      <c r="W16" s="1" t="s">
        <v>40</v>
      </c>
      <c r="X16" s="1" t="s">
        <v>40</v>
      </c>
      <c r="Z16" s="2">
        <v>46276</v>
      </c>
      <c r="AA16" s="1" t="s">
        <v>127</v>
      </c>
      <c r="AB16" s="2">
        <v>46261</v>
      </c>
      <c r="AC16" s="2">
        <v>46261</v>
      </c>
      <c r="AD16" s="2">
        <v>46270</v>
      </c>
      <c r="AE16" s="1" t="s">
        <v>128</v>
      </c>
      <c r="AF16" s="1" t="s">
        <v>129</v>
      </c>
    </row>
    <row r="17" spans="1:32" ht="12.75" hidden="1" customHeight="1" x14ac:dyDescent="0.2">
      <c r="A17" s="1" t="s">
        <v>30</v>
      </c>
      <c r="B17" s="1" t="s">
        <v>130</v>
      </c>
      <c r="C17" s="1" t="s">
        <v>32</v>
      </c>
      <c r="D17" s="1" t="s">
        <v>33</v>
      </c>
      <c r="E17" s="1" t="s">
        <v>131</v>
      </c>
      <c r="F17" s="1" t="s">
        <v>35</v>
      </c>
      <c r="G17" s="3">
        <v>1701</v>
      </c>
      <c r="H17" s="4">
        <v>39</v>
      </c>
      <c r="I17" s="5">
        <v>5494.23</v>
      </c>
      <c r="J17" s="5">
        <v>0</v>
      </c>
      <c r="K17" s="1" t="s">
        <v>36</v>
      </c>
      <c r="L17" s="1" t="s">
        <v>37</v>
      </c>
      <c r="M17" s="1" t="s">
        <v>37</v>
      </c>
      <c r="N17" s="3">
        <v>1701</v>
      </c>
      <c r="O17" s="6">
        <f>Table1[[#This Row],[Invoice Qty]]-Table1[[#This Row],[ExFactory Qty]]</f>
        <v>0</v>
      </c>
      <c r="P17" s="1" t="s">
        <v>38</v>
      </c>
      <c r="Q17" s="2">
        <v>46268.697986111103</v>
      </c>
      <c r="R17" s="2">
        <v>46279</v>
      </c>
      <c r="S17" s="1" t="s">
        <v>39</v>
      </c>
      <c r="U17" s="1" t="s">
        <v>40</v>
      </c>
      <c r="V17" s="1" t="s">
        <v>41</v>
      </c>
      <c r="W17" s="1" t="s">
        <v>40</v>
      </c>
      <c r="X17" s="1" t="s">
        <v>40</v>
      </c>
      <c r="AA17" s="1" t="s">
        <v>132</v>
      </c>
      <c r="AB17" s="2">
        <v>46268</v>
      </c>
      <c r="AC17" s="2">
        <v>46264</v>
      </c>
      <c r="AE17" s="1" t="s">
        <v>40</v>
      </c>
      <c r="AF17" s="1" t="s">
        <v>43</v>
      </c>
    </row>
    <row r="18" spans="1:32" ht="12.75" hidden="1" customHeight="1" x14ac:dyDescent="0.2">
      <c r="A18" s="1" t="s">
        <v>30</v>
      </c>
      <c r="B18" s="1" t="s">
        <v>133</v>
      </c>
      <c r="C18" s="1" t="s">
        <v>71</v>
      </c>
      <c r="D18" s="1" t="s">
        <v>72</v>
      </c>
      <c r="E18" s="1" t="s">
        <v>73</v>
      </c>
      <c r="F18" s="1" t="s">
        <v>134</v>
      </c>
      <c r="G18" s="3">
        <v>83</v>
      </c>
      <c r="H18" s="4">
        <v>2</v>
      </c>
      <c r="I18" s="5">
        <v>202.52</v>
      </c>
      <c r="J18" s="5">
        <v>0</v>
      </c>
      <c r="K18" s="1" t="s">
        <v>36</v>
      </c>
      <c r="L18" s="1" t="s">
        <v>75</v>
      </c>
      <c r="M18" s="1" t="s">
        <v>51</v>
      </c>
      <c r="N18" s="3">
        <v>83</v>
      </c>
      <c r="O18" s="6">
        <f>Table1[[#This Row],[Invoice Qty]]-Table1[[#This Row],[ExFactory Qty]]</f>
        <v>0</v>
      </c>
      <c r="P18" s="1" t="s">
        <v>135</v>
      </c>
      <c r="Q18" s="2">
        <v>46271.459745370397</v>
      </c>
      <c r="R18" s="2">
        <v>46280</v>
      </c>
      <c r="S18" s="1" t="s">
        <v>39</v>
      </c>
      <c r="U18" s="1" t="s">
        <v>40</v>
      </c>
      <c r="V18" s="1" t="s">
        <v>77</v>
      </c>
      <c r="W18" s="1" t="s">
        <v>40</v>
      </c>
      <c r="X18" s="1" t="s">
        <v>40</v>
      </c>
      <c r="Z18" s="2">
        <v>46280</v>
      </c>
      <c r="AA18" s="1" t="s">
        <v>136</v>
      </c>
      <c r="AB18" s="2">
        <v>46264</v>
      </c>
      <c r="AC18" s="2">
        <v>46264.6347453704</v>
      </c>
      <c r="AE18" s="1" t="s">
        <v>40</v>
      </c>
      <c r="AF18" s="1" t="s">
        <v>79</v>
      </c>
    </row>
    <row r="19" spans="1:32" ht="12.75" hidden="1" customHeight="1" x14ac:dyDescent="0.2">
      <c r="A19" s="1" t="s">
        <v>30</v>
      </c>
      <c r="B19" s="1" t="s">
        <v>137</v>
      </c>
      <c r="C19" s="1" t="s">
        <v>138</v>
      </c>
      <c r="D19" s="1" t="s">
        <v>139</v>
      </c>
      <c r="E19" s="1" t="s">
        <v>140</v>
      </c>
      <c r="F19" s="1" t="s">
        <v>124</v>
      </c>
      <c r="G19" s="3">
        <v>950</v>
      </c>
      <c r="H19" s="4">
        <v>50</v>
      </c>
      <c r="I19" s="5">
        <v>4949.5</v>
      </c>
      <c r="J19" s="5">
        <v>0</v>
      </c>
      <c r="K19" s="1" t="s">
        <v>36</v>
      </c>
      <c r="L19" s="1" t="s">
        <v>51</v>
      </c>
      <c r="M19" s="1" t="s">
        <v>51</v>
      </c>
      <c r="N19" s="3">
        <v>950</v>
      </c>
      <c r="O19" s="6">
        <f>Table1[[#This Row],[Invoice Qty]]-Table1[[#This Row],[ExFactory Qty]]</f>
        <v>0</v>
      </c>
      <c r="P19" s="1" t="s">
        <v>141</v>
      </c>
      <c r="Q19" s="2">
        <v>46266</v>
      </c>
      <c r="R19" s="2">
        <v>46274</v>
      </c>
      <c r="S19" s="1" t="s">
        <v>39</v>
      </c>
      <c r="U19" s="1" t="s">
        <v>40</v>
      </c>
      <c r="V19" s="1" t="s">
        <v>55</v>
      </c>
      <c r="W19" s="1" t="s">
        <v>40</v>
      </c>
      <c r="X19" s="1" t="s">
        <v>40</v>
      </c>
      <c r="AA19" s="1" t="s">
        <v>142</v>
      </c>
      <c r="AB19" s="2">
        <v>46265</v>
      </c>
      <c r="AC19" s="2">
        <v>46265</v>
      </c>
      <c r="AD19" s="2">
        <v>46265</v>
      </c>
      <c r="AE19" s="1" t="s">
        <v>143</v>
      </c>
      <c r="AF19" s="1" t="s">
        <v>144</v>
      </c>
    </row>
    <row r="20" spans="1:32" ht="12.75" hidden="1" customHeight="1" x14ac:dyDescent="0.2">
      <c r="A20" s="1" t="s">
        <v>30</v>
      </c>
      <c r="B20" s="1" t="s">
        <v>145</v>
      </c>
      <c r="C20" s="1" t="s">
        <v>146</v>
      </c>
      <c r="D20" s="1" t="s">
        <v>147</v>
      </c>
      <c r="E20" s="1" t="s">
        <v>148</v>
      </c>
      <c r="F20" s="1" t="s">
        <v>124</v>
      </c>
      <c r="G20" s="3">
        <v>527</v>
      </c>
      <c r="H20" s="4">
        <v>13</v>
      </c>
      <c r="I20" s="5">
        <v>1663.08</v>
      </c>
      <c r="J20" s="5">
        <v>69.3</v>
      </c>
      <c r="K20" s="1" t="s">
        <v>149</v>
      </c>
      <c r="L20" s="1" t="s">
        <v>37</v>
      </c>
      <c r="M20" s="1" t="s">
        <v>37</v>
      </c>
      <c r="N20" s="3">
        <v>527</v>
      </c>
      <c r="O20" s="6">
        <f>Table1[[#This Row],[Invoice Qty]]-Table1[[#This Row],[ExFactory Qty]]</f>
        <v>0</v>
      </c>
      <c r="P20" s="1" t="s">
        <v>150</v>
      </c>
      <c r="Q20" s="2">
        <v>46266</v>
      </c>
      <c r="R20" s="2">
        <v>46271</v>
      </c>
      <c r="S20" s="1" t="s">
        <v>39</v>
      </c>
      <c r="U20" s="1" t="s">
        <v>40</v>
      </c>
      <c r="V20" s="1" t="s">
        <v>64</v>
      </c>
      <c r="W20" s="1" t="s">
        <v>40</v>
      </c>
      <c r="X20" s="1" t="s">
        <v>40</v>
      </c>
      <c r="AA20" s="1" t="s">
        <v>151</v>
      </c>
      <c r="AB20" s="2">
        <v>46265</v>
      </c>
      <c r="AC20" s="2">
        <v>46265</v>
      </c>
      <c r="AE20" s="1" t="s">
        <v>40</v>
      </c>
      <c r="AF20" s="1" t="s">
        <v>43</v>
      </c>
    </row>
    <row r="21" spans="1:32" ht="12.75" hidden="1" customHeight="1" x14ac:dyDescent="0.2">
      <c r="A21" s="1" t="s">
        <v>30</v>
      </c>
      <c r="B21" s="1" t="s">
        <v>152</v>
      </c>
      <c r="C21" s="1" t="s">
        <v>32</v>
      </c>
      <c r="D21" s="1" t="s">
        <v>33</v>
      </c>
      <c r="E21" s="1" t="s">
        <v>153</v>
      </c>
      <c r="F21" s="1" t="s">
        <v>35</v>
      </c>
      <c r="G21" s="3">
        <v>1869</v>
      </c>
      <c r="H21" s="4">
        <v>44</v>
      </c>
      <c r="I21" s="5">
        <v>7718.97</v>
      </c>
      <c r="J21" s="5">
        <v>0</v>
      </c>
      <c r="K21" s="1" t="s">
        <v>36</v>
      </c>
      <c r="L21" s="1" t="s">
        <v>37</v>
      </c>
      <c r="M21" s="1" t="s">
        <v>37</v>
      </c>
      <c r="N21" s="3">
        <v>1869</v>
      </c>
      <c r="O21" s="6">
        <f>Table1[[#This Row],[Invoice Qty]]-Table1[[#This Row],[ExFactory Qty]]</f>
        <v>0</v>
      </c>
      <c r="P21" s="1" t="s">
        <v>38</v>
      </c>
      <c r="Q21" s="2">
        <v>46268.697986111103</v>
      </c>
      <c r="R21" s="2">
        <v>46279</v>
      </c>
      <c r="S21" s="1" t="s">
        <v>39</v>
      </c>
      <c r="U21" s="1" t="s">
        <v>40</v>
      </c>
      <c r="V21" s="1" t="s">
        <v>41</v>
      </c>
      <c r="W21" s="1" t="s">
        <v>40</v>
      </c>
      <c r="X21" s="1" t="s">
        <v>40</v>
      </c>
      <c r="AA21" s="1" t="s">
        <v>154</v>
      </c>
      <c r="AB21" s="2">
        <v>46268</v>
      </c>
      <c r="AC21" s="2">
        <v>46265</v>
      </c>
      <c r="AE21" s="1" t="s">
        <v>40</v>
      </c>
      <c r="AF21" s="1" t="s">
        <v>43</v>
      </c>
    </row>
    <row r="22" spans="1:32" ht="12.75" hidden="1" customHeight="1" x14ac:dyDescent="0.2">
      <c r="A22" s="1" t="s">
        <v>30</v>
      </c>
      <c r="B22" s="1" t="s">
        <v>155</v>
      </c>
      <c r="C22" s="1" t="s">
        <v>32</v>
      </c>
      <c r="D22" s="1" t="s">
        <v>33</v>
      </c>
      <c r="E22" s="1" t="s">
        <v>156</v>
      </c>
      <c r="F22" s="1" t="s">
        <v>35</v>
      </c>
      <c r="G22" s="3">
        <v>3402</v>
      </c>
      <c r="H22" s="4">
        <v>96</v>
      </c>
      <c r="I22" s="5">
        <v>10682.28</v>
      </c>
      <c r="J22" s="5">
        <v>0</v>
      </c>
      <c r="K22" s="1" t="s">
        <v>36</v>
      </c>
      <c r="L22" s="1" t="s">
        <v>37</v>
      </c>
      <c r="M22" s="1" t="s">
        <v>37</v>
      </c>
      <c r="N22" s="3">
        <v>3402</v>
      </c>
      <c r="O22" s="6">
        <f>Table1[[#This Row],[Invoice Qty]]-Table1[[#This Row],[ExFactory Qty]]</f>
        <v>0</v>
      </c>
      <c r="P22" s="1" t="s">
        <v>157</v>
      </c>
      <c r="Q22" s="2">
        <v>46277.697349536997</v>
      </c>
      <c r="R22" s="2">
        <v>46288</v>
      </c>
      <c r="S22" s="1" t="s">
        <v>39</v>
      </c>
      <c r="U22" s="1" t="s">
        <v>40</v>
      </c>
      <c r="V22" s="1" t="s">
        <v>41</v>
      </c>
      <c r="W22" s="1" t="s">
        <v>40</v>
      </c>
      <c r="X22" s="1" t="s">
        <v>40</v>
      </c>
      <c r="AA22" s="1" t="s">
        <v>158</v>
      </c>
      <c r="AB22" s="2">
        <v>46277</v>
      </c>
      <c r="AC22" s="2">
        <v>46265</v>
      </c>
      <c r="AE22" s="1" t="s">
        <v>40</v>
      </c>
      <c r="AF22" s="1" t="s">
        <v>43</v>
      </c>
    </row>
    <row r="23" spans="1:32" ht="12.75" hidden="1" customHeight="1" x14ac:dyDescent="0.2">
      <c r="A23" s="1" t="s">
        <v>111</v>
      </c>
      <c r="B23" s="1" t="s">
        <v>159</v>
      </c>
      <c r="C23" s="1" t="s">
        <v>160</v>
      </c>
      <c r="D23" s="1" t="s">
        <v>161</v>
      </c>
      <c r="E23" s="1" t="s">
        <v>162</v>
      </c>
      <c r="F23" s="1" t="s">
        <v>163</v>
      </c>
      <c r="G23" s="3">
        <v>1260</v>
      </c>
      <c r="H23" s="4">
        <v>35</v>
      </c>
      <c r="I23" s="5">
        <v>8498.7000000000007</v>
      </c>
      <c r="J23" s="5">
        <v>447.3</v>
      </c>
      <c r="K23" s="1" t="s">
        <v>36</v>
      </c>
      <c r="L23" s="1" t="s">
        <v>37</v>
      </c>
      <c r="M23" s="1" t="s">
        <v>37</v>
      </c>
      <c r="N23" s="3">
        <v>1260</v>
      </c>
      <c r="O23" s="6">
        <f>Table1[[#This Row],[Invoice Qty]]-Table1[[#This Row],[ExFactory Qty]]</f>
        <v>0</v>
      </c>
      <c r="P23" s="1" t="s">
        <v>164</v>
      </c>
      <c r="Q23" s="2">
        <v>46267</v>
      </c>
      <c r="R23" s="2">
        <v>46275</v>
      </c>
      <c r="S23" s="1" t="s">
        <v>53</v>
      </c>
      <c r="T23" s="2">
        <v>46295</v>
      </c>
      <c r="U23" s="1" t="s">
        <v>165</v>
      </c>
      <c r="V23" s="1" t="s">
        <v>41</v>
      </c>
      <c r="W23" s="1" t="s">
        <v>40</v>
      </c>
      <c r="X23" s="1" t="s">
        <v>40</v>
      </c>
      <c r="AA23" s="1" t="s">
        <v>166</v>
      </c>
      <c r="AB23" s="2">
        <v>46266</v>
      </c>
      <c r="AC23" s="2">
        <v>46266</v>
      </c>
      <c r="AE23" s="1" t="s">
        <v>40</v>
      </c>
      <c r="AF23" s="1" t="s">
        <v>167</v>
      </c>
    </row>
    <row r="24" spans="1:32" ht="12.75" hidden="1" customHeight="1" x14ac:dyDescent="0.2">
      <c r="A24" s="1" t="s">
        <v>86</v>
      </c>
      <c r="B24" s="1" t="s">
        <v>168</v>
      </c>
      <c r="C24" s="1" t="s">
        <v>169</v>
      </c>
      <c r="D24" s="1" t="s">
        <v>170</v>
      </c>
      <c r="E24" s="1" t="s">
        <v>171</v>
      </c>
      <c r="F24" s="1" t="s">
        <v>124</v>
      </c>
      <c r="G24" s="3">
        <v>1579</v>
      </c>
      <c r="H24" s="4">
        <v>144</v>
      </c>
      <c r="I24" s="5">
        <v>36317</v>
      </c>
      <c r="J24" s="5">
        <v>0</v>
      </c>
      <c r="K24" s="1" t="s">
        <v>36</v>
      </c>
      <c r="L24" s="1" t="s">
        <v>37</v>
      </c>
      <c r="M24" s="1" t="s">
        <v>37</v>
      </c>
      <c r="N24" s="3">
        <v>1579</v>
      </c>
      <c r="O24" s="6">
        <f>Table1[[#This Row],[Invoice Qty]]-Table1[[#This Row],[ExFactory Qty]]</f>
        <v>0</v>
      </c>
      <c r="P24" s="1" t="s">
        <v>172</v>
      </c>
      <c r="Q24" s="2">
        <v>46267</v>
      </c>
      <c r="S24" s="1" t="s">
        <v>39</v>
      </c>
      <c r="U24" s="1" t="s">
        <v>40</v>
      </c>
      <c r="V24" s="1" t="s">
        <v>41</v>
      </c>
      <c r="W24" s="1" t="s">
        <v>40</v>
      </c>
      <c r="X24" s="1" t="s">
        <v>40</v>
      </c>
      <c r="AA24" s="1" t="s">
        <v>173</v>
      </c>
      <c r="AB24" s="2">
        <v>46266</v>
      </c>
      <c r="AC24" s="2">
        <v>46266</v>
      </c>
      <c r="AE24" s="1" t="s">
        <v>40</v>
      </c>
      <c r="AF24" s="1" t="s">
        <v>174</v>
      </c>
    </row>
    <row r="25" spans="1:32" ht="12.75" hidden="1" customHeight="1" x14ac:dyDescent="0.2">
      <c r="A25" s="1" t="s">
        <v>30</v>
      </c>
      <c r="B25" s="1" t="s">
        <v>175</v>
      </c>
      <c r="C25" s="1" t="s">
        <v>146</v>
      </c>
      <c r="D25" s="1" t="s">
        <v>147</v>
      </c>
      <c r="E25" s="1" t="s">
        <v>176</v>
      </c>
      <c r="F25" s="1" t="s">
        <v>124</v>
      </c>
      <c r="G25" s="3">
        <v>1567</v>
      </c>
      <c r="H25" s="4">
        <v>27</v>
      </c>
      <c r="I25" s="5">
        <v>4994.24</v>
      </c>
      <c r="J25" s="5">
        <v>208.09</v>
      </c>
      <c r="K25" s="1" t="s">
        <v>36</v>
      </c>
      <c r="L25" s="1" t="s">
        <v>37</v>
      </c>
      <c r="M25" s="1" t="s">
        <v>37</v>
      </c>
      <c r="N25" s="3">
        <v>1567</v>
      </c>
      <c r="O25" s="6">
        <f>Table1[[#This Row],[Invoice Qty]]-Table1[[#This Row],[ExFactory Qty]]</f>
        <v>0</v>
      </c>
      <c r="P25" s="1" t="s">
        <v>177</v>
      </c>
      <c r="Q25" s="2">
        <v>46267</v>
      </c>
      <c r="R25" s="2">
        <v>46274</v>
      </c>
      <c r="S25" s="1" t="s">
        <v>39</v>
      </c>
      <c r="U25" s="1" t="s">
        <v>40</v>
      </c>
      <c r="V25" s="1" t="s">
        <v>64</v>
      </c>
      <c r="W25" s="1" t="s">
        <v>40</v>
      </c>
      <c r="X25" s="1" t="s">
        <v>40</v>
      </c>
      <c r="AA25" s="1" t="s">
        <v>178</v>
      </c>
      <c r="AB25" s="2">
        <v>46266</v>
      </c>
      <c r="AC25" s="2">
        <v>46266</v>
      </c>
      <c r="AE25" s="1" t="s">
        <v>40</v>
      </c>
      <c r="AF25" s="1" t="s">
        <v>43</v>
      </c>
    </row>
    <row r="26" spans="1:32" ht="12.75" hidden="1" customHeight="1" x14ac:dyDescent="0.2">
      <c r="A26" s="1" t="s">
        <v>30</v>
      </c>
      <c r="B26" s="1" t="s">
        <v>179</v>
      </c>
      <c r="C26" s="1" t="s">
        <v>180</v>
      </c>
      <c r="D26" s="1" t="s">
        <v>181</v>
      </c>
      <c r="E26" s="1" t="s">
        <v>182</v>
      </c>
      <c r="F26" s="1" t="s">
        <v>183</v>
      </c>
      <c r="G26" s="3">
        <v>21932</v>
      </c>
      <c r="H26" s="4">
        <v>633</v>
      </c>
      <c r="I26" s="5">
        <v>116815.41</v>
      </c>
      <c r="J26" s="5">
        <v>2383.9899999999998</v>
      </c>
      <c r="K26" s="1" t="s">
        <v>36</v>
      </c>
      <c r="L26" s="1" t="s">
        <v>51</v>
      </c>
      <c r="M26" s="1" t="s">
        <v>51</v>
      </c>
      <c r="N26" s="3">
        <v>21932</v>
      </c>
      <c r="O26" s="6">
        <f>Table1[[#This Row],[Invoice Qty]]-Table1[[#This Row],[ExFactory Qty]]</f>
        <v>0</v>
      </c>
      <c r="P26" s="1" t="s">
        <v>184</v>
      </c>
      <c r="Q26" s="2">
        <v>46267</v>
      </c>
      <c r="R26" s="2">
        <v>46274</v>
      </c>
      <c r="S26" s="1" t="s">
        <v>39</v>
      </c>
      <c r="U26" s="1" t="s">
        <v>40</v>
      </c>
      <c r="V26" s="1" t="s">
        <v>185</v>
      </c>
      <c r="W26" s="1" t="s">
        <v>40</v>
      </c>
      <c r="X26" s="1" t="s">
        <v>40</v>
      </c>
      <c r="Z26" s="2">
        <v>46274</v>
      </c>
      <c r="AA26" s="1" t="s">
        <v>40</v>
      </c>
      <c r="AB26" s="2">
        <v>46266</v>
      </c>
      <c r="AC26" s="2">
        <v>46266</v>
      </c>
      <c r="AD26" s="2">
        <v>46266</v>
      </c>
      <c r="AE26" s="1" t="s">
        <v>186</v>
      </c>
      <c r="AF26" s="1" t="s">
        <v>187</v>
      </c>
    </row>
    <row r="27" spans="1:32" ht="12.75" hidden="1" customHeight="1" x14ac:dyDescent="0.2">
      <c r="A27" s="1" t="s">
        <v>30</v>
      </c>
      <c r="B27" s="1" t="s">
        <v>188</v>
      </c>
      <c r="C27" s="1" t="s">
        <v>180</v>
      </c>
      <c r="D27" s="1" t="s">
        <v>181</v>
      </c>
      <c r="E27" s="1" t="s">
        <v>189</v>
      </c>
      <c r="F27" s="1" t="s">
        <v>190</v>
      </c>
      <c r="G27" s="3">
        <v>540</v>
      </c>
      <c r="H27" s="4">
        <v>50</v>
      </c>
      <c r="I27" s="5">
        <v>3175.2</v>
      </c>
      <c r="J27" s="5">
        <v>64.8</v>
      </c>
      <c r="K27" s="1" t="s">
        <v>36</v>
      </c>
      <c r="L27" s="1" t="s">
        <v>51</v>
      </c>
      <c r="M27" s="1" t="s">
        <v>51</v>
      </c>
      <c r="N27" s="3">
        <v>540</v>
      </c>
      <c r="O27" s="6">
        <f>Table1[[#This Row],[Invoice Qty]]-Table1[[#This Row],[ExFactory Qty]]</f>
        <v>0</v>
      </c>
      <c r="P27" s="1" t="s">
        <v>191</v>
      </c>
      <c r="Q27" s="2">
        <v>46272.441724536999</v>
      </c>
      <c r="R27" s="2">
        <v>46277</v>
      </c>
      <c r="S27" s="1" t="s">
        <v>39</v>
      </c>
      <c r="U27" s="1" t="s">
        <v>40</v>
      </c>
      <c r="V27" s="1" t="s">
        <v>185</v>
      </c>
      <c r="W27" s="1" t="s">
        <v>40</v>
      </c>
      <c r="X27" s="1" t="s">
        <v>40</v>
      </c>
      <c r="AA27" s="1" t="s">
        <v>192</v>
      </c>
      <c r="AB27" s="2">
        <v>46273</v>
      </c>
      <c r="AC27" s="2">
        <v>46266</v>
      </c>
      <c r="AE27" s="1" t="s">
        <v>40</v>
      </c>
      <c r="AF27" s="1" t="s">
        <v>187</v>
      </c>
    </row>
    <row r="28" spans="1:32" ht="12.75" hidden="1" customHeight="1" x14ac:dyDescent="0.2">
      <c r="A28" s="1" t="s">
        <v>86</v>
      </c>
      <c r="B28" s="1" t="s">
        <v>193</v>
      </c>
      <c r="C28" s="1" t="s">
        <v>180</v>
      </c>
      <c r="D28" s="1" t="s">
        <v>181</v>
      </c>
      <c r="E28" s="1" t="s">
        <v>194</v>
      </c>
      <c r="F28" s="1" t="s">
        <v>195</v>
      </c>
      <c r="G28" s="3">
        <v>17</v>
      </c>
      <c r="H28" s="4">
        <v>3</v>
      </c>
      <c r="I28" s="5">
        <v>99.96</v>
      </c>
      <c r="J28" s="5">
        <v>2.04</v>
      </c>
      <c r="K28" s="1" t="s">
        <v>36</v>
      </c>
      <c r="L28" s="1" t="s">
        <v>51</v>
      </c>
      <c r="M28" s="1" t="s">
        <v>51</v>
      </c>
      <c r="N28" s="3">
        <v>17</v>
      </c>
      <c r="O28" s="6">
        <f>Table1[[#This Row],[Invoice Qty]]-Table1[[#This Row],[ExFactory Qty]]</f>
        <v>0</v>
      </c>
      <c r="P28" s="1" t="s">
        <v>196</v>
      </c>
      <c r="Q28" s="2">
        <v>46272.601504629602</v>
      </c>
      <c r="S28" s="1" t="s">
        <v>39</v>
      </c>
      <c r="U28" s="1" t="s">
        <v>40</v>
      </c>
      <c r="V28" s="1" t="s">
        <v>185</v>
      </c>
      <c r="W28" s="1" t="s">
        <v>40</v>
      </c>
      <c r="X28" s="1" t="s">
        <v>40</v>
      </c>
      <c r="AA28" s="1" t="s">
        <v>197</v>
      </c>
      <c r="AB28" s="2">
        <v>46273</v>
      </c>
      <c r="AC28" s="2">
        <v>46266</v>
      </c>
      <c r="AE28" s="1" t="s">
        <v>40</v>
      </c>
      <c r="AF28" s="1" t="s">
        <v>187</v>
      </c>
    </row>
    <row r="29" spans="1:32" ht="12.75" hidden="1" customHeight="1" x14ac:dyDescent="0.2">
      <c r="A29" s="1" t="s">
        <v>30</v>
      </c>
      <c r="B29" s="1" t="s">
        <v>198</v>
      </c>
      <c r="C29" s="1" t="s">
        <v>199</v>
      </c>
      <c r="D29" s="1" t="s">
        <v>200</v>
      </c>
      <c r="E29" s="1" t="s">
        <v>201</v>
      </c>
      <c r="F29" s="1" t="s">
        <v>183</v>
      </c>
      <c r="G29" s="3">
        <v>433</v>
      </c>
      <c r="H29" s="4">
        <v>61</v>
      </c>
      <c r="I29" s="5">
        <v>4637.43</v>
      </c>
      <c r="J29" s="5">
        <v>0</v>
      </c>
      <c r="K29" s="1" t="s">
        <v>36</v>
      </c>
      <c r="L29" s="1" t="s">
        <v>51</v>
      </c>
      <c r="M29" s="1" t="s">
        <v>51</v>
      </c>
      <c r="N29" s="3">
        <v>433</v>
      </c>
      <c r="O29" s="6">
        <f>Table1[[#This Row],[Invoice Qty]]-Table1[[#This Row],[ExFactory Qty]]</f>
        <v>0</v>
      </c>
      <c r="P29" s="1" t="s">
        <v>202</v>
      </c>
      <c r="Q29" s="2">
        <v>46267</v>
      </c>
      <c r="R29" s="2">
        <v>46266</v>
      </c>
      <c r="S29" s="1" t="s">
        <v>39</v>
      </c>
      <c r="U29" s="1" t="s">
        <v>40</v>
      </c>
      <c r="V29" s="1" t="s">
        <v>185</v>
      </c>
      <c r="W29" s="1" t="s">
        <v>40</v>
      </c>
      <c r="X29" s="1" t="s">
        <v>40</v>
      </c>
      <c r="AA29" s="1" t="s">
        <v>203</v>
      </c>
      <c r="AB29" s="2">
        <v>46266</v>
      </c>
      <c r="AC29" s="2">
        <v>46266</v>
      </c>
      <c r="AE29" s="1" t="s">
        <v>40</v>
      </c>
      <c r="AF29" s="1" t="s">
        <v>43</v>
      </c>
    </row>
    <row r="30" spans="1:32" ht="12.75" hidden="1" customHeight="1" x14ac:dyDescent="0.2">
      <c r="A30" s="1" t="s">
        <v>30</v>
      </c>
      <c r="B30" s="1" t="s">
        <v>204</v>
      </c>
      <c r="C30" s="1" t="s">
        <v>199</v>
      </c>
      <c r="D30" s="1" t="s">
        <v>200</v>
      </c>
      <c r="E30" s="1" t="s">
        <v>205</v>
      </c>
      <c r="F30" s="1" t="s">
        <v>206</v>
      </c>
      <c r="G30" s="3">
        <v>225</v>
      </c>
      <c r="H30" s="4">
        <v>26</v>
      </c>
      <c r="I30" s="5">
        <v>2409.75</v>
      </c>
      <c r="J30" s="5">
        <v>0</v>
      </c>
      <c r="K30" s="1" t="s">
        <v>36</v>
      </c>
      <c r="L30" s="1" t="s">
        <v>51</v>
      </c>
      <c r="M30" s="1" t="s">
        <v>51</v>
      </c>
      <c r="N30" s="3">
        <v>225</v>
      </c>
      <c r="O30" s="6">
        <f>Table1[[#This Row],[Invoice Qty]]-Table1[[#This Row],[ExFactory Qty]]</f>
        <v>0</v>
      </c>
      <c r="P30" s="1" t="s">
        <v>202</v>
      </c>
      <c r="Q30" s="2">
        <v>46267</v>
      </c>
      <c r="R30" s="2">
        <v>46271</v>
      </c>
      <c r="S30" s="1" t="s">
        <v>39</v>
      </c>
      <c r="U30" s="1" t="s">
        <v>40</v>
      </c>
      <c r="V30" s="1" t="s">
        <v>185</v>
      </c>
      <c r="W30" s="1" t="s">
        <v>40</v>
      </c>
      <c r="X30" s="1" t="s">
        <v>40</v>
      </c>
      <c r="AA30" s="1" t="s">
        <v>207</v>
      </c>
      <c r="AB30" s="2">
        <v>46266</v>
      </c>
      <c r="AC30" s="2">
        <v>46266</v>
      </c>
      <c r="AE30" s="1" t="s">
        <v>40</v>
      </c>
      <c r="AF30" s="1" t="s">
        <v>43</v>
      </c>
    </row>
    <row r="31" spans="1:32" ht="12.75" hidden="1" customHeight="1" x14ac:dyDescent="0.2">
      <c r="A31" s="1" t="s">
        <v>30</v>
      </c>
      <c r="B31" s="1" t="s">
        <v>208</v>
      </c>
      <c r="C31" s="1" t="s">
        <v>138</v>
      </c>
      <c r="D31" s="1" t="s">
        <v>139</v>
      </c>
      <c r="E31" s="1" t="s">
        <v>209</v>
      </c>
      <c r="F31" s="1" t="s">
        <v>124</v>
      </c>
      <c r="G31" s="3">
        <v>227</v>
      </c>
      <c r="H31" s="4">
        <v>25</v>
      </c>
      <c r="I31" s="5">
        <v>1286.47</v>
      </c>
      <c r="J31" s="5">
        <v>0</v>
      </c>
      <c r="K31" s="1" t="s">
        <v>36</v>
      </c>
      <c r="L31" s="1" t="s">
        <v>51</v>
      </c>
      <c r="M31" s="1" t="s">
        <v>51</v>
      </c>
      <c r="N31" s="3">
        <v>227</v>
      </c>
      <c r="O31" s="6">
        <f>Table1[[#This Row],[Invoice Qty]]-Table1[[#This Row],[ExFactory Qty]]</f>
        <v>0</v>
      </c>
      <c r="P31" s="1" t="s">
        <v>141</v>
      </c>
      <c r="Q31" s="2">
        <v>46266</v>
      </c>
      <c r="R31" s="2">
        <v>46274</v>
      </c>
      <c r="S31" s="1" t="s">
        <v>39</v>
      </c>
      <c r="U31" s="1" t="s">
        <v>40</v>
      </c>
      <c r="V31" s="1" t="s">
        <v>55</v>
      </c>
      <c r="W31" s="1" t="s">
        <v>40</v>
      </c>
      <c r="X31" s="1" t="s">
        <v>40</v>
      </c>
      <c r="AA31" s="1" t="s">
        <v>210</v>
      </c>
      <c r="AB31" s="2">
        <v>46266</v>
      </c>
      <c r="AC31" s="2">
        <v>46266</v>
      </c>
      <c r="AE31" s="1" t="s">
        <v>40</v>
      </c>
      <c r="AF31" s="1" t="s">
        <v>144</v>
      </c>
    </row>
    <row r="32" spans="1:32" ht="12.75" hidden="1" customHeight="1" x14ac:dyDescent="0.2">
      <c r="A32" s="1" t="s">
        <v>30</v>
      </c>
      <c r="B32" s="1" t="s">
        <v>211</v>
      </c>
      <c r="C32" s="1" t="s">
        <v>212</v>
      </c>
      <c r="D32" s="1" t="s">
        <v>213</v>
      </c>
      <c r="E32" s="1" t="s">
        <v>214</v>
      </c>
      <c r="F32" s="1" t="s">
        <v>124</v>
      </c>
      <c r="G32" s="3">
        <v>800</v>
      </c>
      <c r="H32" s="4">
        <v>800</v>
      </c>
      <c r="I32" s="5">
        <v>10362.32</v>
      </c>
      <c r="J32" s="5">
        <v>0</v>
      </c>
      <c r="K32" s="1" t="s">
        <v>36</v>
      </c>
      <c r="L32" s="1" t="s">
        <v>37</v>
      </c>
      <c r="M32" s="1" t="s">
        <v>37</v>
      </c>
      <c r="N32" s="3">
        <v>800</v>
      </c>
      <c r="O32" s="6">
        <f>Table1[[#This Row],[Invoice Qty]]-Table1[[#This Row],[ExFactory Qty]]</f>
        <v>0</v>
      </c>
      <c r="P32" s="1" t="s">
        <v>215</v>
      </c>
      <c r="Q32" s="2">
        <v>46266.637395833299</v>
      </c>
      <c r="R32" s="2">
        <v>46284</v>
      </c>
      <c r="S32" s="1" t="s">
        <v>39</v>
      </c>
      <c r="U32" s="1" t="s">
        <v>40</v>
      </c>
      <c r="V32" s="1" t="s">
        <v>64</v>
      </c>
      <c r="W32" s="1" t="s">
        <v>40</v>
      </c>
      <c r="X32" s="1" t="s">
        <v>40</v>
      </c>
      <c r="AA32" s="1" t="s">
        <v>216</v>
      </c>
      <c r="AB32" s="2">
        <v>46267</v>
      </c>
      <c r="AC32" s="2">
        <v>46266</v>
      </c>
      <c r="AE32" s="1" t="s">
        <v>40</v>
      </c>
      <c r="AF32" s="1" t="s">
        <v>174</v>
      </c>
    </row>
    <row r="33" spans="1:33" ht="12.75" hidden="1" customHeight="1" x14ac:dyDescent="0.2">
      <c r="A33" s="1" t="s">
        <v>111</v>
      </c>
      <c r="B33" s="1" t="s">
        <v>217</v>
      </c>
      <c r="C33" s="1" t="s">
        <v>160</v>
      </c>
      <c r="D33" s="1" t="s">
        <v>161</v>
      </c>
      <c r="E33" s="1" t="s">
        <v>218</v>
      </c>
      <c r="F33" s="1" t="s">
        <v>219</v>
      </c>
      <c r="G33" s="3">
        <v>1626</v>
      </c>
      <c r="H33" s="4">
        <v>92</v>
      </c>
      <c r="I33" s="5">
        <v>10246.89</v>
      </c>
      <c r="J33" s="5">
        <v>539.30999999999995</v>
      </c>
      <c r="K33" s="1" t="s">
        <v>36</v>
      </c>
      <c r="L33" s="1" t="s">
        <v>37</v>
      </c>
      <c r="M33" s="1" t="s">
        <v>37</v>
      </c>
      <c r="N33" s="3">
        <v>1626</v>
      </c>
      <c r="O33" s="6">
        <f>Table1[[#This Row],[Invoice Qty]]-Table1[[#This Row],[ExFactory Qty]]</f>
        <v>0</v>
      </c>
      <c r="P33" s="1" t="s">
        <v>220</v>
      </c>
      <c r="Q33" s="2">
        <v>46268</v>
      </c>
      <c r="R33" s="2">
        <v>46275</v>
      </c>
      <c r="S33" s="1" t="s">
        <v>53</v>
      </c>
      <c r="T33" s="2">
        <v>46295</v>
      </c>
      <c r="U33" s="1" t="s">
        <v>165</v>
      </c>
      <c r="V33" s="1" t="s">
        <v>41</v>
      </c>
      <c r="W33" s="1" t="s">
        <v>40</v>
      </c>
      <c r="X33" s="1" t="s">
        <v>40</v>
      </c>
      <c r="AA33" s="1" t="s">
        <v>221</v>
      </c>
      <c r="AB33" s="2">
        <v>46267</v>
      </c>
      <c r="AC33" s="2">
        <v>46266</v>
      </c>
      <c r="AE33" s="1" t="s">
        <v>40</v>
      </c>
      <c r="AF33" s="1" t="s">
        <v>167</v>
      </c>
    </row>
    <row r="34" spans="1:33" ht="12.75" hidden="1" customHeight="1" x14ac:dyDescent="0.2">
      <c r="A34" s="1" t="s">
        <v>111</v>
      </c>
      <c r="B34" s="1" t="s">
        <v>222</v>
      </c>
      <c r="C34" s="1" t="s">
        <v>160</v>
      </c>
      <c r="D34" s="1" t="s">
        <v>161</v>
      </c>
      <c r="E34" s="1" t="s">
        <v>223</v>
      </c>
      <c r="F34" s="1" t="s">
        <v>224</v>
      </c>
      <c r="G34" s="3">
        <v>1422</v>
      </c>
      <c r="H34" s="4">
        <v>42</v>
      </c>
      <c r="I34" s="5">
        <v>9591.39</v>
      </c>
      <c r="J34" s="5">
        <v>504.81</v>
      </c>
      <c r="K34" s="1" t="s">
        <v>36</v>
      </c>
      <c r="L34" s="1" t="s">
        <v>37</v>
      </c>
      <c r="M34" s="1" t="s">
        <v>37</v>
      </c>
      <c r="N34" s="3">
        <v>1422</v>
      </c>
      <c r="O34" s="6">
        <f>Table1[[#This Row],[Invoice Qty]]-Table1[[#This Row],[ExFactory Qty]]</f>
        <v>0</v>
      </c>
      <c r="P34" s="1" t="s">
        <v>220</v>
      </c>
      <c r="Q34" s="2">
        <v>46268</v>
      </c>
      <c r="R34" s="2">
        <v>46275</v>
      </c>
      <c r="S34" s="1" t="s">
        <v>53</v>
      </c>
      <c r="T34" s="2">
        <v>46295</v>
      </c>
      <c r="U34" s="1" t="s">
        <v>165</v>
      </c>
      <c r="V34" s="1" t="s">
        <v>41</v>
      </c>
      <c r="W34" s="1" t="s">
        <v>40</v>
      </c>
      <c r="X34" s="1" t="s">
        <v>40</v>
      </c>
      <c r="AA34" s="1" t="s">
        <v>225</v>
      </c>
      <c r="AB34" s="2">
        <v>46267</v>
      </c>
      <c r="AC34" s="2">
        <v>46266</v>
      </c>
      <c r="AE34" s="1" t="s">
        <v>40</v>
      </c>
      <c r="AF34" s="1" t="s">
        <v>167</v>
      </c>
    </row>
    <row r="35" spans="1:33" ht="12.75" hidden="1" customHeight="1" x14ac:dyDescent="0.2">
      <c r="A35" s="1" t="s">
        <v>30</v>
      </c>
      <c r="B35" s="1" t="s">
        <v>226</v>
      </c>
      <c r="C35" s="1" t="s">
        <v>227</v>
      </c>
      <c r="D35" s="1" t="s">
        <v>228</v>
      </c>
      <c r="E35" s="1" t="s">
        <v>229</v>
      </c>
      <c r="F35" s="1" t="s">
        <v>230</v>
      </c>
      <c r="G35" s="3">
        <v>5862</v>
      </c>
      <c r="H35" s="4">
        <v>135</v>
      </c>
      <c r="I35" s="5">
        <v>46602.9</v>
      </c>
      <c r="J35" s="5">
        <v>0</v>
      </c>
      <c r="K35" s="1" t="s">
        <v>36</v>
      </c>
      <c r="L35" s="1" t="s">
        <v>75</v>
      </c>
      <c r="M35" s="1" t="s">
        <v>75</v>
      </c>
      <c r="N35" s="3">
        <v>5862</v>
      </c>
      <c r="O35" s="6">
        <f>Table1[[#This Row],[Invoice Qty]]-Table1[[#This Row],[ExFactory Qty]]</f>
        <v>0</v>
      </c>
      <c r="P35" s="1" t="s">
        <v>231</v>
      </c>
      <c r="Q35" s="2">
        <v>46270.554375</v>
      </c>
      <c r="R35" s="2">
        <v>46273</v>
      </c>
      <c r="S35" s="1" t="s">
        <v>39</v>
      </c>
      <c r="U35" s="1" t="s">
        <v>40</v>
      </c>
      <c r="V35" s="1" t="s">
        <v>64</v>
      </c>
      <c r="W35" s="1" t="s">
        <v>40</v>
      </c>
      <c r="X35" s="1" t="s">
        <v>40</v>
      </c>
      <c r="Z35" s="2">
        <v>46271</v>
      </c>
      <c r="AA35" s="1" t="s">
        <v>232</v>
      </c>
      <c r="AB35" s="2">
        <v>46267</v>
      </c>
      <c r="AC35" s="2">
        <v>46266</v>
      </c>
      <c r="AD35" s="2">
        <v>46271</v>
      </c>
      <c r="AE35" s="1" t="s">
        <v>233</v>
      </c>
      <c r="AF35" s="1" t="s">
        <v>234</v>
      </c>
    </row>
    <row r="36" spans="1:33" ht="12.75" hidden="1" customHeight="1" x14ac:dyDescent="0.2">
      <c r="A36" s="1" t="s">
        <v>30</v>
      </c>
      <c r="B36" s="1" t="s">
        <v>235</v>
      </c>
      <c r="C36" s="1" t="s">
        <v>32</v>
      </c>
      <c r="D36" s="1" t="s">
        <v>33</v>
      </c>
      <c r="E36" s="1" t="s">
        <v>236</v>
      </c>
      <c r="F36" s="1" t="s">
        <v>35</v>
      </c>
      <c r="G36" s="3">
        <v>2001</v>
      </c>
      <c r="H36" s="4">
        <v>27</v>
      </c>
      <c r="I36" s="5">
        <v>5802.9</v>
      </c>
      <c r="J36" s="5">
        <v>0</v>
      </c>
      <c r="K36" s="1" t="s">
        <v>36</v>
      </c>
      <c r="L36" s="1" t="s">
        <v>37</v>
      </c>
      <c r="M36" s="1" t="s">
        <v>37</v>
      </c>
      <c r="N36" s="3">
        <v>2001</v>
      </c>
      <c r="O36" s="6">
        <f>Table1[[#This Row],[Invoice Qty]]-Table1[[#This Row],[ExFactory Qty]]</f>
        <v>0</v>
      </c>
      <c r="P36" s="1" t="s">
        <v>237</v>
      </c>
      <c r="Q36" s="2">
        <v>46275.7583564815</v>
      </c>
      <c r="R36" s="2">
        <v>46288</v>
      </c>
      <c r="S36" s="1" t="s">
        <v>39</v>
      </c>
      <c r="U36" s="1" t="s">
        <v>40</v>
      </c>
      <c r="V36" s="1" t="s">
        <v>41</v>
      </c>
      <c r="W36" s="1" t="s">
        <v>40</v>
      </c>
      <c r="X36" s="1" t="s">
        <v>40</v>
      </c>
      <c r="AA36" s="1" t="s">
        <v>238</v>
      </c>
      <c r="AB36" s="2">
        <v>46267</v>
      </c>
      <c r="AC36" s="2">
        <v>46267</v>
      </c>
      <c r="AE36" s="1" t="s">
        <v>40</v>
      </c>
      <c r="AF36" s="1" t="s">
        <v>43</v>
      </c>
    </row>
    <row r="37" spans="1:33" ht="12.75" hidden="1" customHeight="1" x14ac:dyDescent="0.2">
      <c r="A37" s="1" t="s">
        <v>30</v>
      </c>
      <c r="B37" s="1" t="s">
        <v>239</v>
      </c>
      <c r="C37" s="1" t="s">
        <v>32</v>
      </c>
      <c r="D37" s="1" t="s">
        <v>33</v>
      </c>
      <c r="E37" s="1" t="s">
        <v>240</v>
      </c>
      <c r="F37" s="1" t="s">
        <v>35</v>
      </c>
      <c r="G37" s="3">
        <v>8528</v>
      </c>
      <c r="H37" s="4">
        <v>178</v>
      </c>
      <c r="I37" s="5">
        <v>27545.439999999999</v>
      </c>
      <c r="J37" s="5">
        <v>0</v>
      </c>
      <c r="K37" s="1" t="s">
        <v>36</v>
      </c>
      <c r="L37" s="1" t="s">
        <v>37</v>
      </c>
      <c r="M37" s="1" t="s">
        <v>37</v>
      </c>
      <c r="N37" s="3">
        <v>8528</v>
      </c>
      <c r="O37" s="6">
        <f>Table1[[#This Row],[Invoice Qty]]-Table1[[#This Row],[ExFactory Qty]]</f>
        <v>0</v>
      </c>
      <c r="P37" s="1" t="s">
        <v>241</v>
      </c>
      <c r="Q37" s="2">
        <v>46274.7206365741</v>
      </c>
      <c r="R37" s="2">
        <v>46288</v>
      </c>
      <c r="S37" s="1" t="s">
        <v>39</v>
      </c>
      <c r="U37" s="1" t="s">
        <v>40</v>
      </c>
      <c r="V37" s="1" t="s">
        <v>41</v>
      </c>
      <c r="W37" s="1" t="s">
        <v>40</v>
      </c>
      <c r="X37" s="1" t="s">
        <v>40</v>
      </c>
      <c r="AA37" s="1" t="s">
        <v>242</v>
      </c>
      <c r="AB37" s="2">
        <v>46274</v>
      </c>
      <c r="AC37" s="2">
        <v>46267</v>
      </c>
      <c r="AE37" s="1" t="s">
        <v>40</v>
      </c>
      <c r="AF37" s="1" t="s">
        <v>43</v>
      </c>
    </row>
    <row r="38" spans="1:33" ht="12.75" hidden="1" customHeight="1" x14ac:dyDescent="0.2">
      <c r="A38" s="1" t="s">
        <v>30</v>
      </c>
      <c r="B38" s="1" t="s">
        <v>243</v>
      </c>
      <c r="C38" s="1" t="s">
        <v>244</v>
      </c>
      <c r="D38" s="1" t="s">
        <v>245</v>
      </c>
      <c r="E38" s="1" t="s">
        <v>246</v>
      </c>
      <c r="F38" s="1" t="s">
        <v>183</v>
      </c>
      <c r="G38" s="3">
        <v>5000</v>
      </c>
      <c r="H38" s="4">
        <v>500</v>
      </c>
      <c r="I38" s="5">
        <v>11125.75</v>
      </c>
      <c r="J38" s="5">
        <v>524.25</v>
      </c>
      <c r="K38" s="1" t="s">
        <v>36</v>
      </c>
      <c r="L38" s="1" t="s">
        <v>51</v>
      </c>
      <c r="M38" s="1" t="s">
        <v>247</v>
      </c>
      <c r="N38" s="3">
        <v>5000</v>
      </c>
      <c r="O38" s="6">
        <f>Table1[[#This Row],[Invoice Qty]]-Table1[[#This Row],[ExFactory Qty]]</f>
        <v>0</v>
      </c>
      <c r="P38" s="1" t="s">
        <v>248</v>
      </c>
      <c r="Q38" s="2">
        <v>46267.697638888902</v>
      </c>
      <c r="R38" s="2">
        <v>46281</v>
      </c>
      <c r="S38" s="1" t="s">
        <v>39</v>
      </c>
      <c r="U38" s="1" t="s">
        <v>40</v>
      </c>
      <c r="V38" s="1" t="s">
        <v>55</v>
      </c>
      <c r="W38" s="1" t="s">
        <v>40</v>
      </c>
      <c r="X38" s="1" t="s">
        <v>40</v>
      </c>
      <c r="AA38" s="1" t="s">
        <v>249</v>
      </c>
      <c r="AB38" s="2">
        <v>46267</v>
      </c>
      <c r="AC38" s="2">
        <v>46267</v>
      </c>
      <c r="AD38" s="2">
        <v>46272</v>
      </c>
      <c r="AE38" s="1" t="s">
        <v>250</v>
      </c>
      <c r="AF38" s="1" t="s">
        <v>174</v>
      </c>
    </row>
    <row r="39" spans="1:33" ht="12.75" hidden="1" customHeight="1" x14ac:dyDescent="0.2">
      <c r="A39" s="1" t="s">
        <v>44</v>
      </c>
      <c r="B39" s="1" t="s">
        <v>251</v>
      </c>
      <c r="C39" s="1" t="s">
        <v>244</v>
      </c>
      <c r="D39" s="1" t="s">
        <v>245</v>
      </c>
      <c r="E39" s="1" t="s">
        <v>246</v>
      </c>
      <c r="F39" s="1" t="s">
        <v>252</v>
      </c>
      <c r="G39" s="3">
        <v>1150</v>
      </c>
      <c r="H39" s="4">
        <v>115</v>
      </c>
      <c r="I39" s="5">
        <v>2675</v>
      </c>
      <c r="J39" s="5">
        <v>4.5</v>
      </c>
      <c r="K39" s="1" t="s">
        <v>36</v>
      </c>
      <c r="L39" s="1" t="s">
        <v>51</v>
      </c>
      <c r="M39" s="1" t="s">
        <v>247</v>
      </c>
      <c r="N39" s="3">
        <v>1150</v>
      </c>
      <c r="O39" s="6">
        <f>Table1[[#This Row],[Invoice Qty]]-Table1[[#This Row],[ExFactory Qty]]</f>
        <v>0</v>
      </c>
      <c r="P39" s="1" t="s">
        <v>248</v>
      </c>
      <c r="Q39" s="2">
        <v>46267.697638888902</v>
      </c>
      <c r="R39" s="2">
        <v>46153</v>
      </c>
      <c r="S39" s="1" t="s">
        <v>53</v>
      </c>
      <c r="T39" s="2">
        <v>46288</v>
      </c>
      <c r="U39" s="1" t="s">
        <v>253</v>
      </c>
      <c r="V39" s="1" t="s">
        <v>55</v>
      </c>
      <c r="W39" s="1" t="s">
        <v>254</v>
      </c>
      <c r="X39" s="1" t="s">
        <v>101</v>
      </c>
      <c r="Y39" s="5">
        <v>2675</v>
      </c>
      <c r="Z39" s="2">
        <v>46280</v>
      </c>
      <c r="AA39" s="1" t="s">
        <v>255</v>
      </c>
      <c r="AB39" s="2">
        <v>46267</v>
      </c>
      <c r="AC39" s="2">
        <v>46267</v>
      </c>
      <c r="AD39" s="2">
        <v>46272</v>
      </c>
      <c r="AE39" s="1" t="s">
        <v>256</v>
      </c>
      <c r="AF39" s="1" t="s">
        <v>174</v>
      </c>
    </row>
    <row r="40" spans="1:33" ht="12.75" hidden="1" customHeight="1" x14ac:dyDescent="0.2">
      <c r="A40" s="1" t="s">
        <v>44</v>
      </c>
      <c r="B40" s="1" t="s">
        <v>257</v>
      </c>
      <c r="C40" s="1" t="s">
        <v>244</v>
      </c>
      <c r="D40" s="1" t="s">
        <v>245</v>
      </c>
      <c r="E40" s="1" t="s">
        <v>246</v>
      </c>
      <c r="F40" s="1" t="s">
        <v>258</v>
      </c>
      <c r="G40" s="3">
        <v>8910</v>
      </c>
      <c r="H40" s="4">
        <v>891</v>
      </c>
      <c r="I40" s="5">
        <v>19826.09</v>
      </c>
      <c r="J40" s="5">
        <v>934.21</v>
      </c>
      <c r="K40" s="1" t="s">
        <v>36</v>
      </c>
      <c r="L40" s="1" t="s">
        <v>51</v>
      </c>
      <c r="M40" s="1" t="s">
        <v>247</v>
      </c>
      <c r="N40" s="3">
        <v>8910</v>
      </c>
      <c r="O40" s="6">
        <f>Table1[[#This Row],[Invoice Qty]]-Table1[[#This Row],[ExFactory Qty]]</f>
        <v>0</v>
      </c>
      <c r="P40" s="1" t="s">
        <v>248</v>
      </c>
      <c r="Q40" s="2">
        <v>46267.697638888902</v>
      </c>
      <c r="R40" s="2">
        <v>46280</v>
      </c>
      <c r="S40" s="1" t="s">
        <v>53</v>
      </c>
      <c r="T40" s="2">
        <v>46288</v>
      </c>
      <c r="U40" s="1" t="s">
        <v>253</v>
      </c>
      <c r="V40" s="1" t="s">
        <v>55</v>
      </c>
      <c r="W40" s="1" t="s">
        <v>254</v>
      </c>
      <c r="X40" s="1" t="s">
        <v>101</v>
      </c>
      <c r="Y40" s="5">
        <v>19826.09</v>
      </c>
      <c r="AA40" s="1" t="s">
        <v>259</v>
      </c>
      <c r="AB40" s="2">
        <v>46267</v>
      </c>
      <c r="AC40" s="2">
        <v>46267</v>
      </c>
      <c r="AD40" s="2">
        <v>46272</v>
      </c>
      <c r="AE40" s="1" t="s">
        <v>260</v>
      </c>
      <c r="AF40" s="1" t="s">
        <v>174</v>
      </c>
    </row>
    <row r="41" spans="1:33" ht="12.75" hidden="1" customHeight="1" x14ac:dyDescent="0.2">
      <c r="A41" s="1" t="s">
        <v>30</v>
      </c>
      <c r="B41" s="1" t="s">
        <v>261</v>
      </c>
      <c r="C41" s="1" t="s">
        <v>244</v>
      </c>
      <c r="D41" s="1" t="s">
        <v>245</v>
      </c>
      <c r="E41" s="1" t="s">
        <v>246</v>
      </c>
      <c r="F41" s="1" t="s">
        <v>262</v>
      </c>
      <c r="G41" s="3">
        <v>1360</v>
      </c>
      <c r="H41" s="4">
        <v>136</v>
      </c>
      <c r="I41" s="5">
        <v>3026.2</v>
      </c>
      <c r="J41" s="5">
        <v>142.6</v>
      </c>
      <c r="K41" s="1" t="s">
        <v>36</v>
      </c>
      <c r="L41" s="1" t="s">
        <v>51</v>
      </c>
      <c r="M41" s="1" t="s">
        <v>247</v>
      </c>
      <c r="N41" s="3">
        <v>1360</v>
      </c>
      <c r="O41" s="6">
        <f>Table1[[#This Row],[Invoice Qty]]-Table1[[#This Row],[ExFactory Qty]]</f>
        <v>0</v>
      </c>
      <c r="P41" s="1" t="s">
        <v>248</v>
      </c>
      <c r="Q41" s="2">
        <v>46267.697638888902</v>
      </c>
      <c r="R41" s="2">
        <v>46276</v>
      </c>
      <c r="S41" s="1" t="s">
        <v>39</v>
      </c>
      <c r="U41" s="1" t="s">
        <v>40</v>
      </c>
      <c r="V41" s="1" t="s">
        <v>55</v>
      </c>
      <c r="W41" s="1" t="s">
        <v>40</v>
      </c>
      <c r="X41" s="1" t="s">
        <v>40</v>
      </c>
      <c r="Z41" s="2">
        <v>46276</v>
      </c>
      <c r="AA41" s="1" t="s">
        <v>263</v>
      </c>
      <c r="AB41" s="2">
        <v>46267</v>
      </c>
      <c r="AC41" s="2">
        <v>46267</v>
      </c>
      <c r="AD41" s="2">
        <v>46272</v>
      </c>
      <c r="AE41" s="1" t="s">
        <v>264</v>
      </c>
      <c r="AF41" s="1" t="s">
        <v>174</v>
      </c>
    </row>
    <row r="42" spans="1:33" ht="12.75" hidden="1" customHeight="1" x14ac:dyDescent="0.2">
      <c r="A42" s="1" t="s">
        <v>44</v>
      </c>
      <c r="B42" s="1" t="s">
        <v>265</v>
      </c>
      <c r="C42" s="1" t="s">
        <v>244</v>
      </c>
      <c r="D42" s="1" t="s">
        <v>245</v>
      </c>
      <c r="E42" s="1" t="s">
        <v>246</v>
      </c>
      <c r="F42" s="1" t="s">
        <v>252</v>
      </c>
      <c r="G42" s="3">
        <v>4000</v>
      </c>
      <c r="H42" s="4">
        <v>400</v>
      </c>
      <c r="I42" s="5">
        <v>8900.6</v>
      </c>
      <c r="J42" s="5">
        <v>419.4</v>
      </c>
      <c r="K42" s="1" t="s">
        <v>36</v>
      </c>
      <c r="L42" s="1" t="s">
        <v>51</v>
      </c>
      <c r="M42" s="1" t="s">
        <v>247</v>
      </c>
      <c r="N42" s="3">
        <v>4000</v>
      </c>
      <c r="O42" s="6">
        <f>Table1[[#This Row],[Invoice Qty]]-Table1[[#This Row],[ExFactory Qty]]</f>
        <v>0</v>
      </c>
      <c r="P42" s="1" t="s">
        <v>248</v>
      </c>
      <c r="Q42" s="2">
        <v>46267.697638888902</v>
      </c>
      <c r="R42" s="2">
        <v>46280</v>
      </c>
      <c r="S42" s="1" t="s">
        <v>53</v>
      </c>
      <c r="T42" s="2">
        <v>46288</v>
      </c>
      <c r="U42" s="1" t="s">
        <v>253</v>
      </c>
      <c r="V42" s="1" t="s">
        <v>55</v>
      </c>
      <c r="W42" s="1" t="s">
        <v>254</v>
      </c>
      <c r="X42" s="1" t="s">
        <v>101</v>
      </c>
      <c r="Y42" s="5">
        <v>8900.6</v>
      </c>
      <c r="AA42" s="1" t="s">
        <v>266</v>
      </c>
      <c r="AB42" s="2">
        <v>46267</v>
      </c>
      <c r="AC42" s="2">
        <v>46267</v>
      </c>
      <c r="AD42" s="2">
        <v>46272</v>
      </c>
      <c r="AE42" s="1" t="s">
        <v>267</v>
      </c>
      <c r="AF42" s="1" t="s">
        <v>174</v>
      </c>
    </row>
    <row r="43" spans="1:33" ht="12.75" hidden="1" customHeight="1" x14ac:dyDescent="0.2">
      <c r="A43" s="1" t="s">
        <v>44</v>
      </c>
      <c r="B43" s="1" t="s">
        <v>268</v>
      </c>
      <c r="C43" s="1" t="s">
        <v>244</v>
      </c>
      <c r="D43" s="1" t="s">
        <v>245</v>
      </c>
      <c r="E43" s="1" t="s">
        <v>246</v>
      </c>
      <c r="F43" s="1" t="s">
        <v>269</v>
      </c>
      <c r="G43" s="3">
        <v>510</v>
      </c>
      <c r="H43" s="4">
        <v>51</v>
      </c>
      <c r="I43" s="5">
        <v>1134.83</v>
      </c>
      <c r="J43" s="5">
        <v>53.47</v>
      </c>
      <c r="K43" s="1" t="s">
        <v>36</v>
      </c>
      <c r="L43" s="1" t="s">
        <v>51</v>
      </c>
      <c r="M43" s="1" t="s">
        <v>247</v>
      </c>
      <c r="N43" s="3">
        <v>510</v>
      </c>
      <c r="O43" s="6">
        <f>Table1[[#This Row],[Invoice Qty]]-Table1[[#This Row],[ExFactory Qty]]</f>
        <v>0</v>
      </c>
      <c r="P43" s="1" t="s">
        <v>248</v>
      </c>
      <c r="Q43" s="2">
        <v>46267.697638888902</v>
      </c>
      <c r="R43" s="2">
        <v>46276</v>
      </c>
      <c r="S43" s="1" t="s">
        <v>53</v>
      </c>
      <c r="T43" s="2">
        <v>46288</v>
      </c>
      <c r="U43" s="1" t="s">
        <v>253</v>
      </c>
      <c r="V43" s="1" t="s">
        <v>55</v>
      </c>
      <c r="W43" s="1" t="s">
        <v>254</v>
      </c>
      <c r="X43" s="1" t="s">
        <v>101</v>
      </c>
      <c r="Y43" s="5">
        <v>1134.83</v>
      </c>
      <c r="Z43" s="2">
        <v>46276</v>
      </c>
      <c r="AA43" s="1" t="s">
        <v>270</v>
      </c>
      <c r="AB43" s="2">
        <v>46267</v>
      </c>
      <c r="AC43" s="2">
        <v>46267</v>
      </c>
      <c r="AD43" s="2">
        <v>46272</v>
      </c>
      <c r="AE43" s="1" t="s">
        <v>271</v>
      </c>
      <c r="AF43" s="1" t="s">
        <v>174</v>
      </c>
    </row>
    <row r="44" spans="1:33" ht="12.75" hidden="1" customHeight="1" x14ac:dyDescent="0.2">
      <c r="A44" s="1" t="s">
        <v>30</v>
      </c>
      <c r="B44" s="1" t="s">
        <v>272</v>
      </c>
      <c r="C44" s="1" t="s">
        <v>60</v>
      </c>
      <c r="D44" s="1" t="s">
        <v>61</v>
      </c>
      <c r="E44" s="1" t="s">
        <v>273</v>
      </c>
      <c r="F44" s="1" t="s">
        <v>49</v>
      </c>
      <c r="G44" s="3">
        <v>2867</v>
      </c>
      <c r="H44" s="4">
        <v>88</v>
      </c>
      <c r="I44" s="5">
        <v>3497.74</v>
      </c>
      <c r="J44" s="5">
        <v>0</v>
      </c>
      <c r="K44" s="1" t="s">
        <v>36</v>
      </c>
      <c r="L44" s="1" t="s">
        <v>37</v>
      </c>
      <c r="M44" s="1" t="s">
        <v>37</v>
      </c>
      <c r="N44" s="3">
        <v>2867</v>
      </c>
      <c r="O44" s="6">
        <f>Table1[[#This Row],[Invoice Qty]]-Table1[[#This Row],[ExFactory Qty]]</f>
        <v>0</v>
      </c>
      <c r="P44" s="1" t="s">
        <v>274</v>
      </c>
      <c r="Q44" s="2">
        <v>46267.417500000003</v>
      </c>
      <c r="R44" s="2">
        <v>46277</v>
      </c>
      <c r="S44" s="1" t="s">
        <v>39</v>
      </c>
      <c r="U44" s="1" t="s">
        <v>40</v>
      </c>
      <c r="V44" s="1" t="s">
        <v>64</v>
      </c>
      <c r="W44" s="1" t="s">
        <v>40</v>
      </c>
      <c r="X44" s="1" t="s">
        <v>40</v>
      </c>
      <c r="AA44" s="1" t="s">
        <v>275</v>
      </c>
      <c r="AB44" s="2">
        <v>46267</v>
      </c>
      <c r="AC44" s="2">
        <v>46267</v>
      </c>
      <c r="AE44" s="1" t="s">
        <v>40</v>
      </c>
      <c r="AF44" s="1" t="s">
        <v>43</v>
      </c>
    </row>
    <row r="45" spans="1:33" ht="12.75" hidden="1" customHeight="1" x14ac:dyDescent="0.2">
      <c r="A45" s="1" t="s">
        <v>30</v>
      </c>
      <c r="B45" s="1" t="s">
        <v>276</v>
      </c>
      <c r="C45" s="1" t="s">
        <v>169</v>
      </c>
      <c r="D45" s="1" t="s">
        <v>277</v>
      </c>
      <c r="E45" s="1" t="s">
        <v>278</v>
      </c>
      <c r="F45" s="1" t="s">
        <v>124</v>
      </c>
      <c r="G45" s="3">
        <v>2015</v>
      </c>
      <c r="H45" s="4">
        <v>287</v>
      </c>
      <c r="I45" s="5">
        <v>12320.21</v>
      </c>
      <c r="J45" s="5">
        <v>6419.89</v>
      </c>
      <c r="K45" s="1" t="s">
        <v>36</v>
      </c>
      <c r="L45" s="1" t="s">
        <v>51</v>
      </c>
      <c r="M45" s="1" t="s">
        <v>247</v>
      </c>
      <c r="N45" s="3">
        <v>2015</v>
      </c>
      <c r="O45" s="6">
        <f>Table1[[#This Row],[Invoice Qty]]-Table1[[#This Row],[ExFactory Qty]]</f>
        <v>0</v>
      </c>
      <c r="P45" s="1" t="s">
        <v>279</v>
      </c>
      <c r="Q45" s="2">
        <v>46267.694826388899</v>
      </c>
      <c r="R45" s="2">
        <v>46267</v>
      </c>
      <c r="S45" s="1" t="s">
        <v>39</v>
      </c>
      <c r="U45" s="1" t="s">
        <v>40</v>
      </c>
      <c r="V45" s="1" t="s">
        <v>55</v>
      </c>
      <c r="W45" s="1" t="s">
        <v>40</v>
      </c>
      <c r="X45" s="1" t="s">
        <v>40</v>
      </c>
      <c r="AA45" s="1" t="s">
        <v>280</v>
      </c>
      <c r="AB45" s="2">
        <v>46268</v>
      </c>
      <c r="AC45" s="2">
        <v>46267</v>
      </c>
      <c r="AE45" s="1" t="s">
        <v>40</v>
      </c>
      <c r="AF45" s="1" t="s">
        <v>43</v>
      </c>
    </row>
    <row r="46" spans="1:33" ht="12.75" hidden="1" customHeight="1" x14ac:dyDescent="0.2">
      <c r="A46" s="1" t="s">
        <v>86</v>
      </c>
      <c r="B46" s="1" t="s">
        <v>281</v>
      </c>
      <c r="C46" s="1" t="s">
        <v>282</v>
      </c>
      <c r="D46" s="1" t="s">
        <v>283</v>
      </c>
      <c r="E46" s="1" t="s">
        <v>284</v>
      </c>
      <c r="F46" s="1" t="s">
        <v>285</v>
      </c>
      <c r="G46" s="3">
        <v>9300</v>
      </c>
      <c r="H46" s="4">
        <v>3100</v>
      </c>
      <c r="I46" s="5">
        <v>49662</v>
      </c>
      <c r="J46" s="5">
        <v>0</v>
      </c>
      <c r="K46" s="1" t="s">
        <v>36</v>
      </c>
      <c r="L46" s="1" t="s">
        <v>37</v>
      </c>
      <c r="M46" s="1" t="s">
        <v>37</v>
      </c>
      <c r="N46" s="3">
        <v>9300</v>
      </c>
      <c r="O46" s="6">
        <f>Table1[[#This Row],[Invoice Qty]]-Table1[[#This Row],[ExFactory Qty]]</f>
        <v>0</v>
      </c>
      <c r="P46" s="1" t="s">
        <v>286</v>
      </c>
      <c r="Q46" s="2">
        <v>46271.743101851898</v>
      </c>
      <c r="S46" s="1" t="s">
        <v>39</v>
      </c>
      <c r="U46" s="1" t="s">
        <v>40</v>
      </c>
      <c r="V46" s="1" t="s">
        <v>64</v>
      </c>
      <c r="W46" s="1" t="s">
        <v>40</v>
      </c>
      <c r="X46" s="1" t="s">
        <v>40</v>
      </c>
      <c r="AA46" s="1" t="s">
        <v>287</v>
      </c>
      <c r="AB46" s="2">
        <v>46272</v>
      </c>
      <c r="AC46" s="2">
        <v>46267</v>
      </c>
      <c r="AE46" s="1" t="s">
        <v>40</v>
      </c>
      <c r="AF46" s="1" t="s">
        <v>43</v>
      </c>
    </row>
    <row r="47" spans="1:33" ht="12.75" hidden="1" customHeight="1" x14ac:dyDescent="0.2">
      <c r="A47" s="1" t="s">
        <v>111</v>
      </c>
      <c r="B47" s="1" t="s">
        <v>288</v>
      </c>
      <c r="C47" s="1" t="s">
        <v>160</v>
      </c>
      <c r="D47" s="1" t="s">
        <v>161</v>
      </c>
      <c r="E47" s="1" t="s">
        <v>289</v>
      </c>
      <c r="F47" s="1" t="s">
        <v>219</v>
      </c>
      <c r="G47" s="3">
        <v>1080</v>
      </c>
      <c r="H47" s="4">
        <v>18</v>
      </c>
      <c r="I47" s="5">
        <v>5643</v>
      </c>
      <c r="J47" s="5">
        <v>297</v>
      </c>
      <c r="K47" s="1" t="s">
        <v>36</v>
      </c>
      <c r="L47" s="1" t="s">
        <v>37</v>
      </c>
      <c r="M47" s="1" t="s">
        <v>37</v>
      </c>
      <c r="N47" s="3">
        <v>1080</v>
      </c>
      <c r="O47" s="6">
        <f>Table1[[#This Row],[Invoice Qty]]-Table1[[#This Row],[ExFactory Qty]]</f>
        <v>0</v>
      </c>
      <c r="P47" s="1" t="s">
        <v>220</v>
      </c>
      <c r="Q47" s="2">
        <v>46268</v>
      </c>
      <c r="R47" s="2">
        <v>46275</v>
      </c>
      <c r="S47" s="1" t="s">
        <v>53</v>
      </c>
      <c r="T47" s="2">
        <v>46295</v>
      </c>
      <c r="U47" s="1" t="s">
        <v>165</v>
      </c>
      <c r="V47" s="1" t="s">
        <v>41</v>
      </c>
      <c r="W47" s="1" t="s">
        <v>40</v>
      </c>
      <c r="X47" s="1" t="s">
        <v>40</v>
      </c>
      <c r="AA47" s="1" t="s">
        <v>290</v>
      </c>
      <c r="AB47" s="2">
        <v>46267</v>
      </c>
      <c r="AC47" s="2">
        <v>46267</v>
      </c>
      <c r="AE47" s="1" t="s">
        <v>40</v>
      </c>
      <c r="AF47" s="1" t="s">
        <v>167</v>
      </c>
    </row>
    <row r="48" spans="1:33" ht="12.75" customHeight="1" x14ac:dyDescent="0.25">
      <c r="A48" s="1" t="s">
        <v>86</v>
      </c>
      <c r="B48" s="1">
        <v>2610021</v>
      </c>
      <c r="C48" s="1" t="s">
        <v>291</v>
      </c>
      <c r="D48" s="1" t="s">
        <v>292</v>
      </c>
      <c r="E48" s="1" t="s">
        <v>293</v>
      </c>
      <c r="F48" s="1" t="s">
        <v>124</v>
      </c>
      <c r="G48" s="3">
        <v>2624</v>
      </c>
      <c r="H48" s="4">
        <v>302</v>
      </c>
      <c r="I48" s="5">
        <v>17987.599999999999</v>
      </c>
      <c r="J48" s="5">
        <v>0</v>
      </c>
      <c r="K48" s="1" t="s">
        <v>36</v>
      </c>
      <c r="L48" s="1" t="s">
        <v>51</v>
      </c>
      <c r="M48" s="1" t="s">
        <v>51</v>
      </c>
      <c r="N48" s="3">
        <v>2101</v>
      </c>
      <c r="O48" s="6">
        <f>Table1[[#This Row],[Invoice Qty]]-Table1[[#This Row],[ExFactory Qty]]</f>
        <v>523</v>
      </c>
      <c r="P48" s="1" t="s">
        <v>294</v>
      </c>
      <c r="Q48" s="2">
        <v>46278.799398148098</v>
      </c>
      <c r="S48" s="1" t="s">
        <v>39</v>
      </c>
      <c r="U48" s="1" t="s">
        <v>40</v>
      </c>
      <c r="V48" s="1" t="s">
        <v>55</v>
      </c>
      <c r="W48" s="1" t="s">
        <v>40</v>
      </c>
      <c r="X48" s="1" t="s">
        <v>40</v>
      </c>
      <c r="AA48" s="1" t="s">
        <v>295</v>
      </c>
      <c r="AB48" s="2">
        <v>46267</v>
      </c>
      <c r="AC48" s="2">
        <v>46267</v>
      </c>
      <c r="AE48" s="1" t="s">
        <v>40</v>
      </c>
      <c r="AF48" s="1" t="s">
        <v>296</v>
      </c>
      <c r="AG48" s="9">
        <v>2624</v>
      </c>
    </row>
    <row r="49" spans="1:33" ht="12.75" customHeight="1" x14ac:dyDescent="0.25">
      <c r="A49" s="1" t="s">
        <v>86</v>
      </c>
      <c r="B49" s="1">
        <v>2610022</v>
      </c>
      <c r="C49" s="1" t="s">
        <v>291</v>
      </c>
      <c r="D49" s="1" t="s">
        <v>292</v>
      </c>
      <c r="E49" s="1" t="s">
        <v>297</v>
      </c>
      <c r="F49" s="1" t="s">
        <v>124</v>
      </c>
      <c r="G49" s="3">
        <v>2659</v>
      </c>
      <c r="H49" s="4">
        <v>306</v>
      </c>
      <c r="I49" s="5">
        <v>18228.25</v>
      </c>
      <c r="J49" s="5">
        <v>0</v>
      </c>
      <c r="K49" s="1" t="s">
        <v>36</v>
      </c>
      <c r="L49" s="1" t="s">
        <v>51</v>
      </c>
      <c r="M49" s="1" t="s">
        <v>51</v>
      </c>
      <c r="N49" s="3">
        <v>2103</v>
      </c>
      <c r="O49" s="6">
        <f>Table1[[#This Row],[Invoice Qty]]-Table1[[#This Row],[ExFactory Qty]]</f>
        <v>556</v>
      </c>
      <c r="P49" s="8" t="s">
        <v>298</v>
      </c>
      <c r="Q49" s="2">
        <v>46278.799398148098</v>
      </c>
      <c r="S49" s="1" t="s">
        <v>39</v>
      </c>
      <c r="U49" s="1" t="s">
        <v>40</v>
      </c>
      <c r="V49" s="1" t="s">
        <v>55</v>
      </c>
      <c r="W49" s="1" t="s">
        <v>40</v>
      </c>
      <c r="X49" s="1" t="s">
        <v>40</v>
      </c>
      <c r="AA49" s="1" t="s">
        <v>299</v>
      </c>
      <c r="AB49" s="2">
        <v>46267</v>
      </c>
      <c r="AC49" s="2">
        <v>46267</v>
      </c>
      <c r="AE49" s="1" t="s">
        <v>40</v>
      </c>
      <c r="AF49" s="1" t="s">
        <v>296</v>
      </c>
      <c r="AG49" s="9">
        <v>2659</v>
      </c>
    </row>
    <row r="50" spans="1:33" ht="12.75" hidden="1" customHeight="1" x14ac:dyDescent="0.2">
      <c r="A50" s="1" t="s">
        <v>30</v>
      </c>
      <c r="B50" s="1" t="s">
        <v>300</v>
      </c>
      <c r="C50" s="1" t="s">
        <v>291</v>
      </c>
      <c r="D50" s="1" t="s">
        <v>292</v>
      </c>
      <c r="E50" s="1" t="s">
        <v>301</v>
      </c>
      <c r="F50" s="1" t="s">
        <v>124</v>
      </c>
      <c r="G50" s="3">
        <v>1225</v>
      </c>
      <c r="H50" s="4">
        <v>51</v>
      </c>
      <c r="I50" s="5">
        <v>8162.6</v>
      </c>
      <c r="J50" s="5">
        <v>0</v>
      </c>
      <c r="K50" s="1" t="s">
        <v>149</v>
      </c>
      <c r="L50" s="1" t="s">
        <v>51</v>
      </c>
      <c r="M50" s="1" t="s">
        <v>247</v>
      </c>
      <c r="N50" s="3">
        <v>1225</v>
      </c>
      <c r="O50" s="6">
        <f>Table1[[#This Row],[Invoice Qty]]-Table1[[#This Row],[ExFactory Qty]]</f>
        <v>0</v>
      </c>
      <c r="P50" s="1" t="s">
        <v>302</v>
      </c>
      <c r="Q50" s="2">
        <v>46267.696111111101</v>
      </c>
      <c r="R50" s="2">
        <v>46276</v>
      </c>
      <c r="S50" s="1" t="s">
        <v>39</v>
      </c>
      <c r="U50" s="1" t="s">
        <v>40</v>
      </c>
      <c r="V50" s="1" t="s">
        <v>55</v>
      </c>
      <c r="W50" s="1" t="s">
        <v>40</v>
      </c>
      <c r="X50" s="1" t="s">
        <v>40</v>
      </c>
      <c r="AA50" s="1" t="s">
        <v>303</v>
      </c>
      <c r="AB50" s="2">
        <v>46267</v>
      </c>
      <c r="AC50" s="2">
        <v>46267</v>
      </c>
      <c r="AD50" s="2">
        <v>46270</v>
      </c>
      <c r="AE50" s="1" t="s">
        <v>304</v>
      </c>
      <c r="AF50" s="1" t="s">
        <v>296</v>
      </c>
    </row>
    <row r="51" spans="1:33" ht="12.75" hidden="1" customHeight="1" x14ac:dyDescent="0.2">
      <c r="A51" s="1" t="s">
        <v>86</v>
      </c>
      <c r="B51" s="1" t="s">
        <v>305</v>
      </c>
      <c r="C51" s="1" t="s">
        <v>291</v>
      </c>
      <c r="D51" s="1" t="s">
        <v>292</v>
      </c>
      <c r="E51" s="1" t="s">
        <v>306</v>
      </c>
      <c r="F51" s="1" t="s">
        <v>124</v>
      </c>
      <c r="G51" s="3">
        <v>3676</v>
      </c>
      <c r="H51" s="4">
        <v>398</v>
      </c>
      <c r="I51" s="5">
        <v>21697.599999999999</v>
      </c>
      <c r="J51" s="5">
        <v>0</v>
      </c>
      <c r="K51" s="1" t="s">
        <v>36</v>
      </c>
      <c r="L51" s="1" t="s">
        <v>51</v>
      </c>
      <c r="M51" s="1" t="s">
        <v>51</v>
      </c>
      <c r="N51" s="3">
        <v>3676</v>
      </c>
      <c r="O51" s="6">
        <f>Table1[[#This Row],[Invoice Qty]]-Table1[[#This Row],[ExFactory Qty]]</f>
        <v>0</v>
      </c>
      <c r="P51" s="1" t="s">
        <v>307</v>
      </c>
      <c r="Q51" s="2">
        <v>46278.395891203698</v>
      </c>
      <c r="S51" s="1" t="s">
        <v>39</v>
      </c>
      <c r="U51" s="1" t="s">
        <v>40</v>
      </c>
      <c r="V51" s="1" t="s">
        <v>55</v>
      </c>
      <c r="W51" s="1" t="s">
        <v>40</v>
      </c>
      <c r="X51" s="1" t="s">
        <v>40</v>
      </c>
      <c r="AA51" s="1" t="s">
        <v>308</v>
      </c>
      <c r="AB51" s="2">
        <v>46267</v>
      </c>
      <c r="AC51" s="2">
        <v>46267</v>
      </c>
      <c r="AE51" s="1" t="s">
        <v>40</v>
      </c>
      <c r="AF51" s="1" t="s">
        <v>296</v>
      </c>
    </row>
    <row r="52" spans="1:33" ht="12.75" hidden="1" customHeight="1" x14ac:dyDescent="0.2">
      <c r="A52" s="1" t="s">
        <v>86</v>
      </c>
      <c r="B52" s="1" t="s">
        <v>309</v>
      </c>
      <c r="C52" s="1" t="s">
        <v>146</v>
      </c>
      <c r="D52" s="1" t="s">
        <v>147</v>
      </c>
      <c r="E52" s="1" t="s">
        <v>310</v>
      </c>
      <c r="F52" s="1" t="s">
        <v>124</v>
      </c>
      <c r="G52" s="3">
        <v>1678</v>
      </c>
      <c r="H52" s="4">
        <v>26</v>
      </c>
      <c r="I52" s="5">
        <v>5914.35</v>
      </c>
      <c r="J52" s="5">
        <v>246.43</v>
      </c>
      <c r="K52" s="1" t="s">
        <v>36</v>
      </c>
      <c r="L52" s="1" t="s">
        <v>37</v>
      </c>
      <c r="M52" s="1" t="s">
        <v>37</v>
      </c>
      <c r="N52" s="3">
        <v>1678</v>
      </c>
      <c r="O52" s="6">
        <f>Table1[[#This Row],[Invoice Qty]]-Table1[[#This Row],[ExFactory Qty]]</f>
        <v>0</v>
      </c>
      <c r="P52" s="1" t="s">
        <v>311</v>
      </c>
      <c r="Q52" s="2">
        <v>46268</v>
      </c>
      <c r="S52" s="1" t="s">
        <v>39</v>
      </c>
      <c r="U52" s="1" t="s">
        <v>40</v>
      </c>
      <c r="V52" s="1" t="s">
        <v>64</v>
      </c>
      <c r="W52" s="1" t="s">
        <v>40</v>
      </c>
      <c r="X52" s="1" t="s">
        <v>40</v>
      </c>
      <c r="AA52" s="1" t="s">
        <v>312</v>
      </c>
      <c r="AB52" s="2">
        <v>46268</v>
      </c>
      <c r="AC52" s="2">
        <v>46268</v>
      </c>
      <c r="AE52" s="1" t="s">
        <v>40</v>
      </c>
      <c r="AF52" s="1" t="s">
        <v>43</v>
      </c>
    </row>
    <row r="53" spans="1:33" ht="12.75" hidden="1" customHeight="1" x14ac:dyDescent="0.2">
      <c r="A53" s="1" t="s">
        <v>30</v>
      </c>
      <c r="B53" s="1" t="s">
        <v>313</v>
      </c>
      <c r="C53" s="1" t="s">
        <v>146</v>
      </c>
      <c r="D53" s="1" t="s">
        <v>147</v>
      </c>
      <c r="E53" s="1" t="s">
        <v>314</v>
      </c>
      <c r="F53" s="1" t="s">
        <v>124</v>
      </c>
      <c r="G53" s="3">
        <v>416</v>
      </c>
      <c r="H53" s="4">
        <v>9</v>
      </c>
      <c r="I53" s="5">
        <v>1752</v>
      </c>
      <c r="J53" s="5">
        <v>73</v>
      </c>
      <c r="K53" s="1" t="s">
        <v>36</v>
      </c>
      <c r="L53" s="1" t="s">
        <v>37</v>
      </c>
      <c r="M53" s="1" t="s">
        <v>37</v>
      </c>
      <c r="N53" s="3">
        <v>416</v>
      </c>
      <c r="O53" s="6">
        <f>Table1[[#This Row],[Invoice Qty]]-Table1[[#This Row],[ExFactory Qty]]</f>
        <v>0</v>
      </c>
      <c r="P53" s="1" t="s">
        <v>311</v>
      </c>
      <c r="Q53" s="2">
        <v>46268</v>
      </c>
      <c r="R53" s="2">
        <v>46287</v>
      </c>
      <c r="S53" s="1" t="s">
        <v>39</v>
      </c>
      <c r="U53" s="1" t="s">
        <v>40</v>
      </c>
      <c r="V53" s="1" t="s">
        <v>64</v>
      </c>
      <c r="W53" s="1" t="s">
        <v>40</v>
      </c>
      <c r="X53" s="1" t="s">
        <v>40</v>
      </c>
      <c r="AA53" s="1" t="s">
        <v>315</v>
      </c>
      <c r="AB53" s="2">
        <v>46268</v>
      </c>
      <c r="AC53" s="2">
        <v>46268</v>
      </c>
      <c r="AE53" s="1" t="s">
        <v>40</v>
      </c>
      <c r="AF53" s="1" t="s">
        <v>43</v>
      </c>
    </row>
    <row r="54" spans="1:33" ht="12.75" hidden="1" customHeight="1" x14ac:dyDescent="0.2">
      <c r="A54" s="1" t="s">
        <v>30</v>
      </c>
      <c r="B54" s="1" t="s">
        <v>316</v>
      </c>
      <c r="C54" s="1" t="s">
        <v>71</v>
      </c>
      <c r="D54" s="1" t="s">
        <v>72</v>
      </c>
      <c r="E54" s="1" t="s">
        <v>317</v>
      </c>
      <c r="F54" s="1" t="s">
        <v>108</v>
      </c>
      <c r="G54" s="3">
        <v>326</v>
      </c>
      <c r="H54" s="4">
        <v>11</v>
      </c>
      <c r="I54" s="5">
        <v>811.74</v>
      </c>
      <c r="J54" s="5">
        <v>0</v>
      </c>
      <c r="K54" s="1" t="s">
        <v>36</v>
      </c>
      <c r="L54" s="1" t="s">
        <v>75</v>
      </c>
      <c r="M54" s="1" t="s">
        <v>51</v>
      </c>
      <c r="N54" s="3">
        <v>326</v>
      </c>
      <c r="O54" s="6">
        <f>Table1[[#This Row],[Invoice Qty]]-Table1[[#This Row],[ExFactory Qty]]</f>
        <v>0</v>
      </c>
      <c r="P54" s="1" t="s">
        <v>109</v>
      </c>
      <c r="Q54" s="2">
        <v>46268.701689814799</v>
      </c>
      <c r="R54" s="2">
        <v>46278</v>
      </c>
      <c r="S54" s="1" t="s">
        <v>39</v>
      </c>
      <c r="U54" s="1" t="s">
        <v>40</v>
      </c>
      <c r="V54" s="1" t="s">
        <v>77</v>
      </c>
      <c r="W54" s="1" t="s">
        <v>40</v>
      </c>
      <c r="X54" s="1" t="s">
        <v>40</v>
      </c>
      <c r="Z54" s="2">
        <v>46279</v>
      </c>
      <c r="AA54" s="1" t="s">
        <v>318</v>
      </c>
      <c r="AB54" s="2">
        <v>46268</v>
      </c>
      <c r="AC54" s="2">
        <v>46268.447025463</v>
      </c>
      <c r="AE54" s="1" t="s">
        <v>40</v>
      </c>
      <c r="AF54" s="1" t="s">
        <v>79</v>
      </c>
    </row>
    <row r="55" spans="1:33" ht="12.75" hidden="1" customHeight="1" x14ac:dyDescent="0.2">
      <c r="A55" s="1" t="s">
        <v>30</v>
      </c>
      <c r="B55" s="1" t="s">
        <v>319</v>
      </c>
      <c r="C55" s="1" t="s">
        <v>71</v>
      </c>
      <c r="D55" s="1" t="s">
        <v>72</v>
      </c>
      <c r="E55" s="1" t="s">
        <v>317</v>
      </c>
      <c r="F55" s="1" t="s">
        <v>320</v>
      </c>
      <c r="G55" s="3">
        <v>75</v>
      </c>
      <c r="H55" s="4">
        <v>2</v>
      </c>
      <c r="I55" s="5">
        <v>186.75</v>
      </c>
      <c r="J55" s="5">
        <v>0</v>
      </c>
      <c r="K55" s="1" t="s">
        <v>36</v>
      </c>
      <c r="L55" s="1" t="s">
        <v>75</v>
      </c>
      <c r="M55" s="1" t="s">
        <v>51</v>
      </c>
      <c r="N55" s="3">
        <v>75</v>
      </c>
      <c r="O55" s="6">
        <f>Table1[[#This Row],[Invoice Qty]]-Table1[[#This Row],[ExFactory Qty]]</f>
        <v>0</v>
      </c>
      <c r="P55" s="1" t="s">
        <v>76</v>
      </c>
      <c r="Q55" s="2">
        <v>46268.372812499998</v>
      </c>
      <c r="R55" s="2">
        <v>46283</v>
      </c>
      <c r="S55" s="1" t="s">
        <v>39</v>
      </c>
      <c r="U55" s="1" t="s">
        <v>40</v>
      </c>
      <c r="V55" s="1" t="s">
        <v>77</v>
      </c>
      <c r="W55" s="1" t="s">
        <v>40</v>
      </c>
      <c r="X55" s="1" t="s">
        <v>40</v>
      </c>
      <c r="Z55" s="2">
        <v>46283</v>
      </c>
      <c r="AA55" s="1" t="s">
        <v>321</v>
      </c>
      <c r="AB55" s="2">
        <v>46268</v>
      </c>
      <c r="AC55" s="2">
        <v>46268.447025463</v>
      </c>
      <c r="AE55" s="1" t="s">
        <v>40</v>
      </c>
      <c r="AF55" s="1" t="s">
        <v>79</v>
      </c>
    </row>
    <row r="56" spans="1:33" ht="12.75" hidden="1" customHeight="1" x14ac:dyDescent="0.2">
      <c r="A56" s="1" t="s">
        <v>30</v>
      </c>
      <c r="B56" s="1" t="s">
        <v>322</v>
      </c>
      <c r="C56" s="1" t="s">
        <v>71</v>
      </c>
      <c r="D56" s="1" t="s">
        <v>323</v>
      </c>
      <c r="E56" s="1" t="s">
        <v>324</v>
      </c>
      <c r="F56" s="1" t="s">
        <v>74</v>
      </c>
      <c r="G56" s="3">
        <v>200</v>
      </c>
      <c r="H56" s="4">
        <v>4</v>
      </c>
      <c r="I56" s="5">
        <v>638</v>
      </c>
      <c r="J56" s="5">
        <v>0</v>
      </c>
      <c r="K56" s="1" t="s">
        <v>36</v>
      </c>
      <c r="L56" s="1" t="s">
        <v>75</v>
      </c>
      <c r="M56" s="1" t="s">
        <v>51</v>
      </c>
      <c r="N56" s="3">
        <v>200</v>
      </c>
      <c r="O56" s="6">
        <f>Table1[[#This Row],[Invoice Qty]]-Table1[[#This Row],[ExFactory Qty]]</f>
        <v>0</v>
      </c>
      <c r="P56" s="1" t="s">
        <v>76</v>
      </c>
      <c r="Q56" s="2">
        <v>46268.372812499998</v>
      </c>
      <c r="R56" s="2">
        <v>46283</v>
      </c>
      <c r="S56" s="1" t="s">
        <v>39</v>
      </c>
      <c r="U56" s="1" t="s">
        <v>40</v>
      </c>
      <c r="V56" s="1" t="s">
        <v>77</v>
      </c>
      <c r="W56" s="1" t="s">
        <v>40</v>
      </c>
      <c r="X56" s="1" t="s">
        <v>40</v>
      </c>
      <c r="Z56" s="2">
        <v>46283</v>
      </c>
      <c r="AA56" s="1" t="s">
        <v>325</v>
      </c>
      <c r="AB56" s="2">
        <v>46268</v>
      </c>
      <c r="AC56" s="2">
        <v>46268</v>
      </c>
      <c r="AE56" s="1" t="s">
        <v>40</v>
      </c>
      <c r="AF56" s="1" t="s">
        <v>326</v>
      </c>
    </row>
    <row r="57" spans="1:33" ht="12.75" hidden="1" customHeight="1" x14ac:dyDescent="0.2">
      <c r="A57" s="1" t="s">
        <v>30</v>
      </c>
      <c r="B57" s="1" t="s">
        <v>327</v>
      </c>
      <c r="C57" s="1" t="s">
        <v>71</v>
      </c>
      <c r="D57" s="1" t="s">
        <v>323</v>
      </c>
      <c r="E57" s="1" t="s">
        <v>328</v>
      </c>
      <c r="F57" s="1" t="s">
        <v>74</v>
      </c>
      <c r="G57" s="3">
        <v>214</v>
      </c>
      <c r="H57" s="4">
        <v>4</v>
      </c>
      <c r="I57" s="5">
        <v>682.66</v>
      </c>
      <c r="J57" s="5">
        <v>0</v>
      </c>
      <c r="K57" s="1" t="s">
        <v>36</v>
      </c>
      <c r="L57" s="1" t="s">
        <v>75</v>
      </c>
      <c r="M57" s="1" t="s">
        <v>51</v>
      </c>
      <c r="N57" s="3">
        <v>214</v>
      </c>
      <c r="O57" s="6">
        <f>Table1[[#This Row],[Invoice Qty]]-Table1[[#This Row],[ExFactory Qty]]</f>
        <v>0</v>
      </c>
      <c r="P57" s="1" t="s">
        <v>76</v>
      </c>
      <c r="Q57" s="2">
        <v>46268.372812499998</v>
      </c>
      <c r="R57" s="2">
        <v>46283</v>
      </c>
      <c r="S57" s="1" t="s">
        <v>39</v>
      </c>
      <c r="U57" s="1" t="s">
        <v>40</v>
      </c>
      <c r="V57" s="1" t="s">
        <v>77</v>
      </c>
      <c r="W57" s="1" t="s">
        <v>40</v>
      </c>
      <c r="X57" s="1" t="s">
        <v>40</v>
      </c>
      <c r="Z57" s="2">
        <v>46283</v>
      </c>
      <c r="AA57" s="1" t="s">
        <v>329</v>
      </c>
      <c r="AB57" s="2">
        <v>46268</v>
      </c>
      <c r="AC57" s="2">
        <v>46268</v>
      </c>
      <c r="AE57" s="1" t="s">
        <v>40</v>
      </c>
      <c r="AF57" s="1" t="s">
        <v>326</v>
      </c>
    </row>
    <row r="58" spans="1:33" ht="12.75" hidden="1" customHeight="1" x14ac:dyDescent="0.2">
      <c r="A58" s="1" t="s">
        <v>30</v>
      </c>
      <c r="B58" s="1" t="s">
        <v>330</v>
      </c>
      <c r="C58" s="1" t="s">
        <v>71</v>
      </c>
      <c r="D58" s="1" t="s">
        <v>323</v>
      </c>
      <c r="E58" s="1" t="s">
        <v>331</v>
      </c>
      <c r="F58" s="1" t="s">
        <v>74</v>
      </c>
      <c r="G58" s="3">
        <v>3768</v>
      </c>
      <c r="H58" s="4">
        <v>44</v>
      </c>
      <c r="I58" s="5">
        <v>11304</v>
      </c>
      <c r="J58" s="5">
        <v>0</v>
      </c>
      <c r="K58" s="1" t="s">
        <v>36</v>
      </c>
      <c r="L58" s="1" t="s">
        <v>75</v>
      </c>
      <c r="M58" s="1" t="s">
        <v>51</v>
      </c>
      <c r="N58" s="3">
        <v>3768</v>
      </c>
      <c r="O58" s="6">
        <f>Table1[[#This Row],[Invoice Qty]]-Table1[[#This Row],[ExFactory Qty]]</f>
        <v>0</v>
      </c>
      <c r="P58" s="1" t="s">
        <v>76</v>
      </c>
      <c r="Q58" s="2">
        <v>46268.372812499998</v>
      </c>
      <c r="R58" s="2">
        <v>46283</v>
      </c>
      <c r="S58" s="1" t="s">
        <v>39</v>
      </c>
      <c r="U58" s="1" t="s">
        <v>40</v>
      </c>
      <c r="V58" s="1" t="s">
        <v>77</v>
      </c>
      <c r="W58" s="1" t="s">
        <v>40</v>
      </c>
      <c r="X58" s="1" t="s">
        <v>40</v>
      </c>
      <c r="Z58" s="2">
        <v>46283</v>
      </c>
      <c r="AA58" s="1" t="s">
        <v>332</v>
      </c>
      <c r="AB58" s="2">
        <v>46268</v>
      </c>
      <c r="AC58" s="2">
        <v>46268</v>
      </c>
      <c r="AE58" s="1" t="s">
        <v>40</v>
      </c>
      <c r="AF58" s="1" t="s">
        <v>326</v>
      </c>
    </row>
    <row r="59" spans="1:33" ht="12.75" hidden="1" customHeight="1" x14ac:dyDescent="0.2">
      <c r="A59" s="1" t="s">
        <v>30</v>
      </c>
      <c r="B59" s="1" t="s">
        <v>333</v>
      </c>
      <c r="C59" s="1" t="s">
        <v>71</v>
      </c>
      <c r="D59" s="1" t="s">
        <v>323</v>
      </c>
      <c r="E59" s="1" t="s">
        <v>334</v>
      </c>
      <c r="F59" s="1" t="s">
        <v>74</v>
      </c>
      <c r="G59" s="3">
        <v>1121</v>
      </c>
      <c r="H59" s="4">
        <v>15</v>
      </c>
      <c r="I59" s="5">
        <v>3295.74</v>
      </c>
      <c r="J59" s="5">
        <v>0</v>
      </c>
      <c r="K59" s="1" t="s">
        <v>36</v>
      </c>
      <c r="L59" s="1" t="s">
        <v>75</v>
      </c>
      <c r="M59" s="1" t="s">
        <v>51</v>
      </c>
      <c r="N59" s="3">
        <v>1121</v>
      </c>
      <c r="O59" s="6">
        <f>Table1[[#This Row],[Invoice Qty]]-Table1[[#This Row],[ExFactory Qty]]</f>
        <v>0</v>
      </c>
      <c r="P59" s="1" t="s">
        <v>76</v>
      </c>
      <c r="Q59" s="2">
        <v>46268.372812499998</v>
      </c>
      <c r="R59" s="2">
        <v>46283</v>
      </c>
      <c r="S59" s="1" t="s">
        <v>39</v>
      </c>
      <c r="U59" s="1" t="s">
        <v>40</v>
      </c>
      <c r="V59" s="1" t="s">
        <v>77</v>
      </c>
      <c r="W59" s="1" t="s">
        <v>40</v>
      </c>
      <c r="X59" s="1" t="s">
        <v>40</v>
      </c>
      <c r="Z59" s="2">
        <v>46283</v>
      </c>
      <c r="AA59" s="1" t="s">
        <v>335</v>
      </c>
      <c r="AB59" s="2">
        <v>46268</v>
      </c>
      <c r="AC59" s="2">
        <v>46268</v>
      </c>
      <c r="AE59" s="1" t="s">
        <v>40</v>
      </c>
      <c r="AF59" s="1" t="s">
        <v>326</v>
      </c>
    </row>
    <row r="60" spans="1:33" ht="12.75" hidden="1" customHeight="1" x14ac:dyDescent="0.2">
      <c r="A60" s="1" t="s">
        <v>30</v>
      </c>
      <c r="B60" s="1" t="s">
        <v>336</v>
      </c>
      <c r="C60" s="1" t="s">
        <v>71</v>
      </c>
      <c r="D60" s="1" t="s">
        <v>323</v>
      </c>
      <c r="E60" s="1" t="s">
        <v>334</v>
      </c>
      <c r="F60" s="1" t="s">
        <v>337</v>
      </c>
      <c r="G60" s="3">
        <v>279</v>
      </c>
      <c r="H60" s="4">
        <v>5</v>
      </c>
      <c r="I60" s="5">
        <v>820.26</v>
      </c>
      <c r="J60" s="5">
        <v>0</v>
      </c>
      <c r="K60" s="1" t="s">
        <v>36</v>
      </c>
      <c r="L60" s="1" t="s">
        <v>75</v>
      </c>
      <c r="M60" s="1" t="s">
        <v>51</v>
      </c>
      <c r="N60" s="3">
        <v>279</v>
      </c>
      <c r="O60" s="6">
        <f>Table1[[#This Row],[Invoice Qty]]-Table1[[#This Row],[ExFactory Qty]]</f>
        <v>0</v>
      </c>
      <c r="P60" s="1" t="s">
        <v>76</v>
      </c>
      <c r="Q60" s="2">
        <v>46268.372812499998</v>
      </c>
      <c r="R60" s="2">
        <v>46280</v>
      </c>
      <c r="S60" s="1" t="s">
        <v>39</v>
      </c>
      <c r="U60" s="1" t="s">
        <v>40</v>
      </c>
      <c r="V60" s="1" t="s">
        <v>77</v>
      </c>
      <c r="W60" s="1" t="s">
        <v>40</v>
      </c>
      <c r="X60" s="1" t="s">
        <v>40</v>
      </c>
      <c r="Z60" s="2">
        <v>46281</v>
      </c>
      <c r="AA60" s="1" t="s">
        <v>338</v>
      </c>
      <c r="AB60" s="2">
        <v>46268</v>
      </c>
      <c r="AC60" s="2">
        <v>46268.447025463</v>
      </c>
      <c r="AE60" s="1" t="s">
        <v>40</v>
      </c>
      <c r="AF60" s="1" t="s">
        <v>326</v>
      </c>
    </row>
    <row r="61" spans="1:33" ht="12.75" hidden="1" customHeight="1" x14ac:dyDescent="0.2">
      <c r="A61" s="1" t="s">
        <v>30</v>
      </c>
      <c r="B61" s="1" t="s">
        <v>339</v>
      </c>
      <c r="C61" s="1" t="s">
        <v>71</v>
      </c>
      <c r="D61" s="1" t="s">
        <v>323</v>
      </c>
      <c r="E61" s="1" t="s">
        <v>340</v>
      </c>
      <c r="F61" s="1" t="s">
        <v>341</v>
      </c>
      <c r="G61" s="3">
        <v>50</v>
      </c>
      <c r="H61" s="4">
        <v>1</v>
      </c>
      <c r="I61" s="5">
        <v>147</v>
      </c>
      <c r="J61" s="5">
        <v>0</v>
      </c>
      <c r="K61" s="1" t="s">
        <v>36</v>
      </c>
      <c r="L61" s="1" t="s">
        <v>75</v>
      </c>
      <c r="M61" s="1" t="s">
        <v>51</v>
      </c>
      <c r="N61" s="3">
        <v>50</v>
      </c>
      <c r="O61" s="6">
        <f>Table1[[#This Row],[Invoice Qty]]-Table1[[#This Row],[ExFactory Qty]]</f>
        <v>0</v>
      </c>
      <c r="P61" s="1" t="s">
        <v>342</v>
      </c>
      <c r="Q61" s="2">
        <v>46268.371608796297</v>
      </c>
      <c r="R61" s="2">
        <v>46276</v>
      </c>
      <c r="S61" s="1" t="s">
        <v>39</v>
      </c>
      <c r="U61" s="1" t="s">
        <v>40</v>
      </c>
      <c r="V61" s="1" t="s">
        <v>77</v>
      </c>
      <c r="W61" s="1" t="s">
        <v>40</v>
      </c>
      <c r="X61" s="1" t="s">
        <v>40</v>
      </c>
      <c r="Z61" s="2">
        <v>46277</v>
      </c>
      <c r="AA61" s="1" t="s">
        <v>343</v>
      </c>
      <c r="AB61" s="2">
        <v>46268</v>
      </c>
      <c r="AC61" s="2">
        <v>46268.447025463</v>
      </c>
      <c r="AE61" s="1" t="s">
        <v>40</v>
      </c>
      <c r="AF61" s="1" t="s">
        <v>326</v>
      </c>
    </row>
    <row r="62" spans="1:33" ht="12.75" hidden="1" customHeight="1" x14ac:dyDescent="0.2">
      <c r="A62" s="1" t="s">
        <v>30</v>
      </c>
      <c r="B62" s="1" t="s">
        <v>344</v>
      </c>
      <c r="C62" s="1" t="s">
        <v>71</v>
      </c>
      <c r="D62" s="1" t="s">
        <v>323</v>
      </c>
      <c r="E62" s="1" t="s">
        <v>340</v>
      </c>
      <c r="F62" s="1" t="s">
        <v>345</v>
      </c>
      <c r="G62" s="3">
        <v>50</v>
      </c>
      <c r="H62" s="4">
        <v>1</v>
      </c>
      <c r="I62" s="5">
        <v>147</v>
      </c>
      <c r="J62" s="5">
        <v>0</v>
      </c>
      <c r="K62" s="1" t="s">
        <v>36</v>
      </c>
      <c r="L62" s="1" t="s">
        <v>75</v>
      </c>
      <c r="M62" s="1" t="s">
        <v>51</v>
      </c>
      <c r="N62" s="3">
        <v>50</v>
      </c>
      <c r="O62" s="6">
        <f>Table1[[#This Row],[Invoice Qty]]-Table1[[#This Row],[ExFactory Qty]]</f>
        <v>0</v>
      </c>
      <c r="P62" s="1" t="s">
        <v>342</v>
      </c>
      <c r="Q62" s="2">
        <v>46268.371608796297</v>
      </c>
      <c r="R62" s="2">
        <v>46274</v>
      </c>
      <c r="S62" s="1" t="s">
        <v>39</v>
      </c>
      <c r="U62" s="1" t="s">
        <v>40</v>
      </c>
      <c r="V62" s="1" t="s">
        <v>77</v>
      </c>
      <c r="W62" s="1" t="s">
        <v>40</v>
      </c>
      <c r="X62" s="1" t="s">
        <v>40</v>
      </c>
      <c r="Z62" s="2">
        <v>46274</v>
      </c>
      <c r="AA62" s="1" t="s">
        <v>346</v>
      </c>
      <c r="AB62" s="2">
        <v>46268</v>
      </c>
      <c r="AC62" s="2">
        <v>46268.447025463</v>
      </c>
      <c r="AE62" s="1" t="s">
        <v>40</v>
      </c>
      <c r="AF62" s="1" t="s">
        <v>326</v>
      </c>
    </row>
    <row r="63" spans="1:33" ht="12.75" hidden="1" customHeight="1" x14ac:dyDescent="0.2">
      <c r="A63" s="1" t="s">
        <v>30</v>
      </c>
      <c r="B63" s="1" t="s">
        <v>347</v>
      </c>
      <c r="C63" s="1" t="s">
        <v>71</v>
      </c>
      <c r="D63" s="1" t="s">
        <v>348</v>
      </c>
      <c r="E63" s="1" t="s">
        <v>349</v>
      </c>
      <c r="F63" s="1" t="s">
        <v>350</v>
      </c>
      <c r="G63" s="3">
        <v>450</v>
      </c>
      <c r="H63" s="4">
        <v>9</v>
      </c>
      <c r="I63" s="5">
        <v>1993.5</v>
      </c>
      <c r="J63" s="5">
        <v>0</v>
      </c>
      <c r="K63" s="1" t="s">
        <v>36</v>
      </c>
      <c r="L63" s="1" t="s">
        <v>75</v>
      </c>
      <c r="M63" s="1" t="s">
        <v>75</v>
      </c>
      <c r="N63" s="3">
        <v>450</v>
      </c>
      <c r="O63" s="6">
        <f>Table1[[#This Row],[Invoice Qty]]-Table1[[#This Row],[ExFactory Qty]]</f>
        <v>0</v>
      </c>
      <c r="P63" s="1" t="s">
        <v>351</v>
      </c>
      <c r="Q63" s="2">
        <v>46268.798912036997</v>
      </c>
      <c r="R63" s="2">
        <v>46274</v>
      </c>
      <c r="S63" s="1" t="s">
        <v>39</v>
      </c>
      <c r="U63" s="1" t="s">
        <v>40</v>
      </c>
      <c r="V63" s="1" t="s">
        <v>77</v>
      </c>
      <c r="W63" s="1" t="s">
        <v>40</v>
      </c>
      <c r="X63" s="1" t="s">
        <v>40</v>
      </c>
      <c r="Z63" s="2">
        <v>46274</v>
      </c>
      <c r="AA63" s="1" t="s">
        <v>352</v>
      </c>
      <c r="AB63" s="2">
        <v>46268</v>
      </c>
      <c r="AC63" s="2">
        <v>46268.447094907402</v>
      </c>
      <c r="AE63" s="1" t="s">
        <v>40</v>
      </c>
      <c r="AF63" s="1" t="s">
        <v>326</v>
      </c>
    </row>
    <row r="64" spans="1:33" ht="12.75" hidden="1" customHeight="1" x14ac:dyDescent="0.2">
      <c r="A64" s="1" t="s">
        <v>30</v>
      </c>
      <c r="B64" s="1" t="s">
        <v>353</v>
      </c>
      <c r="C64" s="1" t="s">
        <v>71</v>
      </c>
      <c r="D64" s="1" t="s">
        <v>348</v>
      </c>
      <c r="E64" s="1" t="s">
        <v>354</v>
      </c>
      <c r="F64" s="1" t="s">
        <v>350</v>
      </c>
      <c r="G64" s="3">
        <v>250</v>
      </c>
      <c r="H64" s="4">
        <v>5</v>
      </c>
      <c r="I64" s="5">
        <v>1167.5</v>
      </c>
      <c r="J64" s="5">
        <v>0</v>
      </c>
      <c r="K64" s="1" t="s">
        <v>36</v>
      </c>
      <c r="L64" s="1" t="s">
        <v>75</v>
      </c>
      <c r="M64" s="1" t="s">
        <v>75</v>
      </c>
      <c r="N64" s="3">
        <v>250</v>
      </c>
      <c r="O64" s="6">
        <f>Table1[[#This Row],[Invoice Qty]]-Table1[[#This Row],[ExFactory Qty]]</f>
        <v>0</v>
      </c>
      <c r="P64" s="1" t="s">
        <v>351</v>
      </c>
      <c r="Q64" s="2">
        <v>46268.798912036997</v>
      </c>
      <c r="R64" s="2">
        <v>46274</v>
      </c>
      <c r="S64" s="1" t="s">
        <v>39</v>
      </c>
      <c r="U64" s="1" t="s">
        <v>40</v>
      </c>
      <c r="V64" s="1" t="s">
        <v>77</v>
      </c>
      <c r="W64" s="1" t="s">
        <v>40</v>
      </c>
      <c r="X64" s="1" t="s">
        <v>40</v>
      </c>
      <c r="Z64" s="2">
        <v>46274</v>
      </c>
      <c r="AA64" s="1" t="s">
        <v>355</v>
      </c>
      <c r="AB64" s="2">
        <v>46268</v>
      </c>
      <c r="AC64" s="2">
        <v>46268.447094907402</v>
      </c>
      <c r="AE64" s="1" t="s">
        <v>40</v>
      </c>
      <c r="AF64" s="1" t="s">
        <v>326</v>
      </c>
    </row>
    <row r="65" spans="1:32" ht="12.75" hidden="1" customHeight="1" x14ac:dyDescent="0.2">
      <c r="A65" s="1" t="s">
        <v>30</v>
      </c>
      <c r="B65" s="1" t="s">
        <v>356</v>
      </c>
      <c r="C65" s="1" t="s">
        <v>71</v>
      </c>
      <c r="D65" s="1" t="s">
        <v>323</v>
      </c>
      <c r="E65" s="1" t="s">
        <v>357</v>
      </c>
      <c r="F65" s="1" t="s">
        <v>350</v>
      </c>
      <c r="G65" s="3">
        <v>50</v>
      </c>
      <c r="H65" s="4">
        <v>1</v>
      </c>
      <c r="I65" s="5">
        <v>219</v>
      </c>
      <c r="J65" s="5">
        <v>0</v>
      </c>
      <c r="K65" s="1" t="s">
        <v>36</v>
      </c>
      <c r="L65" s="1" t="s">
        <v>75</v>
      </c>
      <c r="M65" s="1" t="s">
        <v>75</v>
      </c>
      <c r="N65" s="3">
        <v>50</v>
      </c>
      <c r="O65" s="6">
        <f>Table1[[#This Row],[Invoice Qty]]-Table1[[#This Row],[ExFactory Qty]]</f>
        <v>0</v>
      </c>
      <c r="P65" s="1" t="s">
        <v>351</v>
      </c>
      <c r="Q65" s="2">
        <v>46268.798912036997</v>
      </c>
      <c r="R65" s="2">
        <v>46274</v>
      </c>
      <c r="S65" s="1" t="s">
        <v>39</v>
      </c>
      <c r="U65" s="1" t="s">
        <v>40</v>
      </c>
      <c r="V65" s="1" t="s">
        <v>77</v>
      </c>
      <c r="W65" s="1" t="s">
        <v>40</v>
      </c>
      <c r="X65" s="1" t="s">
        <v>40</v>
      </c>
      <c r="Z65" s="2">
        <v>46274</v>
      </c>
      <c r="AA65" s="1" t="s">
        <v>358</v>
      </c>
      <c r="AB65" s="2">
        <v>46268</v>
      </c>
      <c r="AC65" s="2">
        <v>46268.447094907402</v>
      </c>
      <c r="AE65" s="1" t="s">
        <v>40</v>
      </c>
      <c r="AF65" s="1" t="s">
        <v>326</v>
      </c>
    </row>
    <row r="66" spans="1:32" ht="12.75" hidden="1" customHeight="1" x14ac:dyDescent="0.2">
      <c r="A66" s="1" t="s">
        <v>30</v>
      </c>
      <c r="B66" s="1" t="s">
        <v>359</v>
      </c>
      <c r="C66" s="1" t="s">
        <v>71</v>
      </c>
      <c r="D66" s="1" t="s">
        <v>72</v>
      </c>
      <c r="E66" s="1" t="s">
        <v>360</v>
      </c>
      <c r="F66" s="1" t="s">
        <v>361</v>
      </c>
      <c r="G66" s="3">
        <v>131</v>
      </c>
      <c r="H66" s="4">
        <v>2</v>
      </c>
      <c r="I66" s="5">
        <v>470.29</v>
      </c>
      <c r="J66" s="5">
        <v>0</v>
      </c>
      <c r="K66" s="1" t="s">
        <v>36</v>
      </c>
      <c r="L66" s="1" t="s">
        <v>75</v>
      </c>
      <c r="M66" s="1" t="s">
        <v>75</v>
      </c>
      <c r="N66" s="3">
        <v>131</v>
      </c>
      <c r="O66" s="6">
        <f>Table1[[#This Row],[Invoice Qty]]-Table1[[#This Row],[ExFactory Qty]]</f>
        <v>0</v>
      </c>
      <c r="P66" s="1" t="s">
        <v>362</v>
      </c>
      <c r="Q66" s="2">
        <v>46268.503310185202</v>
      </c>
      <c r="R66" s="2">
        <v>46283</v>
      </c>
      <c r="S66" s="1" t="s">
        <v>39</v>
      </c>
      <c r="U66" s="1" t="s">
        <v>40</v>
      </c>
      <c r="V66" s="1" t="s">
        <v>77</v>
      </c>
      <c r="W66" s="1" t="s">
        <v>40</v>
      </c>
      <c r="X66" s="1" t="s">
        <v>40</v>
      </c>
      <c r="Z66" s="2">
        <v>46283</v>
      </c>
      <c r="AA66" s="1" t="s">
        <v>363</v>
      </c>
      <c r="AB66" s="2">
        <v>46268</v>
      </c>
      <c r="AC66" s="2">
        <v>46268.447094907402</v>
      </c>
      <c r="AE66" s="1" t="s">
        <v>40</v>
      </c>
      <c r="AF66" s="1" t="s">
        <v>79</v>
      </c>
    </row>
    <row r="67" spans="1:32" ht="12.75" hidden="1" customHeight="1" x14ac:dyDescent="0.2">
      <c r="A67" s="1" t="s">
        <v>30</v>
      </c>
      <c r="B67" s="1" t="s">
        <v>364</v>
      </c>
      <c r="C67" s="1" t="s">
        <v>71</v>
      </c>
      <c r="D67" s="1" t="s">
        <v>365</v>
      </c>
      <c r="E67" s="1" t="s">
        <v>366</v>
      </c>
      <c r="F67" s="1" t="s">
        <v>367</v>
      </c>
      <c r="G67" s="3">
        <v>40</v>
      </c>
      <c r="H67" s="4">
        <v>1</v>
      </c>
      <c r="I67" s="5">
        <v>230.4</v>
      </c>
      <c r="J67" s="5">
        <v>0</v>
      </c>
      <c r="K67" s="1" t="s">
        <v>36</v>
      </c>
      <c r="L67" s="1" t="s">
        <v>75</v>
      </c>
      <c r="M67" s="1" t="s">
        <v>75</v>
      </c>
      <c r="N67" s="3">
        <v>40</v>
      </c>
      <c r="O67" s="6">
        <f>Table1[[#This Row],[Invoice Qty]]-Table1[[#This Row],[ExFactory Qty]]</f>
        <v>0</v>
      </c>
      <c r="P67" s="1" t="s">
        <v>368</v>
      </c>
      <c r="Q67" s="2">
        <v>46268.713391203702</v>
      </c>
      <c r="R67" s="2">
        <v>46275</v>
      </c>
      <c r="S67" s="1" t="s">
        <v>39</v>
      </c>
      <c r="U67" s="1" t="s">
        <v>40</v>
      </c>
      <c r="V67" s="1" t="s">
        <v>77</v>
      </c>
      <c r="W67" s="1" t="s">
        <v>40</v>
      </c>
      <c r="X67" s="1" t="s">
        <v>40</v>
      </c>
      <c r="Z67" s="2">
        <v>46275</v>
      </c>
      <c r="AA67" s="1" t="s">
        <v>369</v>
      </c>
      <c r="AB67" s="2">
        <v>46268</v>
      </c>
      <c r="AC67" s="2">
        <v>46268.447094907402</v>
      </c>
      <c r="AE67" s="1" t="s">
        <v>40</v>
      </c>
      <c r="AF67" s="1" t="s">
        <v>40</v>
      </c>
    </row>
    <row r="68" spans="1:32" ht="12.75" hidden="1" customHeight="1" x14ac:dyDescent="0.2">
      <c r="A68" s="1" t="s">
        <v>30</v>
      </c>
      <c r="B68" s="1" t="s">
        <v>370</v>
      </c>
      <c r="C68" s="1" t="s">
        <v>71</v>
      </c>
      <c r="D68" s="1" t="s">
        <v>323</v>
      </c>
      <c r="E68" s="1" t="s">
        <v>371</v>
      </c>
      <c r="F68" s="1" t="s">
        <v>372</v>
      </c>
      <c r="G68" s="3">
        <v>200</v>
      </c>
      <c r="H68" s="4">
        <v>6</v>
      </c>
      <c r="I68" s="5">
        <v>674</v>
      </c>
      <c r="J68" s="5">
        <v>0</v>
      </c>
      <c r="K68" s="1" t="s">
        <v>36</v>
      </c>
      <c r="L68" s="1" t="s">
        <v>75</v>
      </c>
      <c r="M68" s="1" t="s">
        <v>75</v>
      </c>
      <c r="N68" s="3">
        <v>200</v>
      </c>
      <c r="O68" s="6">
        <f>Table1[[#This Row],[Invoice Qty]]-Table1[[#This Row],[ExFactory Qty]]</f>
        <v>0</v>
      </c>
      <c r="P68" s="1" t="s">
        <v>368</v>
      </c>
      <c r="Q68" s="2">
        <v>46268.713391203702</v>
      </c>
      <c r="R68" s="2">
        <v>46276</v>
      </c>
      <c r="S68" s="1" t="s">
        <v>39</v>
      </c>
      <c r="U68" s="1" t="s">
        <v>40</v>
      </c>
      <c r="V68" s="1" t="s">
        <v>77</v>
      </c>
      <c r="W68" s="1" t="s">
        <v>40</v>
      </c>
      <c r="X68" s="1" t="s">
        <v>40</v>
      </c>
      <c r="Z68" s="2">
        <v>46277</v>
      </c>
      <c r="AA68" s="1" t="s">
        <v>373</v>
      </c>
      <c r="AB68" s="2">
        <v>46268</v>
      </c>
      <c r="AC68" s="2">
        <v>46268.447094907402</v>
      </c>
      <c r="AE68" s="1" t="s">
        <v>40</v>
      </c>
      <c r="AF68" s="1" t="s">
        <v>326</v>
      </c>
    </row>
    <row r="69" spans="1:32" ht="12.75" hidden="1" customHeight="1" x14ac:dyDescent="0.2">
      <c r="A69" s="1" t="s">
        <v>30</v>
      </c>
      <c r="B69" s="1" t="s">
        <v>374</v>
      </c>
      <c r="C69" s="1" t="s">
        <v>71</v>
      </c>
      <c r="D69" s="1" t="s">
        <v>323</v>
      </c>
      <c r="E69" s="1" t="s">
        <v>375</v>
      </c>
      <c r="F69" s="1" t="s">
        <v>376</v>
      </c>
      <c r="G69" s="3">
        <v>196</v>
      </c>
      <c r="H69" s="4">
        <v>6</v>
      </c>
      <c r="I69" s="5">
        <v>666.4</v>
      </c>
      <c r="J69" s="5">
        <v>0</v>
      </c>
      <c r="K69" s="1" t="s">
        <v>36</v>
      </c>
      <c r="L69" s="1" t="s">
        <v>75</v>
      </c>
      <c r="M69" s="1" t="s">
        <v>75</v>
      </c>
      <c r="N69" s="3">
        <v>196</v>
      </c>
      <c r="O69" s="6">
        <f>Table1[[#This Row],[Invoice Qty]]-Table1[[#This Row],[ExFactory Qty]]</f>
        <v>0</v>
      </c>
      <c r="P69" s="1" t="s">
        <v>351</v>
      </c>
      <c r="Q69" s="2">
        <v>46268.798912036997</v>
      </c>
      <c r="R69" s="2">
        <v>46274</v>
      </c>
      <c r="S69" s="1" t="s">
        <v>39</v>
      </c>
      <c r="U69" s="1" t="s">
        <v>40</v>
      </c>
      <c r="V69" s="1" t="s">
        <v>77</v>
      </c>
      <c r="W69" s="1" t="s">
        <v>40</v>
      </c>
      <c r="X69" s="1" t="s">
        <v>40</v>
      </c>
      <c r="Z69" s="2">
        <v>46274</v>
      </c>
      <c r="AA69" s="1" t="s">
        <v>377</v>
      </c>
      <c r="AB69" s="2">
        <v>46268</v>
      </c>
      <c r="AC69" s="2">
        <v>46268.447094907402</v>
      </c>
      <c r="AE69" s="1" t="s">
        <v>40</v>
      </c>
      <c r="AF69" s="1" t="s">
        <v>326</v>
      </c>
    </row>
    <row r="70" spans="1:32" ht="12.75" hidden="1" customHeight="1" x14ac:dyDescent="0.2">
      <c r="A70" s="1" t="s">
        <v>30</v>
      </c>
      <c r="B70" s="1" t="s">
        <v>378</v>
      </c>
      <c r="C70" s="1" t="s">
        <v>71</v>
      </c>
      <c r="D70" s="1" t="s">
        <v>323</v>
      </c>
      <c r="E70" s="1" t="s">
        <v>375</v>
      </c>
      <c r="F70" s="1" t="s">
        <v>345</v>
      </c>
      <c r="G70" s="3">
        <v>28</v>
      </c>
      <c r="H70" s="4">
        <v>1</v>
      </c>
      <c r="I70" s="5">
        <v>94.36</v>
      </c>
      <c r="J70" s="5">
        <v>0</v>
      </c>
      <c r="K70" s="1" t="s">
        <v>36</v>
      </c>
      <c r="L70" s="1" t="s">
        <v>75</v>
      </c>
      <c r="M70" s="1" t="s">
        <v>75</v>
      </c>
      <c r="N70" s="3">
        <v>28</v>
      </c>
      <c r="O70" s="6">
        <f>Table1[[#This Row],[Invoice Qty]]-Table1[[#This Row],[ExFactory Qty]]</f>
        <v>0</v>
      </c>
      <c r="P70" s="1" t="s">
        <v>351</v>
      </c>
      <c r="Q70" s="2">
        <v>46268.798912036997</v>
      </c>
      <c r="R70" s="2">
        <v>46274</v>
      </c>
      <c r="S70" s="1" t="s">
        <v>39</v>
      </c>
      <c r="U70" s="1" t="s">
        <v>40</v>
      </c>
      <c r="V70" s="1" t="s">
        <v>77</v>
      </c>
      <c r="W70" s="1" t="s">
        <v>40</v>
      </c>
      <c r="X70" s="1" t="s">
        <v>40</v>
      </c>
      <c r="Z70" s="2">
        <v>46277</v>
      </c>
      <c r="AA70" s="1" t="s">
        <v>379</v>
      </c>
      <c r="AB70" s="2">
        <v>46268</v>
      </c>
      <c r="AC70" s="2">
        <v>46268.447094907402</v>
      </c>
      <c r="AE70" s="1" t="s">
        <v>40</v>
      </c>
      <c r="AF70" s="1" t="s">
        <v>326</v>
      </c>
    </row>
    <row r="71" spans="1:32" ht="12.75" hidden="1" customHeight="1" x14ac:dyDescent="0.2">
      <c r="A71" s="1" t="s">
        <v>30</v>
      </c>
      <c r="B71" s="1" t="s">
        <v>380</v>
      </c>
      <c r="C71" s="1" t="s">
        <v>71</v>
      </c>
      <c r="D71" s="1" t="s">
        <v>365</v>
      </c>
      <c r="E71" s="1" t="s">
        <v>381</v>
      </c>
      <c r="F71" s="1" t="s">
        <v>74</v>
      </c>
      <c r="G71" s="3">
        <v>478</v>
      </c>
      <c r="H71" s="4">
        <v>7</v>
      </c>
      <c r="I71" s="5">
        <v>2767.62</v>
      </c>
      <c r="J71" s="5">
        <v>0</v>
      </c>
      <c r="K71" s="1" t="s">
        <v>36</v>
      </c>
      <c r="L71" s="1" t="s">
        <v>75</v>
      </c>
      <c r="M71" s="1" t="s">
        <v>75</v>
      </c>
      <c r="N71" s="3">
        <v>478</v>
      </c>
      <c r="O71" s="6">
        <f>Table1[[#This Row],[Invoice Qty]]-Table1[[#This Row],[ExFactory Qty]]</f>
        <v>0</v>
      </c>
      <c r="P71" s="1" t="s">
        <v>362</v>
      </c>
      <c r="Q71" s="2">
        <v>46268.503310185202</v>
      </c>
      <c r="R71" s="2">
        <v>46283</v>
      </c>
      <c r="S71" s="1" t="s">
        <v>39</v>
      </c>
      <c r="U71" s="1" t="s">
        <v>40</v>
      </c>
      <c r="V71" s="1" t="s">
        <v>77</v>
      </c>
      <c r="W71" s="1" t="s">
        <v>40</v>
      </c>
      <c r="X71" s="1" t="s">
        <v>40</v>
      </c>
      <c r="Z71" s="2">
        <v>46283</v>
      </c>
      <c r="AA71" s="1" t="s">
        <v>382</v>
      </c>
      <c r="AB71" s="2">
        <v>46268</v>
      </c>
      <c r="AC71" s="2">
        <v>46268</v>
      </c>
      <c r="AE71" s="1" t="s">
        <v>40</v>
      </c>
      <c r="AF71" s="1" t="s">
        <v>40</v>
      </c>
    </row>
    <row r="72" spans="1:32" ht="12.75" hidden="1" customHeight="1" x14ac:dyDescent="0.2">
      <c r="A72" s="1" t="s">
        <v>30</v>
      </c>
      <c r="B72" s="1" t="s">
        <v>383</v>
      </c>
      <c r="C72" s="1" t="s">
        <v>71</v>
      </c>
      <c r="D72" s="1" t="s">
        <v>365</v>
      </c>
      <c r="E72" s="1" t="s">
        <v>381</v>
      </c>
      <c r="F72" s="1" t="s">
        <v>384</v>
      </c>
      <c r="G72" s="3">
        <v>1508</v>
      </c>
      <c r="H72" s="4">
        <v>16</v>
      </c>
      <c r="I72" s="5">
        <v>8731.32</v>
      </c>
      <c r="J72" s="5">
        <v>0</v>
      </c>
      <c r="K72" s="1" t="s">
        <v>36</v>
      </c>
      <c r="L72" s="1" t="s">
        <v>75</v>
      </c>
      <c r="M72" s="1" t="s">
        <v>75</v>
      </c>
      <c r="N72" s="3">
        <v>1508</v>
      </c>
      <c r="O72" s="6">
        <f>Table1[[#This Row],[Invoice Qty]]-Table1[[#This Row],[ExFactory Qty]]</f>
        <v>0</v>
      </c>
      <c r="P72" s="1" t="s">
        <v>385</v>
      </c>
      <c r="Q72" s="2">
        <v>46268.796597222201</v>
      </c>
      <c r="R72" s="2">
        <v>46275</v>
      </c>
      <c r="S72" s="1" t="s">
        <v>39</v>
      </c>
      <c r="U72" s="1" t="s">
        <v>40</v>
      </c>
      <c r="V72" s="1" t="s">
        <v>77</v>
      </c>
      <c r="W72" s="1" t="s">
        <v>40</v>
      </c>
      <c r="X72" s="1" t="s">
        <v>40</v>
      </c>
      <c r="Z72" s="2">
        <v>46275</v>
      </c>
      <c r="AA72" s="1" t="s">
        <v>386</v>
      </c>
      <c r="AB72" s="2">
        <v>46268</v>
      </c>
      <c r="AC72" s="2">
        <v>46268.447094907402</v>
      </c>
      <c r="AE72" s="1" t="s">
        <v>40</v>
      </c>
      <c r="AF72" s="1" t="s">
        <v>40</v>
      </c>
    </row>
    <row r="73" spans="1:32" ht="12.75" hidden="1" customHeight="1" x14ac:dyDescent="0.2">
      <c r="A73" s="1" t="s">
        <v>30</v>
      </c>
      <c r="B73" s="1" t="s">
        <v>387</v>
      </c>
      <c r="C73" s="1" t="s">
        <v>71</v>
      </c>
      <c r="D73" s="1" t="s">
        <v>72</v>
      </c>
      <c r="E73" s="1" t="s">
        <v>388</v>
      </c>
      <c r="F73" s="1" t="s">
        <v>345</v>
      </c>
      <c r="G73" s="3">
        <v>29</v>
      </c>
      <c r="H73" s="4">
        <v>1</v>
      </c>
      <c r="I73" s="5">
        <v>78.3</v>
      </c>
      <c r="J73" s="5">
        <v>0</v>
      </c>
      <c r="K73" s="1" t="s">
        <v>36</v>
      </c>
      <c r="L73" s="1" t="s">
        <v>75</v>
      </c>
      <c r="M73" s="1" t="s">
        <v>75</v>
      </c>
      <c r="N73" s="3">
        <v>29</v>
      </c>
      <c r="O73" s="6">
        <f>Table1[[#This Row],[Invoice Qty]]-Table1[[#This Row],[ExFactory Qty]]</f>
        <v>0</v>
      </c>
      <c r="P73" s="1" t="s">
        <v>351</v>
      </c>
      <c r="Q73" s="2">
        <v>46268.798912036997</v>
      </c>
      <c r="R73" s="2">
        <v>46274</v>
      </c>
      <c r="S73" s="1" t="s">
        <v>39</v>
      </c>
      <c r="U73" s="1" t="s">
        <v>40</v>
      </c>
      <c r="V73" s="1" t="s">
        <v>77</v>
      </c>
      <c r="W73" s="1" t="s">
        <v>40</v>
      </c>
      <c r="X73" s="1" t="s">
        <v>40</v>
      </c>
      <c r="Z73" s="2">
        <v>46277</v>
      </c>
      <c r="AA73" s="1" t="s">
        <v>389</v>
      </c>
      <c r="AB73" s="2">
        <v>46268</v>
      </c>
      <c r="AC73" s="2">
        <v>46268.447094907402</v>
      </c>
      <c r="AE73" s="1" t="s">
        <v>40</v>
      </c>
      <c r="AF73" s="1" t="s">
        <v>79</v>
      </c>
    </row>
    <row r="74" spans="1:32" ht="12.75" hidden="1" customHeight="1" x14ac:dyDescent="0.2">
      <c r="A74" s="1" t="s">
        <v>30</v>
      </c>
      <c r="B74" s="1" t="s">
        <v>390</v>
      </c>
      <c r="C74" s="1" t="s">
        <v>71</v>
      </c>
      <c r="D74" s="1" t="s">
        <v>72</v>
      </c>
      <c r="E74" s="1" t="s">
        <v>391</v>
      </c>
      <c r="F74" s="1" t="s">
        <v>341</v>
      </c>
      <c r="G74" s="3">
        <v>64</v>
      </c>
      <c r="H74" s="4">
        <v>1</v>
      </c>
      <c r="I74" s="5">
        <v>152.32</v>
      </c>
      <c r="J74" s="5">
        <v>0</v>
      </c>
      <c r="K74" s="1" t="s">
        <v>36</v>
      </c>
      <c r="L74" s="1" t="s">
        <v>75</v>
      </c>
      <c r="M74" s="1" t="s">
        <v>75</v>
      </c>
      <c r="N74" s="3">
        <v>64</v>
      </c>
      <c r="O74" s="6">
        <f>Table1[[#This Row],[Invoice Qty]]-Table1[[#This Row],[ExFactory Qty]]</f>
        <v>0</v>
      </c>
      <c r="P74" s="1" t="s">
        <v>351</v>
      </c>
      <c r="Q74" s="2">
        <v>46268.798912036997</v>
      </c>
      <c r="R74" s="2">
        <v>46276</v>
      </c>
      <c r="S74" s="1" t="s">
        <v>39</v>
      </c>
      <c r="U74" s="1" t="s">
        <v>40</v>
      </c>
      <c r="V74" s="1" t="s">
        <v>77</v>
      </c>
      <c r="W74" s="1" t="s">
        <v>40</v>
      </c>
      <c r="X74" s="1" t="s">
        <v>40</v>
      </c>
      <c r="Z74" s="2">
        <v>46277</v>
      </c>
      <c r="AA74" s="1" t="s">
        <v>392</v>
      </c>
      <c r="AB74" s="2">
        <v>46268</v>
      </c>
      <c r="AC74" s="2">
        <v>46268.447094907402</v>
      </c>
      <c r="AE74" s="1" t="s">
        <v>40</v>
      </c>
      <c r="AF74" s="1" t="s">
        <v>79</v>
      </c>
    </row>
    <row r="75" spans="1:32" ht="12.75" hidden="1" customHeight="1" x14ac:dyDescent="0.2">
      <c r="A75" s="1" t="s">
        <v>30</v>
      </c>
      <c r="B75" s="1" t="s">
        <v>393</v>
      </c>
      <c r="C75" s="1" t="s">
        <v>71</v>
      </c>
      <c r="D75" s="1" t="s">
        <v>72</v>
      </c>
      <c r="E75" s="1" t="s">
        <v>391</v>
      </c>
      <c r="F75" s="1" t="s">
        <v>367</v>
      </c>
      <c r="G75" s="3">
        <v>828</v>
      </c>
      <c r="H75" s="4">
        <v>12</v>
      </c>
      <c r="I75" s="5">
        <v>1945.8</v>
      </c>
      <c r="J75" s="5">
        <v>0</v>
      </c>
      <c r="K75" s="1" t="s">
        <v>36</v>
      </c>
      <c r="L75" s="1" t="s">
        <v>75</v>
      </c>
      <c r="M75" s="1" t="s">
        <v>75</v>
      </c>
      <c r="N75" s="3">
        <v>828</v>
      </c>
      <c r="O75" s="6">
        <f>Table1[[#This Row],[Invoice Qty]]-Table1[[#This Row],[ExFactory Qty]]</f>
        <v>0</v>
      </c>
      <c r="P75" s="1" t="s">
        <v>368</v>
      </c>
      <c r="Q75" s="2">
        <v>46268.713391203702</v>
      </c>
      <c r="R75" s="2">
        <v>46275</v>
      </c>
      <c r="S75" s="1" t="s">
        <v>39</v>
      </c>
      <c r="U75" s="1" t="s">
        <v>40</v>
      </c>
      <c r="V75" s="1" t="s">
        <v>77</v>
      </c>
      <c r="W75" s="1" t="s">
        <v>40</v>
      </c>
      <c r="X75" s="1" t="s">
        <v>40</v>
      </c>
      <c r="Z75" s="2">
        <v>46275</v>
      </c>
      <c r="AA75" s="1" t="s">
        <v>394</v>
      </c>
      <c r="AB75" s="2">
        <v>46268</v>
      </c>
      <c r="AC75" s="2">
        <v>46268.447094907402</v>
      </c>
      <c r="AE75" s="1" t="s">
        <v>40</v>
      </c>
      <c r="AF75" s="1" t="s">
        <v>79</v>
      </c>
    </row>
    <row r="76" spans="1:32" ht="12.75" hidden="1" customHeight="1" x14ac:dyDescent="0.2">
      <c r="A76" s="1" t="s">
        <v>30</v>
      </c>
      <c r="B76" s="1" t="s">
        <v>395</v>
      </c>
      <c r="C76" s="1" t="s">
        <v>71</v>
      </c>
      <c r="D76" s="1" t="s">
        <v>72</v>
      </c>
      <c r="E76" s="1" t="s">
        <v>391</v>
      </c>
      <c r="F76" s="1" t="s">
        <v>345</v>
      </c>
      <c r="G76" s="3">
        <v>1062</v>
      </c>
      <c r="H76" s="4">
        <v>17</v>
      </c>
      <c r="I76" s="5">
        <v>2527.56</v>
      </c>
      <c r="J76" s="5">
        <v>0</v>
      </c>
      <c r="K76" s="1" t="s">
        <v>36</v>
      </c>
      <c r="L76" s="1" t="s">
        <v>75</v>
      </c>
      <c r="M76" s="1" t="s">
        <v>75</v>
      </c>
      <c r="N76" s="3">
        <v>1062</v>
      </c>
      <c r="O76" s="6">
        <f>Table1[[#This Row],[Invoice Qty]]-Table1[[#This Row],[ExFactory Qty]]</f>
        <v>0</v>
      </c>
      <c r="P76" s="1" t="s">
        <v>351</v>
      </c>
      <c r="Q76" s="2">
        <v>46268.798912036997</v>
      </c>
      <c r="R76" s="2">
        <v>46274</v>
      </c>
      <c r="S76" s="1" t="s">
        <v>39</v>
      </c>
      <c r="U76" s="1" t="s">
        <v>40</v>
      </c>
      <c r="V76" s="1" t="s">
        <v>77</v>
      </c>
      <c r="W76" s="1" t="s">
        <v>40</v>
      </c>
      <c r="X76" s="1" t="s">
        <v>40</v>
      </c>
      <c r="Z76" s="2">
        <v>46274</v>
      </c>
      <c r="AA76" s="1" t="s">
        <v>396</v>
      </c>
      <c r="AB76" s="2">
        <v>46268</v>
      </c>
      <c r="AC76" s="2">
        <v>46268.447094907402</v>
      </c>
      <c r="AE76" s="1" t="s">
        <v>40</v>
      </c>
      <c r="AF76" s="1" t="s">
        <v>79</v>
      </c>
    </row>
    <row r="77" spans="1:32" ht="12.75" hidden="1" customHeight="1" x14ac:dyDescent="0.2">
      <c r="A77" s="1" t="s">
        <v>30</v>
      </c>
      <c r="B77" s="1" t="s">
        <v>397</v>
      </c>
      <c r="C77" s="1" t="s">
        <v>71</v>
      </c>
      <c r="D77" s="1" t="s">
        <v>72</v>
      </c>
      <c r="E77" s="1" t="s">
        <v>391</v>
      </c>
      <c r="F77" s="1" t="s">
        <v>398</v>
      </c>
      <c r="G77" s="3">
        <v>968</v>
      </c>
      <c r="H77" s="4">
        <v>11</v>
      </c>
      <c r="I77" s="5">
        <v>2303.84</v>
      </c>
      <c r="J77" s="5">
        <v>0</v>
      </c>
      <c r="K77" s="1" t="s">
        <v>36</v>
      </c>
      <c r="L77" s="1" t="s">
        <v>75</v>
      </c>
      <c r="M77" s="1" t="s">
        <v>75</v>
      </c>
      <c r="N77" s="3">
        <v>968</v>
      </c>
      <c r="O77" s="6">
        <f>Table1[[#This Row],[Invoice Qty]]-Table1[[#This Row],[ExFactory Qty]]</f>
        <v>0</v>
      </c>
      <c r="P77" s="1" t="s">
        <v>351</v>
      </c>
      <c r="Q77" s="2">
        <v>46268.798912036997</v>
      </c>
      <c r="R77" s="2">
        <v>46278</v>
      </c>
      <c r="S77" s="1" t="s">
        <v>39</v>
      </c>
      <c r="U77" s="1" t="s">
        <v>40</v>
      </c>
      <c r="V77" s="1" t="s">
        <v>77</v>
      </c>
      <c r="W77" s="1" t="s">
        <v>40</v>
      </c>
      <c r="X77" s="1" t="s">
        <v>40</v>
      </c>
      <c r="Z77" s="2">
        <v>46279</v>
      </c>
      <c r="AA77" s="1" t="s">
        <v>399</v>
      </c>
      <c r="AB77" s="2">
        <v>46268</v>
      </c>
      <c r="AC77" s="2">
        <v>46268</v>
      </c>
      <c r="AE77" s="1" t="s">
        <v>40</v>
      </c>
      <c r="AF77" s="1" t="s">
        <v>79</v>
      </c>
    </row>
    <row r="78" spans="1:32" ht="12.75" hidden="1" customHeight="1" x14ac:dyDescent="0.2">
      <c r="A78" s="1" t="s">
        <v>30</v>
      </c>
      <c r="B78" s="1" t="s">
        <v>400</v>
      </c>
      <c r="C78" s="1" t="s">
        <v>71</v>
      </c>
      <c r="D78" s="1" t="s">
        <v>72</v>
      </c>
      <c r="E78" s="1" t="s">
        <v>391</v>
      </c>
      <c r="F78" s="1" t="s">
        <v>361</v>
      </c>
      <c r="G78" s="3">
        <v>529</v>
      </c>
      <c r="H78" s="4">
        <v>9</v>
      </c>
      <c r="I78" s="5">
        <v>1243.1500000000001</v>
      </c>
      <c r="J78" s="5">
        <v>0</v>
      </c>
      <c r="K78" s="1" t="s">
        <v>36</v>
      </c>
      <c r="L78" s="1" t="s">
        <v>75</v>
      </c>
      <c r="M78" s="1" t="s">
        <v>75</v>
      </c>
      <c r="N78" s="3">
        <v>529</v>
      </c>
      <c r="O78" s="6">
        <f>Table1[[#This Row],[Invoice Qty]]-Table1[[#This Row],[ExFactory Qty]]</f>
        <v>0</v>
      </c>
      <c r="P78" s="1" t="s">
        <v>362</v>
      </c>
      <c r="Q78" s="2">
        <v>46268.503310185202</v>
      </c>
      <c r="R78" s="2">
        <v>46283</v>
      </c>
      <c r="S78" s="1" t="s">
        <v>39</v>
      </c>
      <c r="U78" s="1" t="s">
        <v>40</v>
      </c>
      <c r="V78" s="1" t="s">
        <v>77</v>
      </c>
      <c r="W78" s="1" t="s">
        <v>40</v>
      </c>
      <c r="X78" s="1" t="s">
        <v>40</v>
      </c>
      <c r="Z78" s="2">
        <v>46283</v>
      </c>
      <c r="AA78" s="1" t="s">
        <v>401</v>
      </c>
      <c r="AB78" s="2">
        <v>46268</v>
      </c>
      <c r="AC78" s="2">
        <v>46268.447094907402</v>
      </c>
      <c r="AE78" s="1" t="s">
        <v>40</v>
      </c>
      <c r="AF78" s="1" t="s">
        <v>79</v>
      </c>
    </row>
    <row r="79" spans="1:32" ht="12.75" hidden="1" customHeight="1" x14ac:dyDescent="0.2">
      <c r="A79" s="1" t="s">
        <v>30</v>
      </c>
      <c r="B79" s="1" t="s">
        <v>402</v>
      </c>
      <c r="C79" s="1" t="s">
        <v>71</v>
      </c>
      <c r="D79" s="1" t="s">
        <v>72</v>
      </c>
      <c r="E79" s="1" t="s">
        <v>391</v>
      </c>
      <c r="F79" s="1" t="s">
        <v>403</v>
      </c>
      <c r="G79" s="3">
        <v>181</v>
      </c>
      <c r="H79" s="4">
        <v>3</v>
      </c>
      <c r="I79" s="5">
        <v>430.78</v>
      </c>
      <c r="J79" s="5">
        <v>0</v>
      </c>
      <c r="K79" s="1" t="s">
        <v>36</v>
      </c>
      <c r="L79" s="1" t="s">
        <v>75</v>
      </c>
      <c r="M79" s="1" t="s">
        <v>75</v>
      </c>
      <c r="N79" s="3">
        <v>181</v>
      </c>
      <c r="O79" s="6">
        <f>Table1[[#This Row],[Invoice Qty]]-Table1[[#This Row],[ExFactory Qty]]</f>
        <v>0</v>
      </c>
      <c r="P79" s="1" t="s">
        <v>362</v>
      </c>
      <c r="Q79" s="2">
        <v>46268.503310185202</v>
      </c>
      <c r="R79" s="2">
        <v>46278</v>
      </c>
      <c r="S79" s="1" t="s">
        <v>39</v>
      </c>
      <c r="U79" s="1" t="s">
        <v>40</v>
      </c>
      <c r="V79" s="1" t="s">
        <v>77</v>
      </c>
      <c r="W79" s="1" t="s">
        <v>40</v>
      </c>
      <c r="X79" s="1" t="s">
        <v>40</v>
      </c>
      <c r="Z79" s="2">
        <v>46279</v>
      </c>
      <c r="AA79" s="1" t="s">
        <v>404</v>
      </c>
      <c r="AB79" s="2">
        <v>46268</v>
      </c>
      <c r="AC79" s="2">
        <v>46268.447094907402</v>
      </c>
      <c r="AE79" s="1" t="s">
        <v>40</v>
      </c>
      <c r="AF79" s="1" t="s">
        <v>79</v>
      </c>
    </row>
    <row r="80" spans="1:32" ht="12.75" hidden="1" customHeight="1" x14ac:dyDescent="0.2">
      <c r="A80" s="1" t="s">
        <v>30</v>
      </c>
      <c r="B80" s="1" t="s">
        <v>405</v>
      </c>
      <c r="C80" s="1" t="s">
        <v>71</v>
      </c>
      <c r="D80" s="1" t="s">
        <v>72</v>
      </c>
      <c r="E80" s="1" t="s">
        <v>406</v>
      </c>
      <c r="F80" s="1" t="s">
        <v>376</v>
      </c>
      <c r="G80" s="3">
        <v>100</v>
      </c>
      <c r="H80" s="4">
        <v>1</v>
      </c>
      <c r="I80" s="5">
        <v>238</v>
      </c>
      <c r="J80" s="5">
        <v>0</v>
      </c>
      <c r="K80" s="1" t="s">
        <v>36</v>
      </c>
      <c r="L80" s="1" t="s">
        <v>75</v>
      </c>
      <c r="M80" s="1" t="s">
        <v>75</v>
      </c>
      <c r="N80" s="3">
        <v>100</v>
      </c>
      <c r="O80" s="6">
        <f>Table1[[#This Row],[Invoice Qty]]-Table1[[#This Row],[ExFactory Qty]]</f>
        <v>0</v>
      </c>
      <c r="P80" s="1" t="s">
        <v>351</v>
      </c>
      <c r="Q80" s="2">
        <v>46268.798912036997</v>
      </c>
      <c r="R80" s="2">
        <v>46274</v>
      </c>
      <c r="S80" s="1" t="s">
        <v>39</v>
      </c>
      <c r="U80" s="1" t="s">
        <v>40</v>
      </c>
      <c r="V80" s="1" t="s">
        <v>77</v>
      </c>
      <c r="W80" s="1" t="s">
        <v>40</v>
      </c>
      <c r="X80" s="1" t="s">
        <v>40</v>
      </c>
      <c r="Z80" s="2">
        <v>46277</v>
      </c>
      <c r="AA80" s="1" t="s">
        <v>407</v>
      </c>
      <c r="AB80" s="2">
        <v>46268</v>
      </c>
      <c r="AC80" s="2">
        <v>46268.447094907402</v>
      </c>
      <c r="AE80" s="1" t="s">
        <v>40</v>
      </c>
      <c r="AF80" s="1" t="s">
        <v>79</v>
      </c>
    </row>
    <row r="81" spans="1:32" ht="12.75" hidden="1" customHeight="1" x14ac:dyDescent="0.2">
      <c r="A81" s="1" t="s">
        <v>30</v>
      </c>
      <c r="B81" s="1" t="s">
        <v>408</v>
      </c>
      <c r="C81" s="1" t="s">
        <v>71</v>
      </c>
      <c r="D81" s="1" t="s">
        <v>72</v>
      </c>
      <c r="E81" s="1" t="s">
        <v>406</v>
      </c>
      <c r="F81" s="1" t="s">
        <v>345</v>
      </c>
      <c r="G81" s="3">
        <v>35</v>
      </c>
      <c r="H81" s="4">
        <v>1</v>
      </c>
      <c r="I81" s="5">
        <v>82.25</v>
      </c>
      <c r="J81" s="5">
        <v>0</v>
      </c>
      <c r="K81" s="1" t="s">
        <v>36</v>
      </c>
      <c r="L81" s="1" t="s">
        <v>75</v>
      </c>
      <c r="M81" s="1" t="s">
        <v>75</v>
      </c>
      <c r="N81" s="3">
        <v>35</v>
      </c>
      <c r="O81" s="6">
        <f>Table1[[#This Row],[Invoice Qty]]-Table1[[#This Row],[ExFactory Qty]]</f>
        <v>0</v>
      </c>
      <c r="P81" s="1" t="s">
        <v>351</v>
      </c>
      <c r="Q81" s="2">
        <v>46268.798912036997</v>
      </c>
      <c r="R81" s="2">
        <v>46274</v>
      </c>
      <c r="S81" s="1" t="s">
        <v>39</v>
      </c>
      <c r="U81" s="1" t="s">
        <v>40</v>
      </c>
      <c r="V81" s="1" t="s">
        <v>77</v>
      </c>
      <c r="W81" s="1" t="s">
        <v>40</v>
      </c>
      <c r="X81" s="1" t="s">
        <v>40</v>
      </c>
      <c r="Z81" s="2">
        <v>46277</v>
      </c>
      <c r="AA81" s="1" t="s">
        <v>409</v>
      </c>
      <c r="AB81" s="2">
        <v>46268</v>
      </c>
      <c r="AC81" s="2">
        <v>46268.447094907402</v>
      </c>
      <c r="AE81" s="1" t="s">
        <v>40</v>
      </c>
      <c r="AF81" s="1" t="s">
        <v>79</v>
      </c>
    </row>
    <row r="82" spans="1:32" ht="12.75" hidden="1" customHeight="1" x14ac:dyDescent="0.2">
      <c r="A82" s="1" t="s">
        <v>30</v>
      </c>
      <c r="B82" s="1" t="s">
        <v>410</v>
      </c>
      <c r="C82" s="1" t="s">
        <v>71</v>
      </c>
      <c r="D82" s="1" t="s">
        <v>72</v>
      </c>
      <c r="E82" s="1" t="s">
        <v>411</v>
      </c>
      <c r="F82" s="1" t="s">
        <v>341</v>
      </c>
      <c r="G82" s="3">
        <v>91</v>
      </c>
      <c r="H82" s="4">
        <v>1</v>
      </c>
      <c r="I82" s="5">
        <v>216.58</v>
      </c>
      <c r="J82" s="5">
        <v>0</v>
      </c>
      <c r="K82" s="1" t="s">
        <v>36</v>
      </c>
      <c r="L82" s="1" t="s">
        <v>75</v>
      </c>
      <c r="M82" s="1" t="s">
        <v>75</v>
      </c>
      <c r="N82" s="3">
        <v>91</v>
      </c>
      <c r="O82" s="6">
        <f>Table1[[#This Row],[Invoice Qty]]-Table1[[#This Row],[ExFactory Qty]]</f>
        <v>0</v>
      </c>
      <c r="P82" s="1" t="s">
        <v>351</v>
      </c>
      <c r="Q82" s="2">
        <v>46268.798912036997</v>
      </c>
      <c r="R82" s="2">
        <v>46276</v>
      </c>
      <c r="S82" s="1" t="s">
        <v>39</v>
      </c>
      <c r="U82" s="1" t="s">
        <v>40</v>
      </c>
      <c r="V82" s="1" t="s">
        <v>77</v>
      </c>
      <c r="W82" s="1" t="s">
        <v>40</v>
      </c>
      <c r="X82" s="1" t="s">
        <v>40</v>
      </c>
      <c r="Z82" s="2">
        <v>46277</v>
      </c>
      <c r="AA82" s="1" t="s">
        <v>412</v>
      </c>
      <c r="AB82" s="2">
        <v>46268</v>
      </c>
      <c r="AC82" s="2">
        <v>46268.447094907402</v>
      </c>
      <c r="AE82" s="1" t="s">
        <v>40</v>
      </c>
      <c r="AF82" s="1" t="s">
        <v>79</v>
      </c>
    </row>
    <row r="83" spans="1:32" ht="12.75" hidden="1" customHeight="1" x14ac:dyDescent="0.2">
      <c r="A83" s="1" t="s">
        <v>30</v>
      </c>
      <c r="B83" s="1" t="s">
        <v>413</v>
      </c>
      <c r="C83" s="1" t="s">
        <v>71</v>
      </c>
      <c r="D83" s="1" t="s">
        <v>72</v>
      </c>
      <c r="E83" s="1" t="s">
        <v>411</v>
      </c>
      <c r="F83" s="1" t="s">
        <v>367</v>
      </c>
      <c r="G83" s="3">
        <v>64</v>
      </c>
      <c r="H83" s="4">
        <v>1</v>
      </c>
      <c r="I83" s="5">
        <v>150.4</v>
      </c>
      <c r="J83" s="5">
        <v>0</v>
      </c>
      <c r="K83" s="1" t="s">
        <v>36</v>
      </c>
      <c r="L83" s="1" t="s">
        <v>75</v>
      </c>
      <c r="M83" s="1" t="s">
        <v>75</v>
      </c>
      <c r="N83" s="3">
        <v>64</v>
      </c>
      <c r="O83" s="6">
        <f>Table1[[#This Row],[Invoice Qty]]-Table1[[#This Row],[ExFactory Qty]]</f>
        <v>0</v>
      </c>
      <c r="P83" s="1" t="s">
        <v>368</v>
      </c>
      <c r="Q83" s="2">
        <v>46268.713391203702</v>
      </c>
      <c r="R83" s="2">
        <v>46275</v>
      </c>
      <c r="S83" s="1" t="s">
        <v>39</v>
      </c>
      <c r="U83" s="1" t="s">
        <v>40</v>
      </c>
      <c r="V83" s="1" t="s">
        <v>77</v>
      </c>
      <c r="W83" s="1" t="s">
        <v>40</v>
      </c>
      <c r="X83" s="1" t="s">
        <v>40</v>
      </c>
      <c r="Z83" s="2">
        <v>46275</v>
      </c>
      <c r="AA83" s="1" t="s">
        <v>414</v>
      </c>
      <c r="AB83" s="2">
        <v>46268</v>
      </c>
      <c r="AC83" s="2">
        <v>46268.447094907402</v>
      </c>
      <c r="AE83" s="1" t="s">
        <v>40</v>
      </c>
      <c r="AF83" s="1" t="s">
        <v>79</v>
      </c>
    </row>
    <row r="84" spans="1:32" ht="12.75" hidden="1" customHeight="1" x14ac:dyDescent="0.2">
      <c r="A84" s="1" t="s">
        <v>30</v>
      </c>
      <c r="B84" s="1" t="s">
        <v>415</v>
      </c>
      <c r="C84" s="1" t="s">
        <v>71</v>
      </c>
      <c r="D84" s="1" t="s">
        <v>72</v>
      </c>
      <c r="E84" s="1" t="s">
        <v>411</v>
      </c>
      <c r="F84" s="1" t="s">
        <v>345</v>
      </c>
      <c r="G84" s="3">
        <v>187</v>
      </c>
      <c r="H84" s="4">
        <v>3</v>
      </c>
      <c r="I84" s="5">
        <v>445.06</v>
      </c>
      <c r="J84" s="5">
        <v>0</v>
      </c>
      <c r="K84" s="1" t="s">
        <v>36</v>
      </c>
      <c r="L84" s="1" t="s">
        <v>75</v>
      </c>
      <c r="M84" s="1" t="s">
        <v>75</v>
      </c>
      <c r="N84" s="3">
        <v>187</v>
      </c>
      <c r="O84" s="6">
        <f>Table1[[#This Row],[Invoice Qty]]-Table1[[#This Row],[ExFactory Qty]]</f>
        <v>0</v>
      </c>
      <c r="P84" s="1" t="s">
        <v>351</v>
      </c>
      <c r="Q84" s="2">
        <v>46268.798912036997</v>
      </c>
      <c r="R84" s="2">
        <v>46274</v>
      </c>
      <c r="S84" s="1" t="s">
        <v>39</v>
      </c>
      <c r="U84" s="1" t="s">
        <v>40</v>
      </c>
      <c r="V84" s="1" t="s">
        <v>77</v>
      </c>
      <c r="W84" s="1" t="s">
        <v>40</v>
      </c>
      <c r="X84" s="1" t="s">
        <v>40</v>
      </c>
      <c r="Z84" s="2">
        <v>46274</v>
      </c>
      <c r="AA84" s="1" t="s">
        <v>416</v>
      </c>
      <c r="AB84" s="2">
        <v>46268</v>
      </c>
      <c r="AC84" s="2">
        <v>46268.447094907402</v>
      </c>
      <c r="AE84" s="1" t="s">
        <v>40</v>
      </c>
      <c r="AF84" s="1" t="s">
        <v>79</v>
      </c>
    </row>
    <row r="85" spans="1:32" ht="12.75" hidden="1" customHeight="1" x14ac:dyDescent="0.2">
      <c r="A85" s="1" t="s">
        <v>30</v>
      </c>
      <c r="B85" s="1" t="s">
        <v>417</v>
      </c>
      <c r="C85" s="1" t="s">
        <v>71</v>
      </c>
      <c r="D85" s="1" t="s">
        <v>72</v>
      </c>
      <c r="E85" s="1" t="s">
        <v>411</v>
      </c>
      <c r="F85" s="1" t="s">
        <v>398</v>
      </c>
      <c r="G85" s="3">
        <v>189</v>
      </c>
      <c r="H85" s="4">
        <v>3</v>
      </c>
      <c r="I85" s="5">
        <v>449.82</v>
      </c>
      <c r="J85" s="5">
        <v>0</v>
      </c>
      <c r="K85" s="1" t="s">
        <v>36</v>
      </c>
      <c r="L85" s="1" t="s">
        <v>75</v>
      </c>
      <c r="M85" s="1" t="s">
        <v>75</v>
      </c>
      <c r="N85" s="3">
        <v>189</v>
      </c>
      <c r="O85" s="6">
        <f>Table1[[#This Row],[Invoice Qty]]-Table1[[#This Row],[ExFactory Qty]]</f>
        <v>0</v>
      </c>
      <c r="P85" s="1" t="s">
        <v>351</v>
      </c>
      <c r="Q85" s="2">
        <v>46268.798912036997</v>
      </c>
      <c r="R85" s="2">
        <v>46278</v>
      </c>
      <c r="S85" s="1" t="s">
        <v>39</v>
      </c>
      <c r="U85" s="1" t="s">
        <v>40</v>
      </c>
      <c r="V85" s="1" t="s">
        <v>77</v>
      </c>
      <c r="W85" s="1" t="s">
        <v>40</v>
      </c>
      <c r="X85" s="1" t="s">
        <v>40</v>
      </c>
      <c r="Z85" s="2">
        <v>46279</v>
      </c>
      <c r="AA85" s="1" t="s">
        <v>418</v>
      </c>
      <c r="AB85" s="2">
        <v>46268</v>
      </c>
      <c r="AC85" s="2">
        <v>46268</v>
      </c>
      <c r="AE85" s="1" t="s">
        <v>40</v>
      </c>
      <c r="AF85" s="1" t="s">
        <v>79</v>
      </c>
    </row>
    <row r="86" spans="1:32" ht="12.75" hidden="1" customHeight="1" x14ac:dyDescent="0.2">
      <c r="A86" s="1" t="s">
        <v>30</v>
      </c>
      <c r="B86" s="1" t="s">
        <v>419</v>
      </c>
      <c r="C86" s="1" t="s">
        <v>71</v>
      </c>
      <c r="D86" s="1" t="s">
        <v>72</v>
      </c>
      <c r="E86" s="1" t="s">
        <v>411</v>
      </c>
      <c r="F86" s="1" t="s">
        <v>361</v>
      </c>
      <c r="G86" s="3">
        <v>78</v>
      </c>
      <c r="H86" s="4">
        <v>1</v>
      </c>
      <c r="I86" s="5">
        <v>183.3</v>
      </c>
      <c r="J86" s="5">
        <v>0</v>
      </c>
      <c r="K86" s="1" t="s">
        <v>36</v>
      </c>
      <c r="L86" s="1" t="s">
        <v>75</v>
      </c>
      <c r="M86" s="1" t="s">
        <v>75</v>
      </c>
      <c r="N86" s="3">
        <v>78</v>
      </c>
      <c r="O86" s="6">
        <f>Table1[[#This Row],[Invoice Qty]]-Table1[[#This Row],[ExFactory Qty]]</f>
        <v>0</v>
      </c>
      <c r="P86" s="1" t="s">
        <v>362</v>
      </c>
      <c r="Q86" s="2">
        <v>46268.503310185202</v>
      </c>
      <c r="R86" s="2">
        <v>46283</v>
      </c>
      <c r="S86" s="1" t="s">
        <v>39</v>
      </c>
      <c r="U86" s="1" t="s">
        <v>40</v>
      </c>
      <c r="V86" s="1" t="s">
        <v>77</v>
      </c>
      <c r="W86" s="1" t="s">
        <v>40</v>
      </c>
      <c r="X86" s="1" t="s">
        <v>40</v>
      </c>
      <c r="Z86" s="2">
        <v>46283</v>
      </c>
      <c r="AA86" s="1" t="s">
        <v>420</v>
      </c>
      <c r="AB86" s="2">
        <v>46268</v>
      </c>
      <c r="AC86" s="2">
        <v>46268.447094907402</v>
      </c>
      <c r="AE86" s="1" t="s">
        <v>40</v>
      </c>
      <c r="AF86" s="1" t="s">
        <v>79</v>
      </c>
    </row>
    <row r="87" spans="1:32" ht="12.75" hidden="1" customHeight="1" x14ac:dyDescent="0.2">
      <c r="A87" s="1" t="s">
        <v>30</v>
      </c>
      <c r="B87" s="1" t="s">
        <v>421</v>
      </c>
      <c r="C87" s="1" t="s">
        <v>71</v>
      </c>
      <c r="D87" s="1" t="s">
        <v>72</v>
      </c>
      <c r="E87" s="1" t="s">
        <v>411</v>
      </c>
      <c r="F87" s="1" t="s">
        <v>403</v>
      </c>
      <c r="G87" s="3">
        <v>85</v>
      </c>
      <c r="H87" s="4">
        <v>1</v>
      </c>
      <c r="I87" s="5">
        <v>202.3</v>
      </c>
      <c r="J87" s="5">
        <v>0</v>
      </c>
      <c r="K87" s="1" t="s">
        <v>36</v>
      </c>
      <c r="L87" s="1" t="s">
        <v>75</v>
      </c>
      <c r="M87" s="1" t="s">
        <v>75</v>
      </c>
      <c r="N87" s="3">
        <v>85</v>
      </c>
      <c r="O87" s="6">
        <f>Table1[[#This Row],[Invoice Qty]]-Table1[[#This Row],[ExFactory Qty]]</f>
        <v>0</v>
      </c>
      <c r="P87" s="1" t="s">
        <v>362</v>
      </c>
      <c r="Q87" s="2">
        <v>46268.503310185202</v>
      </c>
      <c r="R87" s="2">
        <v>46278</v>
      </c>
      <c r="S87" s="1" t="s">
        <v>39</v>
      </c>
      <c r="U87" s="1" t="s">
        <v>40</v>
      </c>
      <c r="V87" s="1" t="s">
        <v>77</v>
      </c>
      <c r="W87" s="1" t="s">
        <v>40</v>
      </c>
      <c r="X87" s="1" t="s">
        <v>40</v>
      </c>
      <c r="Z87" s="2">
        <v>46279</v>
      </c>
      <c r="AA87" s="1" t="s">
        <v>422</v>
      </c>
      <c r="AB87" s="2">
        <v>46268</v>
      </c>
      <c r="AC87" s="2">
        <v>46268.447094907402</v>
      </c>
      <c r="AE87" s="1" t="s">
        <v>40</v>
      </c>
      <c r="AF87" s="1" t="s">
        <v>79</v>
      </c>
    </row>
    <row r="88" spans="1:32" ht="12.75" hidden="1" customHeight="1" x14ac:dyDescent="0.2">
      <c r="A88" s="1" t="s">
        <v>30</v>
      </c>
      <c r="B88" s="1" t="s">
        <v>423</v>
      </c>
      <c r="C88" s="1" t="s">
        <v>71</v>
      </c>
      <c r="D88" s="1" t="s">
        <v>72</v>
      </c>
      <c r="E88" s="1" t="s">
        <v>424</v>
      </c>
      <c r="F88" s="1" t="s">
        <v>345</v>
      </c>
      <c r="G88" s="3">
        <v>543</v>
      </c>
      <c r="H88" s="4">
        <v>9</v>
      </c>
      <c r="I88" s="5">
        <v>1292.3399999999999</v>
      </c>
      <c r="J88" s="5">
        <v>0</v>
      </c>
      <c r="K88" s="1" t="s">
        <v>36</v>
      </c>
      <c r="L88" s="1" t="s">
        <v>75</v>
      </c>
      <c r="M88" s="1" t="s">
        <v>75</v>
      </c>
      <c r="N88" s="3">
        <v>543</v>
      </c>
      <c r="O88" s="6">
        <f>Table1[[#This Row],[Invoice Qty]]-Table1[[#This Row],[ExFactory Qty]]</f>
        <v>0</v>
      </c>
      <c r="P88" s="1" t="s">
        <v>351</v>
      </c>
      <c r="Q88" s="2">
        <v>46268.798912036997</v>
      </c>
      <c r="R88" s="2">
        <v>46274</v>
      </c>
      <c r="S88" s="1" t="s">
        <v>39</v>
      </c>
      <c r="U88" s="1" t="s">
        <v>40</v>
      </c>
      <c r="V88" s="1" t="s">
        <v>77</v>
      </c>
      <c r="W88" s="1" t="s">
        <v>40</v>
      </c>
      <c r="X88" s="1" t="s">
        <v>40</v>
      </c>
      <c r="Z88" s="2">
        <v>46274</v>
      </c>
      <c r="AA88" s="1" t="s">
        <v>425</v>
      </c>
      <c r="AB88" s="2">
        <v>46268</v>
      </c>
      <c r="AC88" s="2">
        <v>46268.447094907402</v>
      </c>
      <c r="AE88" s="1" t="s">
        <v>40</v>
      </c>
      <c r="AF88" s="1" t="s">
        <v>79</v>
      </c>
    </row>
    <row r="89" spans="1:32" ht="12.75" hidden="1" customHeight="1" x14ac:dyDescent="0.2">
      <c r="A89" s="1" t="s">
        <v>30</v>
      </c>
      <c r="B89" s="1" t="s">
        <v>426</v>
      </c>
      <c r="C89" s="1" t="s">
        <v>71</v>
      </c>
      <c r="D89" s="1" t="s">
        <v>72</v>
      </c>
      <c r="E89" s="1" t="s">
        <v>427</v>
      </c>
      <c r="F89" s="1" t="s">
        <v>376</v>
      </c>
      <c r="G89" s="3">
        <v>73</v>
      </c>
      <c r="H89" s="4">
        <v>1</v>
      </c>
      <c r="I89" s="5">
        <v>173.74</v>
      </c>
      <c r="J89" s="5">
        <v>0</v>
      </c>
      <c r="K89" s="1" t="s">
        <v>36</v>
      </c>
      <c r="L89" s="1" t="s">
        <v>75</v>
      </c>
      <c r="M89" s="1" t="s">
        <v>75</v>
      </c>
      <c r="N89" s="3">
        <v>73</v>
      </c>
      <c r="O89" s="6">
        <f>Table1[[#This Row],[Invoice Qty]]-Table1[[#This Row],[ExFactory Qty]]</f>
        <v>0</v>
      </c>
      <c r="P89" s="1" t="s">
        <v>351</v>
      </c>
      <c r="Q89" s="2">
        <v>46268.798912036997</v>
      </c>
      <c r="R89" s="2">
        <v>46274</v>
      </c>
      <c r="S89" s="1" t="s">
        <v>39</v>
      </c>
      <c r="U89" s="1" t="s">
        <v>40</v>
      </c>
      <c r="V89" s="1" t="s">
        <v>77</v>
      </c>
      <c r="W89" s="1" t="s">
        <v>40</v>
      </c>
      <c r="X89" s="1" t="s">
        <v>40</v>
      </c>
      <c r="Z89" s="2">
        <v>46277</v>
      </c>
      <c r="AA89" s="1" t="s">
        <v>428</v>
      </c>
      <c r="AB89" s="2">
        <v>46268</v>
      </c>
      <c r="AC89" s="2">
        <v>46268.447094907402</v>
      </c>
      <c r="AE89" s="1" t="s">
        <v>40</v>
      </c>
      <c r="AF89" s="1" t="s">
        <v>79</v>
      </c>
    </row>
    <row r="90" spans="1:32" ht="12.75" hidden="1" customHeight="1" x14ac:dyDescent="0.2">
      <c r="A90" s="1" t="s">
        <v>30</v>
      </c>
      <c r="B90" s="1" t="s">
        <v>429</v>
      </c>
      <c r="C90" s="1" t="s">
        <v>71</v>
      </c>
      <c r="D90" s="1" t="s">
        <v>72</v>
      </c>
      <c r="E90" s="1" t="s">
        <v>427</v>
      </c>
      <c r="F90" s="1" t="s">
        <v>345</v>
      </c>
      <c r="G90" s="3">
        <v>24</v>
      </c>
      <c r="H90" s="4">
        <v>1</v>
      </c>
      <c r="I90" s="5">
        <v>56.4</v>
      </c>
      <c r="J90" s="5">
        <v>0</v>
      </c>
      <c r="K90" s="1" t="s">
        <v>36</v>
      </c>
      <c r="L90" s="1" t="s">
        <v>75</v>
      </c>
      <c r="M90" s="1" t="s">
        <v>75</v>
      </c>
      <c r="N90" s="3">
        <v>24</v>
      </c>
      <c r="O90" s="6">
        <f>Table1[[#This Row],[Invoice Qty]]-Table1[[#This Row],[ExFactory Qty]]</f>
        <v>0</v>
      </c>
      <c r="P90" s="1" t="s">
        <v>351</v>
      </c>
      <c r="Q90" s="2">
        <v>46268.798912036997</v>
      </c>
      <c r="R90" s="2">
        <v>46274</v>
      </c>
      <c r="S90" s="1" t="s">
        <v>39</v>
      </c>
      <c r="U90" s="1" t="s">
        <v>40</v>
      </c>
      <c r="V90" s="1" t="s">
        <v>77</v>
      </c>
      <c r="W90" s="1" t="s">
        <v>40</v>
      </c>
      <c r="X90" s="1" t="s">
        <v>40</v>
      </c>
      <c r="Z90" s="2">
        <v>46277</v>
      </c>
      <c r="AA90" s="1" t="s">
        <v>430</v>
      </c>
      <c r="AB90" s="2">
        <v>46268</v>
      </c>
      <c r="AC90" s="2">
        <v>46268.447094907402</v>
      </c>
      <c r="AE90" s="1" t="s">
        <v>40</v>
      </c>
      <c r="AF90" s="1" t="s">
        <v>79</v>
      </c>
    </row>
    <row r="91" spans="1:32" ht="12.75" hidden="1" customHeight="1" x14ac:dyDescent="0.2">
      <c r="A91" s="1" t="s">
        <v>30</v>
      </c>
      <c r="B91" s="1" t="s">
        <v>431</v>
      </c>
      <c r="C91" s="1" t="s">
        <v>71</v>
      </c>
      <c r="D91" s="1" t="s">
        <v>72</v>
      </c>
      <c r="E91" s="1" t="s">
        <v>432</v>
      </c>
      <c r="F91" s="1" t="s">
        <v>341</v>
      </c>
      <c r="G91" s="3">
        <v>222</v>
      </c>
      <c r="H91" s="4">
        <v>2</v>
      </c>
      <c r="I91" s="5">
        <v>472.86</v>
      </c>
      <c r="J91" s="5">
        <v>0</v>
      </c>
      <c r="K91" s="1" t="s">
        <v>36</v>
      </c>
      <c r="L91" s="1" t="s">
        <v>75</v>
      </c>
      <c r="M91" s="1" t="s">
        <v>75</v>
      </c>
      <c r="N91" s="3">
        <v>222</v>
      </c>
      <c r="O91" s="6">
        <f>Table1[[#This Row],[Invoice Qty]]-Table1[[#This Row],[ExFactory Qty]]</f>
        <v>0</v>
      </c>
      <c r="P91" s="1" t="s">
        <v>351</v>
      </c>
      <c r="Q91" s="2">
        <v>46268.798912036997</v>
      </c>
      <c r="R91" s="2">
        <v>46276</v>
      </c>
      <c r="S91" s="1" t="s">
        <v>39</v>
      </c>
      <c r="U91" s="1" t="s">
        <v>40</v>
      </c>
      <c r="V91" s="1" t="s">
        <v>77</v>
      </c>
      <c r="W91" s="1" t="s">
        <v>40</v>
      </c>
      <c r="X91" s="1" t="s">
        <v>40</v>
      </c>
      <c r="Z91" s="2">
        <v>46277</v>
      </c>
      <c r="AA91" s="1" t="s">
        <v>433</v>
      </c>
      <c r="AB91" s="2">
        <v>46268</v>
      </c>
      <c r="AC91" s="2">
        <v>46268.447094907402</v>
      </c>
      <c r="AE91" s="1" t="s">
        <v>40</v>
      </c>
      <c r="AF91" s="1" t="s">
        <v>79</v>
      </c>
    </row>
    <row r="92" spans="1:32" ht="12.75" hidden="1" customHeight="1" x14ac:dyDescent="0.2">
      <c r="A92" s="1" t="s">
        <v>30</v>
      </c>
      <c r="B92" s="1" t="s">
        <v>434</v>
      </c>
      <c r="C92" s="1" t="s">
        <v>71</v>
      </c>
      <c r="D92" s="1" t="s">
        <v>72</v>
      </c>
      <c r="E92" s="1" t="s">
        <v>432</v>
      </c>
      <c r="F92" s="1" t="s">
        <v>74</v>
      </c>
      <c r="G92" s="3">
        <v>200</v>
      </c>
      <c r="H92" s="4">
        <v>2</v>
      </c>
      <c r="I92" s="5">
        <v>426</v>
      </c>
      <c r="J92" s="5">
        <v>0</v>
      </c>
      <c r="K92" s="1" t="s">
        <v>36</v>
      </c>
      <c r="L92" s="1" t="s">
        <v>75</v>
      </c>
      <c r="M92" s="1" t="s">
        <v>75</v>
      </c>
      <c r="N92" s="3">
        <v>200</v>
      </c>
      <c r="O92" s="6">
        <f>Table1[[#This Row],[Invoice Qty]]-Table1[[#This Row],[ExFactory Qty]]</f>
        <v>0</v>
      </c>
      <c r="P92" s="1" t="s">
        <v>362</v>
      </c>
      <c r="Q92" s="2">
        <v>46268.503310185202</v>
      </c>
      <c r="R92" s="2">
        <v>46283</v>
      </c>
      <c r="S92" s="1" t="s">
        <v>39</v>
      </c>
      <c r="U92" s="1" t="s">
        <v>40</v>
      </c>
      <c r="V92" s="1" t="s">
        <v>77</v>
      </c>
      <c r="W92" s="1" t="s">
        <v>40</v>
      </c>
      <c r="X92" s="1" t="s">
        <v>40</v>
      </c>
      <c r="Z92" s="2">
        <v>46283</v>
      </c>
      <c r="AA92" s="1" t="s">
        <v>435</v>
      </c>
      <c r="AB92" s="2">
        <v>46268</v>
      </c>
      <c r="AC92" s="2">
        <v>46268</v>
      </c>
      <c r="AE92" s="1" t="s">
        <v>40</v>
      </c>
      <c r="AF92" s="1" t="s">
        <v>79</v>
      </c>
    </row>
    <row r="93" spans="1:32" ht="12.75" hidden="1" customHeight="1" x14ac:dyDescent="0.2">
      <c r="A93" s="1" t="s">
        <v>30</v>
      </c>
      <c r="B93" s="1" t="s">
        <v>436</v>
      </c>
      <c r="C93" s="1" t="s">
        <v>71</v>
      </c>
      <c r="D93" s="1" t="s">
        <v>72</v>
      </c>
      <c r="E93" s="1" t="s">
        <v>432</v>
      </c>
      <c r="F93" s="1" t="s">
        <v>345</v>
      </c>
      <c r="G93" s="3">
        <v>388</v>
      </c>
      <c r="H93" s="4">
        <v>3</v>
      </c>
      <c r="I93" s="5">
        <v>826.44</v>
      </c>
      <c r="J93" s="5">
        <v>0</v>
      </c>
      <c r="K93" s="1" t="s">
        <v>36</v>
      </c>
      <c r="L93" s="1" t="s">
        <v>75</v>
      </c>
      <c r="M93" s="1" t="s">
        <v>75</v>
      </c>
      <c r="N93" s="3">
        <v>388</v>
      </c>
      <c r="O93" s="6">
        <f>Table1[[#This Row],[Invoice Qty]]-Table1[[#This Row],[ExFactory Qty]]</f>
        <v>0</v>
      </c>
      <c r="P93" s="1" t="s">
        <v>351</v>
      </c>
      <c r="Q93" s="2">
        <v>46268.798912036997</v>
      </c>
      <c r="R93" s="2">
        <v>46274</v>
      </c>
      <c r="S93" s="1" t="s">
        <v>39</v>
      </c>
      <c r="U93" s="1" t="s">
        <v>40</v>
      </c>
      <c r="V93" s="1" t="s">
        <v>77</v>
      </c>
      <c r="W93" s="1" t="s">
        <v>40</v>
      </c>
      <c r="X93" s="1" t="s">
        <v>40</v>
      </c>
      <c r="Z93" s="2">
        <v>46274</v>
      </c>
      <c r="AA93" s="1" t="s">
        <v>437</v>
      </c>
      <c r="AB93" s="2">
        <v>46268</v>
      </c>
      <c r="AC93" s="2">
        <v>46268.447094907402</v>
      </c>
      <c r="AE93" s="1" t="s">
        <v>40</v>
      </c>
      <c r="AF93" s="1" t="s">
        <v>79</v>
      </c>
    </row>
    <row r="94" spans="1:32" ht="12.75" hidden="1" customHeight="1" x14ac:dyDescent="0.2">
      <c r="A94" s="1" t="s">
        <v>30</v>
      </c>
      <c r="B94" s="1" t="s">
        <v>438</v>
      </c>
      <c r="C94" s="1" t="s">
        <v>71</v>
      </c>
      <c r="D94" s="1" t="s">
        <v>72</v>
      </c>
      <c r="E94" s="1" t="s">
        <v>439</v>
      </c>
      <c r="F94" s="1" t="s">
        <v>376</v>
      </c>
      <c r="G94" s="3">
        <v>90</v>
      </c>
      <c r="H94" s="4">
        <v>1</v>
      </c>
      <c r="I94" s="5">
        <v>191.7</v>
      </c>
      <c r="J94" s="5">
        <v>0</v>
      </c>
      <c r="K94" s="1" t="s">
        <v>36</v>
      </c>
      <c r="L94" s="1" t="s">
        <v>75</v>
      </c>
      <c r="M94" s="1" t="s">
        <v>75</v>
      </c>
      <c r="N94" s="3">
        <v>90</v>
      </c>
      <c r="O94" s="6">
        <f>Table1[[#This Row],[Invoice Qty]]-Table1[[#This Row],[ExFactory Qty]]</f>
        <v>0</v>
      </c>
      <c r="P94" s="1" t="s">
        <v>351</v>
      </c>
      <c r="Q94" s="2">
        <v>46268.798912036997</v>
      </c>
      <c r="R94" s="2">
        <v>46274</v>
      </c>
      <c r="S94" s="1" t="s">
        <v>39</v>
      </c>
      <c r="U94" s="1" t="s">
        <v>40</v>
      </c>
      <c r="V94" s="1" t="s">
        <v>77</v>
      </c>
      <c r="W94" s="1" t="s">
        <v>40</v>
      </c>
      <c r="X94" s="1" t="s">
        <v>40</v>
      </c>
      <c r="Z94" s="2">
        <v>46277</v>
      </c>
      <c r="AA94" s="1" t="s">
        <v>440</v>
      </c>
      <c r="AB94" s="2">
        <v>46268</v>
      </c>
      <c r="AC94" s="2">
        <v>46268.447094907402</v>
      </c>
      <c r="AE94" s="1" t="s">
        <v>40</v>
      </c>
      <c r="AF94" s="1" t="s">
        <v>79</v>
      </c>
    </row>
    <row r="95" spans="1:32" ht="12.75" hidden="1" customHeight="1" x14ac:dyDescent="0.2">
      <c r="A95" s="1" t="s">
        <v>30</v>
      </c>
      <c r="B95" s="1" t="s">
        <v>441</v>
      </c>
      <c r="C95" s="1" t="s">
        <v>71</v>
      </c>
      <c r="D95" s="1" t="s">
        <v>72</v>
      </c>
      <c r="E95" s="1" t="s">
        <v>439</v>
      </c>
      <c r="F95" s="1" t="s">
        <v>345</v>
      </c>
      <c r="G95" s="3">
        <v>41</v>
      </c>
      <c r="H95" s="4">
        <v>1</v>
      </c>
      <c r="I95" s="5">
        <v>86.1</v>
      </c>
      <c r="J95" s="5">
        <v>0</v>
      </c>
      <c r="K95" s="1" t="s">
        <v>36</v>
      </c>
      <c r="L95" s="1" t="s">
        <v>75</v>
      </c>
      <c r="M95" s="1" t="s">
        <v>75</v>
      </c>
      <c r="N95" s="3">
        <v>41</v>
      </c>
      <c r="O95" s="6">
        <f>Table1[[#This Row],[Invoice Qty]]-Table1[[#This Row],[ExFactory Qty]]</f>
        <v>0</v>
      </c>
      <c r="P95" s="1" t="s">
        <v>351</v>
      </c>
      <c r="Q95" s="2">
        <v>46268.798912036997</v>
      </c>
      <c r="R95" s="2">
        <v>46274</v>
      </c>
      <c r="S95" s="1" t="s">
        <v>39</v>
      </c>
      <c r="U95" s="1" t="s">
        <v>40</v>
      </c>
      <c r="V95" s="1" t="s">
        <v>77</v>
      </c>
      <c r="W95" s="1" t="s">
        <v>40</v>
      </c>
      <c r="X95" s="1" t="s">
        <v>40</v>
      </c>
      <c r="Z95" s="2">
        <v>46277</v>
      </c>
      <c r="AA95" s="1" t="s">
        <v>442</v>
      </c>
      <c r="AB95" s="2">
        <v>46268</v>
      </c>
      <c r="AC95" s="2">
        <v>46268.447094907402</v>
      </c>
      <c r="AE95" s="1" t="s">
        <v>40</v>
      </c>
      <c r="AF95" s="1" t="s">
        <v>79</v>
      </c>
    </row>
    <row r="96" spans="1:32" ht="12.75" hidden="1" customHeight="1" x14ac:dyDescent="0.2">
      <c r="A96" s="1" t="s">
        <v>30</v>
      </c>
      <c r="B96" s="1" t="s">
        <v>443</v>
      </c>
      <c r="C96" s="1" t="s">
        <v>71</v>
      </c>
      <c r="D96" s="1" t="s">
        <v>72</v>
      </c>
      <c r="E96" s="1" t="s">
        <v>444</v>
      </c>
      <c r="F96" s="1" t="s">
        <v>445</v>
      </c>
      <c r="G96" s="3">
        <v>169</v>
      </c>
      <c r="H96" s="4">
        <v>2</v>
      </c>
      <c r="I96" s="5">
        <v>354.9</v>
      </c>
      <c r="J96" s="5">
        <v>0</v>
      </c>
      <c r="K96" s="1" t="s">
        <v>36</v>
      </c>
      <c r="L96" s="1" t="s">
        <v>75</v>
      </c>
      <c r="M96" s="1" t="s">
        <v>75</v>
      </c>
      <c r="N96" s="3">
        <v>169</v>
      </c>
      <c r="O96" s="6">
        <f>Table1[[#This Row],[Invoice Qty]]-Table1[[#This Row],[ExFactory Qty]]</f>
        <v>0</v>
      </c>
      <c r="P96" s="1" t="s">
        <v>351</v>
      </c>
      <c r="Q96" s="2">
        <v>46268.798912036997</v>
      </c>
      <c r="R96" s="2">
        <v>46278</v>
      </c>
      <c r="S96" s="1" t="s">
        <v>39</v>
      </c>
      <c r="U96" s="1" t="s">
        <v>40</v>
      </c>
      <c r="V96" s="1" t="s">
        <v>77</v>
      </c>
      <c r="W96" s="1" t="s">
        <v>40</v>
      </c>
      <c r="X96" s="1" t="s">
        <v>40</v>
      </c>
      <c r="Z96" s="2">
        <v>46279</v>
      </c>
      <c r="AA96" s="1" t="s">
        <v>446</v>
      </c>
      <c r="AB96" s="2">
        <v>46268</v>
      </c>
      <c r="AC96" s="2">
        <v>46268.447094907402</v>
      </c>
      <c r="AE96" s="1" t="s">
        <v>40</v>
      </c>
      <c r="AF96" s="1" t="s">
        <v>79</v>
      </c>
    </row>
    <row r="97" spans="1:32" ht="12.75" hidden="1" customHeight="1" x14ac:dyDescent="0.2">
      <c r="A97" s="1" t="s">
        <v>30</v>
      </c>
      <c r="B97" s="1" t="s">
        <v>447</v>
      </c>
      <c r="C97" s="1" t="s">
        <v>71</v>
      </c>
      <c r="D97" s="1" t="s">
        <v>72</v>
      </c>
      <c r="E97" s="1" t="s">
        <v>448</v>
      </c>
      <c r="F97" s="1" t="s">
        <v>367</v>
      </c>
      <c r="G97" s="3">
        <v>828</v>
      </c>
      <c r="H97" s="4">
        <v>9</v>
      </c>
      <c r="I97" s="5">
        <v>2285.2800000000002</v>
      </c>
      <c r="J97" s="5">
        <v>0</v>
      </c>
      <c r="K97" s="1" t="s">
        <v>36</v>
      </c>
      <c r="L97" s="1" t="s">
        <v>75</v>
      </c>
      <c r="M97" s="1" t="s">
        <v>75</v>
      </c>
      <c r="N97" s="3">
        <v>828</v>
      </c>
      <c r="O97" s="6">
        <f>Table1[[#This Row],[Invoice Qty]]-Table1[[#This Row],[ExFactory Qty]]</f>
        <v>0</v>
      </c>
      <c r="P97" s="1" t="s">
        <v>368</v>
      </c>
      <c r="Q97" s="2">
        <v>46268.713391203702</v>
      </c>
      <c r="R97" s="2">
        <v>46275</v>
      </c>
      <c r="S97" s="1" t="s">
        <v>39</v>
      </c>
      <c r="U97" s="1" t="s">
        <v>40</v>
      </c>
      <c r="V97" s="1" t="s">
        <v>77</v>
      </c>
      <c r="W97" s="1" t="s">
        <v>40</v>
      </c>
      <c r="X97" s="1" t="s">
        <v>40</v>
      </c>
      <c r="Z97" s="2">
        <v>46275</v>
      </c>
      <c r="AA97" s="1" t="s">
        <v>449</v>
      </c>
      <c r="AB97" s="2">
        <v>46268</v>
      </c>
      <c r="AC97" s="2">
        <v>46268.447094907402</v>
      </c>
      <c r="AE97" s="1" t="s">
        <v>40</v>
      </c>
      <c r="AF97" s="1" t="s">
        <v>79</v>
      </c>
    </row>
    <row r="98" spans="1:32" ht="12.75" hidden="1" customHeight="1" x14ac:dyDescent="0.2">
      <c r="A98" s="1" t="s">
        <v>30</v>
      </c>
      <c r="B98" s="1" t="s">
        <v>450</v>
      </c>
      <c r="C98" s="1" t="s">
        <v>71</v>
      </c>
      <c r="D98" s="1" t="s">
        <v>72</v>
      </c>
      <c r="E98" s="1" t="s">
        <v>448</v>
      </c>
      <c r="F98" s="1" t="s">
        <v>398</v>
      </c>
      <c r="G98" s="3">
        <v>1212</v>
      </c>
      <c r="H98" s="4">
        <v>11</v>
      </c>
      <c r="I98" s="5">
        <v>3381.48</v>
      </c>
      <c r="J98" s="5">
        <v>0</v>
      </c>
      <c r="K98" s="1" t="s">
        <v>36</v>
      </c>
      <c r="L98" s="1" t="s">
        <v>75</v>
      </c>
      <c r="M98" s="1" t="s">
        <v>75</v>
      </c>
      <c r="N98" s="3">
        <v>1212</v>
      </c>
      <c r="O98" s="6">
        <f>Table1[[#This Row],[Invoice Qty]]-Table1[[#This Row],[ExFactory Qty]]</f>
        <v>0</v>
      </c>
      <c r="P98" s="1" t="s">
        <v>351</v>
      </c>
      <c r="Q98" s="2">
        <v>46268.798912036997</v>
      </c>
      <c r="R98" s="2">
        <v>46278</v>
      </c>
      <c r="S98" s="1" t="s">
        <v>39</v>
      </c>
      <c r="U98" s="1" t="s">
        <v>40</v>
      </c>
      <c r="V98" s="1" t="s">
        <v>77</v>
      </c>
      <c r="W98" s="1" t="s">
        <v>40</v>
      </c>
      <c r="X98" s="1" t="s">
        <v>40</v>
      </c>
      <c r="Z98" s="2">
        <v>46279</v>
      </c>
      <c r="AA98" s="1" t="s">
        <v>451</v>
      </c>
      <c r="AB98" s="2">
        <v>46268</v>
      </c>
      <c r="AC98" s="2">
        <v>46268</v>
      </c>
      <c r="AE98" s="1" t="s">
        <v>40</v>
      </c>
      <c r="AF98" s="1" t="s">
        <v>79</v>
      </c>
    </row>
    <row r="99" spans="1:32" ht="12.75" hidden="1" customHeight="1" x14ac:dyDescent="0.2">
      <c r="A99" s="1" t="s">
        <v>30</v>
      </c>
      <c r="B99" s="1" t="s">
        <v>452</v>
      </c>
      <c r="C99" s="1" t="s">
        <v>71</v>
      </c>
      <c r="D99" s="1" t="s">
        <v>72</v>
      </c>
      <c r="E99" s="1" t="s">
        <v>448</v>
      </c>
      <c r="F99" s="1" t="s">
        <v>361</v>
      </c>
      <c r="G99" s="3">
        <v>529</v>
      </c>
      <c r="H99" s="4">
        <v>8</v>
      </c>
      <c r="I99" s="5">
        <v>1460.04</v>
      </c>
      <c r="J99" s="5">
        <v>0</v>
      </c>
      <c r="K99" s="1" t="s">
        <v>36</v>
      </c>
      <c r="L99" s="1" t="s">
        <v>75</v>
      </c>
      <c r="M99" s="1" t="s">
        <v>75</v>
      </c>
      <c r="N99" s="3">
        <v>529</v>
      </c>
      <c r="O99" s="6">
        <f>Table1[[#This Row],[Invoice Qty]]-Table1[[#This Row],[ExFactory Qty]]</f>
        <v>0</v>
      </c>
      <c r="P99" s="1" t="s">
        <v>362</v>
      </c>
      <c r="Q99" s="2">
        <v>46268.503310185202</v>
      </c>
      <c r="R99" s="2">
        <v>46283</v>
      </c>
      <c r="S99" s="1" t="s">
        <v>39</v>
      </c>
      <c r="U99" s="1" t="s">
        <v>40</v>
      </c>
      <c r="V99" s="1" t="s">
        <v>77</v>
      </c>
      <c r="W99" s="1" t="s">
        <v>40</v>
      </c>
      <c r="X99" s="1" t="s">
        <v>40</v>
      </c>
      <c r="Z99" s="2">
        <v>46283</v>
      </c>
      <c r="AA99" s="1" t="s">
        <v>453</v>
      </c>
      <c r="AB99" s="2">
        <v>46268</v>
      </c>
      <c r="AC99" s="2">
        <v>46268.447094907402</v>
      </c>
      <c r="AE99" s="1" t="s">
        <v>40</v>
      </c>
      <c r="AF99" s="1" t="s">
        <v>79</v>
      </c>
    </row>
    <row r="100" spans="1:32" ht="12.75" hidden="1" customHeight="1" x14ac:dyDescent="0.2">
      <c r="A100" s="1" t="s">
        <v>30</v>
      </c>
      <c r="B100" s="1" t="s">
        <v>454</v>
      </c>
      <c r="C100" s="1" t="s">
        <v>71</v>
      </c>
      <c r="D100" s="1" t="s">
        <v>72</v>
      </c>
      <c r="E100" s="1" t="s">
        <v>448</v>
      </c>
      <c r="F100" s="1" t="s">
        <v>403</v>
      </c>
      <c r="G100" s="3">
        <v>215</v>
      </c>
      <c r="H100" s="4">
        <v>2</v>
      </c>
      <c r="I100" s="5">
        <v>599.85</v>
      </c>
      <c r="J100" s="5">
        <v>0</v>
      </c>
      <c r="K100" s="1" t="s">
        <v>36</v>
      </c>
      <c r="L100" s="1" t="s">
        <v>75</v>
      </c>
      <c r="M100" s="1" t="s">
        <v>75</v>
      </c>
      <c r="N100" s="3">
        <v>215</v>
      </c>
      <c r="O100" s="6">
        <f>Table1[[#This Row],[Invoice Qty]]-Table1[[#This Row],[ExFactory Qty]]</f>
        <v>0</v>
      </c>
      <c r="P100" s="1" t="s">
        <v>362</v>
      </c>
      <c r="Q100" s="2">
        <v>46268.503310185202</v>
      </c>
      <c r="R100" s="2">
        <v>46278</v>
      </c>
      <c r="S100" s="1" t="s">
        <v>39</v>
      </c>
      <c r="U100" s="1" t="s">
        <v>40</v>
      </c>
      <c r="V100" s="1" t="s">
        <v>77</v>
      </c>
      <c r="W100" s="1" t="s">
        <v>40</v>
      </c>
      <c r="X100" s="1" t="s">
        <v>40</v>
      </c>
      <c r="Z100" s="2">
        <v>46279</v>
      </c>
      <c r="AA100" s="1" t="s">
        <v>455</v>
      </c>
      <c r="AB100" s="2">
        <v>46268</v>
      </c>
      <c r="AC100" s="2">
        <v>46268.447094907402</v>
      </c>
      <c r="AE100" s="1" t="s">
        <v>40</v>
      </c>
      <c r="AF100" s="1" t="s">
        <v>79</v>
      </c>
    </row>
    <row r="101" spans="1:32" ht="12.75" hidden="1" customHeight="1" x14ac:dyDescent="0.2">
      <c r="A101" s="1" t="s">
        <v>30</v>
      </c>
      <c r="B101" s="1" t="s">
        <v>456</v>
      </c>
      <c r="C101" s="1" t="s">
        <v>71</v>
      </c>
      <c r="D101" s="1" t="s">
        <v>457</v>
      </c>
      <c r="E101" s="1" t="s">
        <v>458</v>
      </c>
      <c r="F101" s="1" t="s">
        <v>459</v>
      </c>
      <c r="G101" s="3">
        <v>55</v>
      </c>
      <c r="H101" s="4">
        <v>2</v>
      </c>
      <c r="I101" s="5">
        <v>232.65</v>
      </c>
      <c r="J101" s="5">
        <v>0</v>
      </c>
      <c r="K101" s="1" t="s">
        <v>36</v>
      </c>
      <c r="L101" s="1" t="s">
        <v>75</v>
      </c>
      <c r="M101" s="1" t="s">
        <v>75</v>
      </c>
      <c r="N101" s="3">
        <v>55</v>
      </c>
      <c r="O101" s="6">
        <f>Table1[[#This Row],[Invoice Qty]]-Table1[[#This Row],[ExFactory Qty]]</f>
        <v>0</v>
      </c>
      <c r="P101" s="1" t="s">
        <v>368</v>
      </c>
      <c r="Q101" s="2">
        <v>46268.713391203702</v>
      </c>
      <c r="R101" s="2">
        <v>46275</v>
      </c>
      <c r="S101" s="1" t="s">
        <v>39</v>
      </c>
      <c r="U101" s="1" t="s">
        <v>40</v>
      </c>
      <c r="V101" s="1" t="s">
        <v>77</v>
      </c>
      <c r="W101" s="1" t="s">
        <v>40</v>
      </c>
      <c r="X101" s="1" t="s">
        <v>40</v>
      </c>
      <c r="Z101" s="2">
        <v>46275</v>
      </c>
      <c r="AA101" s="1" t="s">
        <v>460</v>
      </c>
      <c r="AB101" s="2">
        <v>46268</v>
      </c>
      <c r="AC101" s="2">
        <v>46268</v>
      </c>
      <c r="AE101" s="1" t="s">
        <v>40</v>
      </c>
      <c r="AF101" s="1" t="s">
        <v>326</v>
      </c>
    </row>
    <row r="102" spans="1:32" ht="12.75" hidden="1" customHeight="1" x14ac:dyDescent="0.2">
      <c r="A102" s="1" t="s">
        <v>30</v>
      </c>
      <c r="B102" s="1" t="s">
        <v>461</v>
      </c>
      <c r="C102" s="1" t="s">
        <v>71</v>
      </c>
      <c r="D102" s="1" t="s">
        <v>457</v>
      </c>
      <c r="E102" s="1" t="s">
        <v>458</v>
      </c>
      <c r="F102" s="1" t="s">
        <v>459</v>
      </c>
      <c r="G102" s="3">
        <v>218</v>
      </c>
      <c r="H102" s="4">
        <v>4</v>
      </c>
      <c r="I102" s="5">
        <v>922.14</v>
      </c>
      <c r="J102" s="5">
        <v>0</v>
      </c>
      <c r="K102" s="1" t="s">
        <v>36</v>
      </c>
      <c r="L102" s="1" t="s">
        <v>75</v>
      </c>
      <c r="M102" s="1" t="s">
        <v>75</v>
      </c>
      <c r="N102" s="3">
        <v>218</v>
      </c>
      <c r="O102" s="6">
        <f>Table1[[#This Row],[Invoice Qty]]-Table1[[#This Row],[ExFactory Qty]]</f>
        <v>0</v>
      </c>
      <c r="P102" s="1" t="s">
        <v>368</v>
      </c>
      <c r="Q102" s="2">
        <v>46268.713391203702</v>
      </c>
      <c r="R102" s="2">
        <v>46275</v>
      </c>
      <c r="S102" s="1" t="s">
        <v>39</v>
      </c>
      <c r="U102" s="1" t="s">
        <v>40</v>
      </c>
      <c r="V102" s="1" t="s">
        <v>77</v>
      </c>
      <c r="W102" s="1" t="s">
        <v>40</v>
      </c>
      <c r="X102" s="1" t="s">
        <v>40</v>
      </c>
      <c r="Z102" s="2">
        <v>46275</v>
      </c>
      <c r="AA102" s="1" t="s">
        <v>462</v>
      </c>
      <c r="AB102" s="2">
        <v>46268</v>
      </c>
      <c r="AC102" s="2">
        <v>46268</v>
      </c>
      <c r="AE102" s="1" t="s">
        <v>40</v>
      </c>
      <c r="AF102" s="1" t="s">
        <v>326</v>
      </c>
    </row>
    <row r="103" spans="1:32" ht="12.75" hidden="1" customHeight="1" x14ac:dyDescent="0.2">
      <c r="A103" s="1" t="s">
        <v>30</v>
      </c>
      <c r="B103" s="1" t="s">
        <v>463</v>
      </c>
      <c r="C103" s="1" t="s">
        <v>71</v>
      </c>
      <c r="D103" s="1" t="s">
        <v>457</v>
      </c>
      <c r="E103" s="1" t="s">
        <v>458</v>
      </c>
      <c r="F103" s="1" t="s">
        <v>341</v>
      </c>
      <c r="G103" s="3">
        <v>177</v>
      </c>
      <c r="H103" s="4">
        <v>3</v>
      </c>
      <c r="I103" s="5">
        <v>748.71</v>
      </c>
      <c r="J103" s="5">
        <v>0</v>
      </c>
      <c r="K103" s="1" t="s">
        <v>36</v>
      </c>
      <c r="L103" s="1" t="s">
        <v>75</v>
      </c>
      <c r="M103" s="1" t="s">
        <v>75</v>
      </c>
      <c r="N103" s="3">
        <v>177</v>
      </c>
      <c r="O103" s="6">
        <f>Table1[[#This Row],[Invoice Qty]]-Table1[[#This Row],[ExFactory Qty]]</f>
        <v>0</v>
      </c>
      <c r="P103" s="1" t="s">
        <v>351</v>
      </c>
      <c r="Q103" s="2">
        <v>46268.798912036997</v>
      </c>
      <c r="R103" s="2">
        <v>46276</v>
      </c>
      <c r="S103" s="1" t="s">
        <v>39</v>
      </c>
      <c r="U103" s="1" t="s">
        <v>40</v>
      </c>
      <c r="V103" s="1" t="s">
        <v>77</v>
      </c>
      <c r="W103" s="1" t="s">
        <v>40</v>
      </c>
      <c r="X103" s="1" t="s">
        <v>40</v>
      </c>
      <c r="Z103" s="2">
        <v>46277</v>
      </c>
      <c r="AA103" s="1" t="s">
        <v>464</v>
      </c>
      <c r="AB103" s="2">
        <v>46268</v>
      </c>
      <c r="AC103" s="2">
        <v>46268.447094907402</v>
      </c>
      <c r="AE103" s="1" t="s">
        <v>40</v>
      </c>
      <c r="AF103" s="1" t="s">
        <v>326</v>
      </c>
    </row>
    <row r="104" spans="1:32" ht="12.75" hidden="1" customHeight="1" x14ac:dyDescent="0.2">
      <c r="A104" s="1" t="s">
        <v>30</v>
      </c>
      <c r="B104" s="1" t="s">
        <v>465</v>
      </c>
      <c r="C104" s="1" t="s">
        <v>71</v>
      </c>
      <c r="D104" s="1" t="s">
        <v>457</v>
      </c>
      <c r="E104" s="1" t="s">
        <v>458</v>
      </c>
      <c r="F104" s="1" t="s">
        <v>466</v>
      </c>
      <c r="G104" s="3">
        <v>929</v>
      </c>
      <c r="H104" s="4">
        <v>14</v>
      </c>
      <c r="I104" s="5">
        <v>3929.67</v>
      </c>
      <c r="J104" s="5">
        <v>0</v>
      </c>
      <c r="K104" s="1" t="s">
        <v>36</v>
      </c>
      <c r="L104" s="1" t="s">
        <v>75</v>
      </c>
      <c r="M104" s="1" t="s">
        <v>75</v>
      </c>
      <c r="N104" s="3">
        <v>929</v>
      </c>
      <c r="O104" s="6">
        <f>Table1[[#This Row],[Invoice Qty]]-Table1[[#This Row],[ExFactory Qty]]</f>
        <v>0</v>
      </c>
      <c r="P104" s="1" t="s">
        <v>368</v>
      </c>
      <c r="Q104" s="2">
        <v>46268.713391203702</v>
      </c>
      <c r="R104" s="2">
        <v>46275</v>
      </c>
      <c r="S104" s="1" t="s">
        <v>39</v>
      </c>
      <c r="U104" s="1" t="s">
        <v>40</v>
      </c>
      <c r="V104" s="1" t="s">
        <v>77</v>
      </c>
      <c r="W104" s="1" t="s">
        <v>40</v>
      </c>
      <c r="X104" s="1" t="s">
        <v>40</v>
      </c>
      <c r="Z104" s="2">
        <v>46275</v>
      </c>
      <c r="AA104" s="1" t="s">
        <v>467</v>
      </c>
      <c r="AB104" s="2">
        <v>46268</v>
      </c>
      <c r="AC104" s="2">
        <v>46268.447094907402</v>
      </c>
      <c r="AE104" s="1" t="s">
        <v>40</v>
      </c>
      <c r="AF104" s="1" t="s">
        <v>326</v>
      </c>
    </row>
    <row r="105" spans="1:32" ht="12.75" hidden="1" customHeight="1" x14ac:dyDescent="0.2">
      <c r="A105" s="1" t="s">
        <v>30</v>
      </c>
      <c r="B105" s="1" t="s">
        <v>468</v>
      </c>
      <c r="C105" s="1" t="s">
        <v>71</v>
      </c>
      <c r="D105" s="1" t="s">
        <v>457</v>
      </c>
      <c r="E105" s="1" t="s">
        <v>458</v>
      </c>
      <c r="F105" s="1" t="s">
        <v>345</v>
      </c>
      <c r="G105" s="3">
        <v>1582</v>
      </c>
      <c r="H105" s="4">
        <v>20</v>
      </c>
      <c r="I105" s="5">
        <v>6691.86</v>
      </c>
      <c r="J105" s="5">
        <v>0</v>
      </c>
      <c r="K105" s="1" t="s">
        <v>36</v>
      </c>
      <c r="L105" s="1" t="s">
        <v>75</v>
      </c>
      <c r="M105" s="1" t="s">
        <v>75</v>
      </c>
      <c r="N105" s="3">
        <v>1582</v>
      </c>
      <c r="O105" s="6">
        <f>Table1[[#This Row],[Invoice Qty]]-Table1[[#This Row],[ExFactory Qty]]</f>
        <v>0</v>
      </c>
      <c r="P105" s="1" t="s">
        <v>351</v>
      </c>
      <c r="Q105" s="2">
        <v>46268.798912036997</v>
      </c>
      <c r="R105" s="2">
        <v>46274</v>
      </c>
      <c r="S105" s="1" t="s">
        <v>39</v>
      </c>
      <c r="U105" s="1" t="s">
        <v>40</v>
      </c>
      <c r="V105" s="1" t="s">
        <v>77</v>
      </c>
      <c r="W105" s="1" t="s">
        <v>40</v>
      </c>
      <c r="X105" s="1" t="s">
        <v>40</v>
      </c>
      <c r="Z105" s="2">
        <v>46274</v>
      </c>
      <c r="AA105" s="1" t="s">
        <v>469</v>
      </c>
      <c r="AB105" s="2">
        <v>46268</v>
      </c>
      <c r="AC105" s="2">
        <v>46268.447094907402</v>
      </c>
      <c r="AE105" s="1" t="s">
        <v>40</v>
      </c>
      <c r="AF105" s="1" t="s">
        <v>326</v>
      </c>
    </row>
    <row r="106" spans="1:32" ht="12.75" hidden="1" customHeight="1" x14ac:dyDescent="0.2">
      <c r="A106" s="1" t="s">
        <v>30</v>
      </c>
      <c r="B106" s="1" t="s">
        <v>470</v>
      </c>
      <c r="C106" s="1" t="s">
        <v>71</v>
      </c>
      <c r="D106" s="1" t="s">
        <v>457</v>
      </c>
      <c r="E106" s="1" t="s">
        <v>458</v>
      </c>
      <c r="F106" s="1" t="s">
        <v>384</v>
      </c>
      <c r="G106" s="3">
        <v>21574</v>
      </c>
      <c r="H106" s="4">
        <v>261</v>
      </c>
      <c r="I106" s="5">
        <v>91258.02</v>
      </c>
      <c r="J106" s="5">
        <v>0</v>
      </c>
      <c r="K106" s="1" t="s">
        <v>36</v>
      </c>
      <c r="L106" s="1" t="s">
        <v>75</v>
      </c>
      <c r="M106" s="1" t="s">
        <v>75</v>
      </c>
      <c r="N106" s="3">
        <v>21574</v>
      </c>
      <c r="O106" s="6">
        <f>Table1[[#This Row],[Invoice Qty]]-Table1[[#This Row],[ExFactory Qty]]</f>
        <v>0</v>
      </c>
      <c r="P106" s="1" t="s">
        <v>385</v>
      </c>
      <c r="Q106" s="2">
        <v>46268.796597222201</v>
      </c>
      <c r="R106" s="2">
        <v>46275</v>
      </c>
      <c r="S106" s="1" t="s">
        <v>39</v>
      </c>
      <c r="U106" s="1" t="s">
        <v>40</v>
      </c>
      <c r="V106" s="1" t="s">
        <v>77</v>
      </c>
      <c r="W106" s="1" t="s">
        <v>40</v>
      </c>
      <c r="X106" s="1" t="s">
        <v>40</v>
      </c>
      <c r="Z106" s="2">
        <v>46275</v>
      </c>
      <c r="AA106" s="1" t="s">
        <v>471</v>
      </c>
      <c r="AB106" s="2">
        <v>46268</v>
      </c>
      <c r="AC106" s="2">
        <v>46268.447094907402</v>
      </c>
      <c r="AE106" s="1" t="s">
        <v>40</v>
      </c>
      <c r="AF106" s="1" t="s">
        <v>326</v>
      </c>
    </row>
    <row r="107" spans="1:32" ht="12.75" hidden="1" customHeight="1" x14ac:dyDescent="0.2">
      <c r="A107" s="1" t="s">
        <v>30</v>
      </c>
      <c r="B107" s="1" t="s">
        <v>472</v>
      </c>
      <c r="C107" s="1" t="s">
        <v>71</v>
      </c>
      <c r="D107" s="1" t="s">
        <v>72</v>
      </c>
      <c r="E107" s="1" t="s">
        <v>473</v>
      </c>
      <c r="F107" s="1" t="s">
        <v>337</v>
      </c>
      <c r="G107" s="3">
        <v>929</v>
      </c>
      <c r="H107" s="4">
        <v>9</v>
      </c>
      <c r="I107" s="5">
        <v>1997.35</v>
      </c>
      <c r="J107" s="5">
        <v>0</v>
      </c>
      <c r="K107" s="1" t="s">
        <v>36</v>
      </c>
      <c r="L107" s="1" t="s">
        <v>75</v>
      </c>
      <c r="M107" s="1" t="s">
        <v>37</v>
      </c>
      <c r="N107" s="3">
        <v>929</v>
      </c>
      <c r="O107" s="6">
        <f>Table1[[#This Row],[Invoice Qty]]-Table1[[#This Row],[ExFactory Qty]]</f>
        <v>0</v>
      </c>
      <c r="P107" s="1" t="s">
        <v>474</v>
      </c>
      <c r="Q107" s="2">
        <v>46268.692893518499</v>
      </c>
      <c r="R107" s="2">
        <v>46280</v>
      </c>
      <c r="S107" s="1" t="s">
        <v>39</v>
      </c>
      <c r="U107" s="1" t="s">
        <v>40</v>
      </c>
      <c r="V107" s="1" t="s">
        <v>77</v>
      </c>
      <c r="W107" s="1" t="s">
        <v>40</v>
      </c>
      <c r="X107" s="1" t="s">
        <v>40</v>
      </c>
      <c r="Z107" s="2">
        <v>46281</v>
      </c>
      <c r="AA107" s="1" t="s">
        <v>475</v>
      </c>
      <c r="AB107" s="2">
        <v>46268</v>
      </c>
      <c r="AC107" s="2">
        <v>46268.447164351899</v>
      </c>
      <c r="AE107" s="1" t="s">
        <v>40</v>
      </c>
      <c r="AF107" s="1" t="s">
        <v>79</v>
      </c>
    </row>
    <row r="108" spans="1:32" ht="12.75" hidden="1" customHeight="1" x14ac:dyDescent="0.2">
      <c r="A108" s="1" t="s">
        <v>30</v>
      </c>
      <c r="B108" s="1" t="s">
        <v>476</v>
      </c>
      <c r="C108" s="1" t="s">
        <v>71</v>
      </c>
      <c r="D108" s="1" t="s">
        <v>72</v>
      </c>
      <c r="E108" s="1" t="s">
        <v>477</v>
      </c>
      <c r="F108" s="1" t="s">
        <v>337</v>
      </c>
      <c r="G108" s="3">
        <v>889</v>
      </c>
      <c r="H108" s="4">
        <v>9</v>
      </c>
      <c r="I108" s="5">
        <v>1911.35</v>
      </c>
      <c r="J108" s="5">
        <v>0</v>
      </c>
      <c r="K108" s="1" t="s">
        <v>36</v>
      </c>
      <c r="L108" s="1" t="s">
        <v>75</v>
      </c>
      <c r="M108" s="1" t="s">
        <v>37</v>
      </c>
      <c r="N108" s="3">
        <v>889</v>
      </c>
      <c r="O108" s="6">
        <f>Table1[[#This Row],[Invoice Qty]]-Table1[[#This Row],[ExFactory Qty]]</f>
        <v>0</v>
      </c>
      <c r="P108" s="1" t="s">
        <v>474</v>
      </c>
      <c r="Q108" s="2">
        <v>46268.692893518499</v>
      </c>
      <c r="R108" s="2">
        <v>46280</v>
      </c>
      <c r="S108" s="1" t="s">
        <v>39</v>
      </c>
      <c r="U108" s="1" t="s">
        <v>40</v>
      </c>
      <c r="V108" s="1" t="s">
        <v>77</v>
      </c>
      <c r="W108" s="1" t="s">
        <v>40</v>
      </c>
      <c r="X108" s="1" t="s">
        <v>40</v>
      </c>
      <c r="Z108" s="2">
        <v>46281</v>
      </c>
      <c r="AA108" s="1" t="s">
        <v>478</v>
      </c>
      <c r="AB108" s="2">
        <v>46268</v>
      </c>
      <c r="AC108" s="2">
        <v>46268.447164351899</v>
      </c>
      <c r="AE108" s="1" t="s">
        <v>40</v>
      </c>
      <c r="AF108" s="1" t="s">
        <v>79</v>
      </c>
    </row>
    <row r="109" spans="1:32" ht="12.75" hidden="1" customHeight="1" x14ac:dyDescent="0.2">
      <c r="A109" s="1" t="s">
        <v>30</v>
      </c>
      <c r="B109" s="1" t="s">
        <v>479</v>
      </c>
      <c r="C109" s="1" t="s">
        <v>71</v>
      </c>
      <c r="D109" s="1" t="s">
        <v>72</v>
      </c>
      <c r="E109" s="1" t="s">
        <v>480</v>
      </c>
      <c r="F109" s="1" t="s">
        <v>445</v>
      </c>
      <c r="G109" s="3">
        <v>163</v>
      </c>
      <c r="H109" s="4">
        <v>4</v>
      </c>
      <c r="I109" s="5">
        <v>451.51</v>
      </c>
      <c r="J109" s="5">
        <v>0</v>
      </c>
      <c r="K109" s="1" t="s">
        <v>36</v>
      </c>
      <c r="L109" s="1" t="s">
        <v>75</v>
      </c>
      <c r="M109" s="1" t="s">
        <v>37</v>
      </c>
      <c r="N109" s="3">
        <v>163</v>
      </c>
      <c r="O109" s="6">
        <f>Table1[[#This Row],[Invoice Qty]]-Table1[[#This Row],[ExFactory Qty]]</f>
        <v>0</v>
      </c>
      <c r="P109" s="1" t="s">
        <v>481</v>
      </c>
      <c r="Q109" s="2">
        <v>46268.6941898148</v>
      </c>
      <c r="R109" s="2">
        <v>46278</v>
      </c>
      <c r="S109" s="1" t="s">
        <v>39</v>
      </c>
      <c r="U109" s="1" t="s">
        <v>40</v>
      </c>
      <c r="V109" s="1" t="s">
        <v>77</v>
      </c>
      <c r="W109" s="1" t="s">
        <v>40</v>
      </c>
      <c r="X109" s="1" t="s">
        <v>40</v>
      </c>
      <c r="Z109" s="2">
        <v>46279</v>
      </c>
      <c r="AA109" s="1" t="s">
        <v>482</v>
      </c>
      <c r="AB109" s="2">
        <v>46268</v>
      </c>
      <c r="AC109" s="2">
        <v>46268.447164351899</v>
      </c>
      <c r="AE109" s="1" t="s">
        <v>40</v>
      </c>
      <c r="AF109" s="1" t="s">
        <v>79</v>
      </c>
    </row>
    <row r="110" spans="1:32" ht="12.75" hidden="1" customHeight="1" x14ac:dyDescent="0.2">
      <c r="A110" s="1" t="s">
        <v>30</v>
      </c>
      <c r="B110" s="1" t="s">
        <v>483</v>
      </c>
      <c r="C110" s="1" t="s">
        <v>71</v>
      </c>
      <c r="D110" s="1" t="s">
        <v>72</v>
      </c>
      <c r="E110" s="1" t="s">
        <v>484</v>
      </c>
      <c r="F110" s="1" t="s">
        <v>372</v>
      </c>
      <c r="G110" s="3">
        <v>458</v>
      </c>
      <c r="H110" s="4">
        <v>8</v>
      </c>
      <c r="I110" s="5">
        <v>1250.3399999999999</v>
      </c>
      <c r="J110" s="5">
        <v>0</v>
      </c>
      <c r="K110" s="1" t="s">
        <v>36</v>
      </c>
      <c r="L110" s="1" t="s">
        <v>75</v>
      </c>
      <c r="M110" s="1" t="s">
        <v>37</v>
      </c>
      <c r="N110" s="3">
        <v>458</v>
      </c>
      <c r="O110" s="6">
        <f>Table1[[#This Row],[Invoice Qty]]-Table1[[#This Row],[ExFactory Qty]]</f>
        <v>0</v>
      </c>
      <c r="P110" s="1" t="s">
        <v>485</v>
      </c>
      <c r="Q110" s="2">
        <v>46268.729571759301</v>
      </c>
      <c r="R110" s="2">
        <v>46276</v>
      </c>
      <c r="S110" s="1" t="s">
        <v>39</v>
      </c>
      <c r="U110" s="1" t="s">
        <v>40</v>
      </c>
      <c r="V110" s="1" t="s">
        <v>77</v>
      </c>
      <c r="W110" s="1" t="s">
        <v>40</v>
      </c>
      <c r="X110" s="1" t="s">
        <v>40</v>
      </c>
      <c r="Z110" s="2">
        <v>46277</v>
      </c>
      <c r="AA110" s="1" t="s">
        <v>486</v>
      </c>
      <c r="AB110" s="2">
        <v>46268</v>
      </c>
      <c r="AC110" s="2">
        <v>46268.447164351899</v>
      </c>
      <c r="AE110" s="1" t="s">
        <v>40</v>
      </c>
      <c r="AF110" s="1" t="s">
        <v>79</v>
      </c>
    </row>
    <row r="111" spans="1:32" ht="12.75" hidden="1" customHeight="1" x14ac:dyDescent="0.2">
      <c r="A111" s="1" t="s">
        <v>30</v>
      </c>
      <c r="B111" s="1" t="s">
        <v>487</v>
      </c>
      <c r="C111" s="1" t="s">
        <v>71</v>
      </c>
      <c r="D111" s="1" t="s">
        <v>323</v>
      </c>
      <c r="E111" s="1" t="s">
        <v>488</v>
      </c>
      <c r="F111" s="1" t="s">
        <v>108</v>
      </c>
      <c r="G111" s="3">
        <v>10</v>
      </c>
      <c r="H111" s="4">
        <v>1</v>
      </c>
      <c r="I111" s="5">
        <v>41.2</v>
      </c>
      <c r="J111" s="5">
        <v>0</v>
      </c>
      <c r="K111" s="1" t="s">
        <v>36</v>
      </c>
      <c r="L111" s="1" t="s">
        <v>75</v>
      </c>
      <c r="M111" s="1" t="s">
        <v>37</v>
      </c>
      <c r="N111" s="3">
        <v>10</v>
      </c>
      <c r="O111" s="6">
        <f>Table1[[#This Row],[Invoice Qty]]-Table1[[#This Row],[ExFactory Qty]]</f>
        <v>0</v>
      </c>
      <c r="P111" s="1" t="s">
        <v>485</v>
      </c>
      <c r="Q111" s="2">
        <v>46268.729571759301</v>
      </c>
      <c r="R111" s="2">
        <v>46278</v>
      </c>
      <c r="S111" s="1" t="s">
        <v>39</v>
      </c>
      <c r="U111" s="1" t="s">
        <v>40</v>
      </c>
      <c r="V111" s="1" t="s">
        <v>77</v>
      </c>
      <c r="W111" s="1" t="s">
        <v>40</v>
      </c>
      <c r="X111" s="1" t="s">
        <v>40</v>
      </c>
      <c r="Z111" s="2">
        <v>46279</v>
      </c>
      <c r="AA111" s="1" t="s">
        <v>489</v>
      </c>
      <c r="AB111" s="2">
        <v>46268</v>
      </c>
      <c r="AC111" s="2">
        <v>46268.447164351899</v>
      </c>
      <c r="AE111" s="1" t="s">
        <v>40</v>
      </c>
      <c r="AF111" s="1" t="s">
        <v>326</v>
      </c>
    </row>
    <row r="112" spans="1:32" ht="12.75" hidden="1" customHeight="1" x14ac:dyDescent="0.2">
      <c r="A112" s="1" t="s">
        <v>30</v>
      </c>
      <c r="B112" s="1" t="s">
        <v>490</v>
      </c>
      <c r="C112" s="1" t="s">
        <v>71</v>
      </c>
      <c r="D112" s="1" t="s">
        <v>323</v>
      </c>
      <c r="E112" s="1" t="s">
        <v>491</v>
      </c>
      <c r="F112" s="1" t="s">
        <v>367</v>
      </c>
      <c r="G112" s="3">
        <v>466</v>
      </c>
      <c r="H112" s="4">
        <v>6</v>
      </c>
      <c r="I112" s="5">
        <v>1048.5</v>
      </c>
      <c r="J112" s="5">
        <v>0</v>
      </c>
      <c r="K112" s="1" t="s">
        <v>36</v>
      </c>
      <c r="L112" s="1" t="s">
        <v>75</v>
      </c>
      <c r="M112" s="1" t="s">
        <v>37</v>
      </c>
      <c r="N112" s="3">
        <v>466</v>
      </c>
      <c r="O112" s="6">
        <f>Table1[[#This Row],[Invoice Qty]]-Table1[[#This Row],[ExFactory Qty]]</f>
        <v>0</v>
      </c>
      <c r="P112" s="1" t="s">
        <v>485</v>
      </c>
      <c r="Q112" s="2">
        <v>46268.729571759301</v>
      </c>
      <c r="R112" s="2">
        <v>46275</v>
      </c>
      <c r="S112" s="1" t="s">
        <v>39</v>
      </c>
      <c r="U112" s="1" t="s">
        <v>40</v>
      </c>
      <c r="V112" s="1" t="s">
        <v>77</v>
      </c>
      <c r="W112" s="1" t="s">
        <v>40</v>
      </c>
      <c r="X112" s="1" t="s">
        <v>40</v>
      </c>
      <c r="Z112" s="2">
        <v>46275</v>
      </c>
      <c r="AA112" s="1" t="s">
        <v>492</v>
      </c>
      <c r="AB112" s="2">
        <v>46268</v>
      </c>
      <c r="AC112" s="2">
        <v>46268.447164351899</v>
      </c>
      <c r="AE112" s="1" t="s">
        <v>40</v>
      </c>
      <c r="AF112" s="1" t="s">
        <v>326</v>
      </c>
    </row>
    <row r="113" spans="1:32" ht="12.75" hidden="1" customHeight="1" x14ac:dyDescent="0.2">
      <c r="A113" s="1" t="s">
        <v>30</v>
      </c>
      <c r="B113" s="1" t="s">
        <v>493</v>
      </c>
      <c r="C113" s="1" t="s">
        <v>71</v>
      </c>
      <c r="D113" s="1" t="s">
        <v>72</v>
      </c>
      <c r="E113" s="1" t="s">
        <v>494</v>
      </c>
      <c r="F113" s="1" t="s">
        <v>376</v>
      </c>
      <c r="G113" s="3">
        <v>1170</v>
      </c>
      <c r="H113" s="4">
        <v>17</v>
      </c>
      <c r="I113" s="5">
        <v>3147.3</v>
      </c>
      <c r="J113" s="5">
        <v>0</v>
      </c>
      <c r="K113" s="1" t="s">
        <v>36</v>
      </c>
      <c r="L113" s="1" t="s">
        <v>75</v>
      </c>
      <c r="M113" s="1" t="s">
        <v>37</v>
      </c>
      <c r="N113" s="3">
        <v>1170</v>
      </c>
      <c r="O113" s="6">
        <f>Table1[[#This Row],[Invoice Qty]]-Table1[[#This Row],[ExFactory Qty]]</f>
        <v>0</v>
      </c>
      <c r="P113" s="1" t="s">
        <v>481</v>
      </c>
      <c r="Q113" s="2">
        <v>46268.6941898148</v>
      </c>
      <c r="R113" s="2">
        <v>46274</v>
      </c>
      <c r="S113" s="1" t="s">
        <v>39</v>
      </c>
      <c r="U113" s="1" t="s">
        <v>40</v>
      </c>
      <c r="V113" s="1" t="s">
        <v>77</v>
      </c>
      <c r="W113" s="1" t="s">
        <v>40</v>
      </c>
      <c r="X113" s="1" t="s">
        <v>40</v>
      </c>
      <c r="Z113" s="2">
        <v>46274</v>
      </c>
      <c r="AA113" s="1" t="s">
        <v>495</v>
      </c>
      <c r="AB113" s="2">
        <v>46268</v>
      </c>
      <c r="AC113" s="2">
        <v>46268.447164351899</v>
      </c>
      <c r="AE113" s="1" t="s">
        <v>40</v>
      </c>
      <c r="AF113" s="1" t="s">
        <v>79</v>
      </c>
    </row>
    <row r="114" spans="1:32" ht="12.75" hidden="1" customHeight="1" x14ac:dyDescent="0.2">
      <c r="A114" s="1" t="s">
        <v>30</v>
      </c>
      <c r="B114" s="1" t="s">
        <v>496</v>
      </c>
      <c r="C114" s="1" t="s">
        <v>71</v>
      </c>
      <c r="D114" s="1" t="s">
        <v>72</v>
      </c>
      <c r="E114" s="1" t="s">
        <v>494</v>
      </c>
      <c r="F114" s="1" t="s">
        <v>341</v>
      </c>
      <c r="G114" s="3">
        <v>558</v>
      </c>
      <c r="H114" s="4">
        <v>9</v>
      </c>
      <c r="I114" s="5">
        <v>1501.02</v>
      </c>
      <c r="J114" s="5">
        <v>0</v>
      </c>
      <c r="K114" s="1" t="s">
        <v>36</v>
      </c>
      <c r="L114" s="1" t="s">
        <v>75</v>
      </c>
      <c r="M114" s="1" t="s">
        <v>37</v>
      </c>
      <c r="N114" s="3">
        <v>558</v>
      </c>
      <c r="O114" s="6">
        <f>Table1[[#This Row],[Invoice Qty]]-Table1[[#This Row],[ExFactory Qty]]</f>
        <v>0</v>
      </c>
      <c r="P114" s="1" t="s">
        <v>481</v>
      </c>
      <c r="Q114" s="2">
        <v>46268.6941898148</v>
      </c>
      <c r="R114" s="2">
        <v>46276</v>
      </c>
      <c r="S114" s="1" t="s">
        <v>39</v>
      </c>
      <c r="U114" s="1" t="s">
        <v>40</v>
      </c>
      <c r="V114" s="1" t="s">
        <v>77</v>
      </c>
      <c r="W114" s="1" t="s">
        <v>40</v>
      </c>
      <c r="X114" s="1" t="s">
        <v>40</v>
      </c>
      <c r="Z114" s="2">
        <v>46277</v>
      </c>
      <c r="AA114" s="1" t="s">
        <v>497</v>
      </c>
      <c r="AB114" s="2">
        <v>46268</v>
      </c>
      <c r="AC114" s="2">
        <v>46268.447164351899</v>
      </c>
      <c r="AE114" s="1" t="s">
        <v>40</v>
      </c>
      <c r="AF114" s="1" t="s">
        <v>79</v>
      </c>
    </row>
    <row r="115" spans="1:32" ht="12.75" hidden="1" customHeight="1" x14ac:dyDescent="0.2">
      <c r="A115" s="1" t="s">
        <v>30</v>
      </c>
      <c r="B115" s="1" t="s">
        <v>498</v>
      </c>
      <c r="C115" s="1" t="s">
        <v>71</v>
      </c>
      <c r="D115" s="1" t="s">
        <v>72</v>
      </c>
      <c r="E115" s="1" t="s">
        <v>494</v>
      </c>
      <c r="F115" s="1" t="s">
        <v>345</v>
      </c>
      <c r="G115" s="3">
        <v>450</v>
      </c>
      <c r="H115" s="4">
        <v>8</v>
      </c>
      <c r="I115" s="5">
        <v>1210.5</v>
      </c>
      <c r="J115" s="5">
        <v>0</v>
      </c>
      <c r="K115" s="1" t="s">
        <v>36</v>
      </c>
      <c r="L115" s="1" t="s">
        <v>75</v>
      </c>
      <c r="M115" s="1" t="s">
        <v>37</v>
      </c>
      <c r="N115" s="3">
        <v>450</v>
      </c>
      <c r="O115" s="6">
        <f>Table1[[#This Row],[Invoice Qty]]-Table1[[#This Row],[ExFactory Qty]]</f>
        <v>0</v>
      </c>
      <c r="P115" s="1" t="s">
        <v>481</v>
      </c>
      <c r="Q115" s="2">
        <v>46268.6941898148</v>
      </c>
      <c r="R115" s="2">
        <v>46274</v>
      </c>
      <c r="S115" s="1" t="s">
        <v>39</v>
      </c>
      <c r="U115" s="1" t="s">
        <v>40</v>
      </c>
      <c r="V115" s="1" t="s">
        <v>77</v>
      </c>
      <c r="W115" s="1" t="s">
        <v>40</v>
      </c>
      <c r="X115" s="1" t="s">
        <v>40</v>
      </c>
      <c r="Z115" s="2">
        <v>46274</v>
      </c>
      <c r="AA115" s="1" t="s">
        <v>499</v>
      </c>
      <c r="AB115" s="2">
        <v>46268</v>
      </c>
      <c r="AC115" s="2">
        <v>46268.447164351899</v>
      </c>
      <c r="AE115" s="1" t="s">
        <v>40</v>
      </c>
      <c r="AF115" s="1" t="s">
        <v>79</v>
      </c>
    </row>
    <row r="116" spans="1:32" ht="12.75" hidden="1" customHeight="1" x14ac:dyDescent="0.2">
      <c r="A116" s="1" t="s">
        <v>30</v>
      </c>
      <c r="B116" s="1" t="s">
        <v>500</v>
      </c>
      <c r="C116" s="1" t="s">
        <v>71</v>
      </c>
      <c r="D116" s="1" t="s">
        <v>323</v>
      </c>
      <c r="E116" s="1" t="s">
        <v>501</v>
      </c>
      <c r="F116" s="1" t="s">
        <v>337</v>
      </c>
      <c r="G116" s="3">
        <v>591</v>
      </c>
      <c r="H116" s="4">
        <v>9</v>
      </c>
      <c r="I116" s="5">
        <v>2464.4699999999998</v>
      </c>
      <c r="J116" s="5">
        <v>0</v>
      </c>
      <c r="K116" s="1" t="s">
        <v>36</v>
      </c>
      <c r="L116" s="1" t="s">
        <v>75</v>
      </c>
      <c r="M116" s="1" t="s">
        <v>37</v>
      </c>
      <c r="N116" s="3">
        <v>591</v>
      </c>
      <c r="O116" s="6">
        <f>Table1[[#This Row],[Invoice Qty]]-Table1[[#This Row],[ExFactory Qty]]</f>
        <v>0</v>
      </c>
      <c r="P116" s="1" t="s">
        <v>474</v>
      </c>
      <c r="Q116" s="2">
        <v>46268.692893518499</v>
      </c>
      <c r="R116" s="2">
        <v>46280</v>
      </c>
      <c r="S116" s="1" t="s">
        <v>39</v>
      </c>
      <c r="U116" s="1" t="s">
        <v>40</v>
      </c>
      <c r="V116" s="1" t="s">
        <v>77</v>
      </c>
      <c r="W116" s="1" t="s">
        <v>40</v>
      </c>
      <c r="X116" s="1" t="s">
        <v>40</v>
      </c>
      <c r="Z116" s="2">
        <v>46281</v>
      </c>
      <c r="AA116" s="1" t="s">
        <v>502</v>
      </c>
      <c r="AB116" s="2">
        <v>46268</v>
      </c>
      <c r="AC116" s="2">
        <v>46268.447164351899</v>
      </c>
      <c r="AE116" s="1" t="s">
        <v>40</v>
      </c>
      <c r="AF116" s="1" t="s">
        <v>326</v>
      </c>
    </row>
    <row r="117" spans="1:32" ht="12.75" hidden="1" customHeight="1" x14ac:dyDescent="0.2">
      <c r="A117" s="1" t="s">
        <v>30</v>
      </c>
      <c r="B117" s="1" t="s">
        <v>503</v>
      </c>
      <c r="C117" s="1" t="s">
        <v>71</v>
      </c>
      <c r="D117" s="1" t="s">
        <v>323</v>
      </c>
      <c r="E117" s="1" t="s">
        <v>504</v>
      </c>
      <c r="F117" s="1" t="s">
        <v>376</v>
      </c>
      <c r="G117" s="3">
        <v>617</v>
      </c>
      <c r="H117" s="4">
        <v>8</v>
      </c>
      <c r="I117" s="5">
        <v>1406.76</v>
      </c>
      <c r="J117" s="5">
        <v>0</v>
      </c>
      <c r="K117" s="1" t="s">
        <v>36</v>
      </c>
      <c r="L117" s="1" t="s">
        <v>75</v>
      </c>
      <c r="M117" s="1" t="s">
        <v>37</v>
      </c>
      <c r="N117" s="3">
        <v>617</v>
      </c>
      <c r="O117" s="6">
        <f>Table1[[#This Row],[Invoice Qty]]-Table1[[#This Row],[ExFactory Qty]]</f>
        <v>0</v>
      </c>
      <c r="P117" s="1" t="s">
        <v>481</v>
      </c>
      <c r="Q117" s="2">
        <v>46268.6941898148</v>
      </c>
      <c r="R117" s="2">
        <v>46274</v>
      </c>
      <c r="S117" s="1" t="s">
        <v>39</v>
      </c>
      <c r="U117" s="1" t="s">
        <v>40</v>
      </c>
      <c r="V117" s="1" t="s">
        <v>77</v>
      </c>
      <c r="W117" s="1" t="s">
        <v>40</v>
      </c>
      <c r="X117" s="1" t="s">
        <v>40</v>
      </c>
      <c r="Z117" s="2">
        <v>46274</v>
      </c>
      <c r="AA117" s="1" t="s">
        <v>505</v>
      </c>
      <c r="AB117" s="2">
        <v>46268</v>
      </c>
      <c r="AC117" s="2">
        <v>46268.447164351899</v>
      </c>
      <c r="AE117" s="1" t="s">
        <v>40</v>
      </c>
      <c r="AF117" s="1" t="s">
        <v>326</v>
      </c>
    </row>
    <row r="118" spans="1:32" ht="12.75" hidden="1" customHeight="1" x14ac:dyDescent="0.2">
      <c r="A118" s="1" t="s">
        <v>30</v>
      </c>
      <c r="B118" s="1" t="s">
        <v>506</v>
      </c>
      <c r="C118" s="1" t="s">
        <v>71</v>
      </c>
      <c r="D118" s="1" t="s">
        <v>323</v>
      </c>
      <c r="E118" s="1" t="s">
        <v>504</v>
      </c>
      <c r="F118" s="1" t="s">
        <v>341</v>
      </c>
      <c r="G118" s="3">
        <v>397</v>
      </c>
      <c r="H118" s="4">
        <v>5</v>
      </c>
      <c r="I118" s="5">
        <v>905.16</v>
      </c>
      <c r="J118" s="5">
        <v>0</v>
      </c>
      <c r="K118" s="1" t="s">
        <v>36</v>
      </c>
      <c r="L118" s="1" t="s">
        <v>75</v>
      </c>
      <c r="M118" s="1" t="s">
        <v>37</v>
      </c>
      <c r="N118" s="3">
        <v>397</v>
      </c>
      <c r="O118" s="6">
        <f>Table1[[#This Row],[Invoice Qty]]-Table1[[#This Row],[ExFactory Qty]]</f>
        <v>0</v>
      </c>
      <c r="P118" s="1" t="s">
        <v>481</v>
      </c>
      <c r="Q118" s="2">
        <v>46268.6941898148</v>
      </c>
      <c r="R118" s="2">
        <v>46276</v>
      </c>
      <c r="S118" s="1" t="s">
        <v>39</v>
      </c>
      <c r="U118" s="1" t="s">
        <v>40</v>
      </c>
      <c r="V118" s="1" t="s">
        <v>77</v>
      </c>
      <c r="W118" s="1" t="s">
        <v>40</v>
      </c>
      <c r="X118" s="1" t="s">
        <v>40</v>
      </c>
      <c r="Z118" s="2">
        <v>46277</v>
      </c>
      <c r="AA118" s="1" t="s">
        <v>507</v>
      </c>
      <c r="AB118" s="2">
        <v>46268</v>
      </c>
      <c r="AC118" s="2">
        <v>46268.447164351899</v>
      </c>
      <c r="AE118" s="1" t="s">
        <v>40</v>
      </c>
      <c r="AF118" s="1" t="s">
        <v>326</v>
      </c>
    </row>
    <row r="119" spans="1:32" ht="12.75" hidden="1" customHeight="1" x14ac:dyDescent="0.2">
      <c r="A119" s="1" t="s">
        <v>30</v>
      </c>
      <c r="B119" s="1" t="s">
        <v>508</v>
      </c>
      <c r="C119" s="1" t="s">
        <v>71</v>
      </c>
      <c r="D119" s="1" t="s">
        <v>323</v>
      </c>
      <c r="E119" s="1" t="s">
        <v>504</v>
      </c>
      <c r="F119" s="1" t="s">
        <v>345</v>
      </c>
      <c r="G119" s="3">
        <v>461</v>
      </c>
      <c r="H119" s="4">
        <v>6</v>
      </c>
      <c r="I119" s="5">
        <v>1051.08</v>
      </c>
      <c r="J119" s="5">
        <v>0</v>
      </c>
      <c r="K119" s="1" t="s">
        <v>36</v>
      </c>
      <c r="L119" s="1" t="s">
        <v>75</v>
      </c>
      <c r="M119" s="1" t="s">
        <v>37</v>
      </c>
      <c r="N119" s="3">
        <v>461</v>
      </c>
      <c r="O119" s="6">
        <f>Table1[[#This Row],[Invoice Qty]]-Table1[[#This Row],[ExFactory Qty]]</f>
        <v>0</v>
      </c>
      <c r="P119" s="1" t="s">
        <v>481</v>
      </c>
      <c r="Q119" s="2">
        <v>46268.6941898148</v>
      </c>
      <c r="R119" s="2">
        <v>46274</v>
      </c>
      <c r="S119" s="1" t="s">
        <v>39</v>
      </c>
      <c r="U119" s="1" t="s">
        <v>40</v>
      </c>
      <c r="V119" s="1" t="s">
        <v>77</v>
      </c>
      <c r="W119" s="1" t="s">
        <v>40</v>
      </c>
      <c r="X119" s="1" t="s">
        <v>40</v>
      </c>
      <c r="Z119" s="2">
        <v>46274</v>
      </c>
      <c r="AA119" s="1" t="s">
        <v>509</v>
      </c>
      <c r="AB119" s="2">
        <v>46268</v>
      </c>
      <c r="AC119" s="2">
        <v>46268.447164351899</v>
      </c>
      <c r="AE119" s="1" t="s">
        <v>40</v>
      </c>
      <c r="AF119" s="1" t="s">
        <v>326</v>
      </c>
    </row>
    <row r="120" spans="1:32" ht="12.75" hidden="1" customHeight="1" x14ac:dyDescent="0.2">
      <c r="A120" s="1" t="s">
        <v>30</v>
      </c>
      <c r="B120" s="1" t="s">
        <v>510</v>
      </c>
      <c r="C120" s="1" t="s">
        <v>71</v>
      </c>
      <c r="D120" s="1" t="s">
        <v>323</v>
      </c>
      <c r="E120" s="1" t="s">
        <v>511</v>
      </c>
      <c r="F120" s="1" t="s">
        <v>372</v>
      </c>
      <c r="G120" s="3">
        <v>2040</v>
      </c>
      <c r="H120" s="4">
        <v>25</v>
      </c>
      <c r="I120" s="5">
        <v>8506.7999999999993</v>
      </c>
      <c r="J120" s="5">
        <v>0</v>
      </c>
      <c r="K120" s="1" t="s">
        <v>36</v>
      </c>
      <c r="L120" s="1" t="s">
        <v>75</v>
      </c>
      <c r="M120" s="1" t="s">
        <v>37</v>
      </c>
      <c r="N120" s="3">
        <v>2040</v>
      </c>
      <c r="O120" s="6">
        <f>Table1[[#This Row],[Invoice Qty]]-Table1[[#This Row],[ExFactory Qty]]</f>
        <v>0</v>
      </c>
      <c r="P120" s="1" t="s">
        <v>485</v>
      </c>
      <c r="Q120" s="2">
        <v>46268.729571759301</v>
      </c>
      <c r="R120" s="2">
        <v>46276</v>
      </c>
      <c r="S120" s="1" t="s">
        <v>39</v>
      </c>
      <c r="U120" s="1" t="s">
        <v>40</v>
      </c>
      <c r="V120" s="1" t="s">
        <v>77</v>
      </c>
      <c r="W120" s="1" t="s">
        <v>40</v>
      </c>
      <c r="X120" s="1" t="s">
        <v>40</v>
      </c>
      <c r="Z120" s="2">
        <v>46274</v>
      </c>
      <c r="AA120" s="1" t="s">
        <v>512</v>
      </c>
      <c r="AB120" s="2">
        <v>46268</v>
      </c>
      <c r="AC120" s="2">
        <v>46268</v>
      </c>
      <c r="AE120" s="1" t="s">
        <v>40</v>
      </c>
      <c r="AF120" s="1" t="s">
        <v>326</v>
      </c>
    </row>
    <row r="121" spans="1:32" ht="12.75" hidden="1" customHeight="1" x14ac:dyDescent="0.2">
      <c r="A121" s="1" t="s">
        <v>30</v>
      </c>
      <c r="B121" s="1" t="s">
        <v>513</v>
      </c>
      <c r="C121" s="1" t="s">
        <v>71</v>
      </c>
      <c r="D121" s="1" t="s">
        <v>323</v>
      </c>
      <c r="E121" s="1" t="s">
        <v>491</v>
      </c>
      <c r="F121" s="1" t="s">
        <v>372</v>
      </c>
      <c r="G121" s="3">
        <v>2011</v>
      </c>
      <c r="H121" s="4">
        <v>22</v>
      </c>
      <c r="I121" s="5">
        <v>4585.08</v>
      </c>
      <c r="J121" s="5">
        <v>0</v>
      </c>
      <c r="K121" s="1" t="s">
        <v>36</v>
      </c>
      <c r="L121" s="1" t="s">
        <v>75</v>
      </c>
      <c r="M121" s="1" t="s">
        <v>37</v>
      </c>
      <c r="N121" s="3">
        <v>2011</v>
      </c>
      <c r="O121" s="6">
        <f>Table1[[#This Row],[Invoice Qty]]-Table1[[#This Row],[ExFactory Qty]]</f>
        <v>0</v>
      </c>
      <c r="P121" s="1" t="s">
        <v>485</v>
      </c>
      <c r="Q121" s="2">
        <v>46268.729571759301</v>
      </c>
      <c r="R121" s="2">
        <v>46276</v>
      </c>
      <c r="S121" s="1" t="s">
        <v>39</v>
      </c>
      <c r="U121" s="1" t="s">
        <v>40</v>
      </c>
      <c r="V121" s="1" t="s">
        <v>77</v>
      </c>
      <c r="W121" s="1" t="s">
        <v>40</v>
      </c>
      <c r="X121" s="1" t="s">
        <v>40</v>
      </c>
      <c r="Z121" s="2">
        <v>46274</v>
      </c>
      <c r="AA121" s="1" t="s">
        <v>514</v>
      </c>
      <c r="AB121" s="2">
        <v>46268</v>
      </c>
      <c r="AC121" s="2">
        <v>46268</v>
      </c>
      <c r="AE121" s="1" t="s">
        <v>40</v>
      </c>
      <c r="AF121" s="1" t="s">
        <v>326</v>
      </c>
    </row>
    <row r="122" spans="1:32" ht="12.75" hidden="1" customHeight="1" x14ac:dyDescent="0.2">
      <c r="A122" s="1" t="s">
        <v>30</v>
      </c>
      <c r="B122" s="1" t="s">
        <v>515</v>
      </c>
      <c r="C122" s="1" t="s">
        <v>71</v>
      </c>
      <c r="D122" s="1" t="s">
        <v>365</v>
      </c>
      <c r="E122" s="1" t="s">
        <v>366</v>
      </c>
      <c r="F122" s="1" t="s">
        <v>372</v>
      </c>
      <c r="G122" s="3">
        <v>1351</v>
      </c>
      <c r="H122" s="4">
        <v>13</v>
      </c>
      <c r="I122" s="5">
        <v>7822.29</v>
      </c>
      <c r="J122" s="5">
        <v>0</v>
      </c>
      <c r="K122" s="1" t="s">
        <v>36</v>
      </c>
      <c r="L122" s="1" t="s">
        <v>75</v>
      </c>
      <c r="M122" s="1" t="s">
        <v>75</v>
      </c>
      <c r="N122" s="3">
        <v>1351</v>
      </c>
      <c r="O122" s="6">
        <f>Table1[[#This Row],[Invoice Qty]]-Table1[[#This Row],[ExFactory Qty]]</f>
        <v>0</v>
      </c>
      <c r="P122" s="1" t="s">
        <v>368</v>
      </c>
      <c r="Q122" s="2">
        <v>46268.713391203702</v>
      </c>
      <c r="R122" s="2">
        <v>46276</v>
      </c>
      <c r="S122" s="1" t="s">
        <v>39</v>
      </c>
      <c r="U122" s="1" t="s">
        <v>40</v>
      </c>
      <c r="V122" s="1" t="s">
        <v>77</v>
      </c>
      <c r="W122" s="1" t="s">
        <v>40</v>
      </c>
      <c r="X122" s="1" t="s">
        <v>40</v>
      </c>
      <c r="Z122" s="2">
        <v>46274</v>
      </c>
      <c r="AA122" s="1" t="s">
        <v>516</v>
      </c>
      <c r="AB122" s="2">
        <v>46268</v>
      </c>
      <c r="AC122" s="2">
        <v>46268</v>
      </c>
      <c r="AE122" s="1" t="s">
        <v>40</v>
      </c>
      <c r="AF122" s="1" t="s">
        <v>40</v>
      </c>
    </row>
    <row r="123" spans="1:32" ht="12.75" hidden="1" customHeight="1" x14ac:dyDescent="0.2">
      <c r="A123" s="1" t="s">
        <v>30</v>
      </c>
      <c r="B123" s="1" t="s">
        <v>517</v>
      </c>
      <c r="C123" s="1" t="s">
        <v>71</v>
      </c>
      <c r="D123" s="1" t="s">
        <v>323</v>
      </c>
      <c r="E123" s="1" t="s">
        <v>518</v>
      </c>
      <c r="F123" s="1" t="s">
        <v>372</v>
      </c>
      <c r="G123" s="3">
        <v>419</v>
      </c>
      <c r="H123" s="4">
        <v>10</v>
      </c>
      <c r="I123" s="5">
        <v>1432.98</v>
      </c>
      <c r="J123" s="5">
        <v>0</v>
      </c>
      <c r="K123" s="1" t="s">
        <v>36</v>
      </c>
      <c r="L123" s="1" t="s">
        <v>75</v>
      </c>
      <c r="M123" s="1" t="s">
        <v>75</v>
      </c>
      <c r="N123" s="3">
        <v>419</v>
      </c>
      <c r="O123" s="6">
        <f>Table1[[#This Row],[Invoice Qty]]-Table1[[#This Row],[ExFactory Qty]]</f>
        <v>0</v>
      </c>
      <c r="P123" s="1" t="s">
        <v>368</v>
      </c>
      <c r="Q123" s="2">
        <v>46268.713391203702</v>
      </c>
      <c r="R123" s="2">
        <v>46276</v>
      </c>
      <c r="S123" s="1" t="s">
        <v>39</v>
      </c>
      <c r="U123" s="1" t="s">
        <v>40</v>
      </c>
      <c r="V123" s="1" t="s">
        <v>77</v>
      </c>
      <c r="W123" s="1" t="s">
        <v>40</v>
      </c>
      <c r="X123" s="1" t="s">
        <v>40</v>
      </c>
      <c r="Z123" s="2">
        <v>46274</v>
      </c>
      <c r="AA123" s="1" t="s">
        <v>519</v>
      </c>
      <c r="AB123" s="2">
        <v>46268</v>
      </c>
      <c r="AC123" s="2">
        <v>46268</v>
      </c>
      <c r="AE123" s="1" t="s">
        <v>40</v>
      </c>
      <c r="AF123" s="1" t="s">
        <v>326</v>
      </c>
    </row>
    <row r="124" spans="1:32" ht="12.75" hidden="1" customHeight="1" x14ac:dyDescent="0.2">
      <c r="A124" s="1" t="s">
        <v>30</v>
      </c>
      <c r="B124" s="1" t="s">
        <v>520</v>
      </c>
      <c r="C124" s="1" t="s">
        <v>71</v>
      </c>
      <c r="D124" s="1" t="s">
        <v>323</v>
      </c>
      <c r="E124" s="1" t="s">
        <v>521</v>
      </c>
      <c r="F124" s="1" t="s">
        <v>372</v>
      </c>
      <c r="G124" s="3">
        <v>942</v>
      </c>
      <c r="H124" s="4">
        <v>15</v>
      </c>
      <c r="I124" s="5">
        <v>3042.66</v>
      </c>
      <c r="J124" s="5">
        <v>0</v>
      </c>
      <c r="K124" s="1" t="s">
        <v>36</v>
      </c>
      <c r="L124" s="1" t="s">
        <v>75</v>
      </c>
      <c r="M124" s="1" t="s">
        <v>75</v>
      </c>
      <c r="N124" s="3">
        <v>942</v>
      </c>
      <c r="O124" s="6">
        <f>Table1[[#This Row],[Invoice Qty]]-Table1[[#This Row],[ExFactory Qty]]</f>
        <v>0</v>
      </c>
      <c r="P124" s="1" t="s">
        <v>368</v>
      </c>
      <c r="Q124" s="2">
        <v>46268.713391203702</v>
      </c>
      <c r="R124" s="2">
        <v>46276</v>
      </c>
      <c r="S124" s="1" t="s">
        <v>39</v>
      </c>
      <c r="U124" s="1" t="s">
        <v>40</v>
      </c>
      <c r="V124" s="1" t="s">
        <v>77</v>
      </c>
      <c r="W124" s="1" t="s">
        <v>40</v>
      </c>
      <c r="X124" s="1" t="s">
        <v>40</v>
      </c>
      <c r="Z124" s="2">
        <v>46274</v>
      </c>
      <c r="AA124" s="1" t="s">
        <v>522</v>
      </c>
      <c r="AB124" s="2">
        <v>46268</v>
      </c>
      <c r="AC124" s="2">
        <v>46268</v>
      </c>
      <c r="AE124" s="1" t="s">
        <v>40</v>
      </c>
      <c r="AF124" s="1" t="s">
        <v>326</v>
      </c>
    </row>
    <row r="125" spans="1:32" ht="12.75" hidden="1" customHeight="1" x14ac:dyDescent="0.2">
      <c r="A125" s="1" t="s">
        <v>30</v>
      </c>
      <c r="B125" s="1" t="s">
        <v>523</v>
      </c>
      <c r="C125" s="1" t="s">
        <v>32</v>
      </c>
      <c r="D125" s="1" t="s">
        <v>33</v>
      </c>
      <c r="E125" s="1" t="s">
        <v>524</v>
      </c>
      <c r="F125" s="1" t="s">
        <v>35</v>
      </c>
      <c r="G125" s="3">
        <v>4378</v>
      </c>
      <c r="H125" s="4">
        <v>157</v>
      </c>
      <c r="I125" s="5">
        <v>27493.84</v>
      </c>
      <c r="J125" s="5">
        <v>0</v>
      </c>
      <c r="K125" s="1" t="s">
        <v>36</v>
      </c>
      <c r="L125" s="1" t="s">
        <v>37</v>
      </c>
      <c r="M125" s="1" t="s">
        <v>37</v>
      </c>
      <c r="N125" s="3">
        <v>4378</v>
      </c>
      <c r="O125" s="6">
        <f>Table1[[#This Row],[Invoice Qty]]-Table1[[#This Row],[ExFactory Qty]]</f>
        <v>0</v>
      </c>
      <c r="P125" s="1" t="s">
        <v>157</v>
      </c>
      <c r="Q125" s="2">
        <v>46277.697349536997</v>
      </c>
      <c r="R125" s="2">
        <v>46288</v>
      </c>
      <c r="S125" s="1" t="s">
        <v>39</v>
      </c>
      <c r="U125" s="1" t="s">
        <v>40</v>
      </c>
      <c r="V125" s="1" t="s">
        <v>41</v>
      </c>
      <c r="W125" s="1" t="s">
        <v>40</v>
      </c>
      <c r="X125" s="1" t="s">
        <v>40</v>
      </c>
      <c r="AA125" s="1" t="s">
        <v>525</v>
      </c>
      <c r="AB125" s="2">
        <v>46277</v>
      </c>
      <c r="AC125" s="2">
        <v>46268</v>
      </c>
      <c r="AE125" s="1" t="s">
        <v>40</v>
      </c>
      <c r="AF125" s="1" t="s">
        <v>43</v>
      </c>
    </row>
    <row r="126" spans="1:32" ht="12.75" hidden="1" customHeight="1" x14ac:dyDescent="0.2">
      <c r="A126" s="1" t="s">
        <v>111</v>
      </c>
      <c r="B126" s="1" t="s">
        <v>526</v>
      </c>
      <c r="C126" s="1" t="s">
        <v>527</v>
      </c>
      <c r="D126" s="1" t="s">
        <v>528</v>
      </c>
      <c r="E126" s="1" t="s">
        <v>529</v>
      </c>
      <c r="F126" s="1" t="s">
        <v>206</v>
      </c>
      <c r="G126" s="3">
        <v>823</v>
      </c>
      <c r="H126" s="4">
        <v>17</v>
      </c>
      <c r="I126" s="5">
        <v>6666.3</v>
      </c>
      <c r="J126" s="5">
        <v>0</v>
      </c>
      <c r="K126" s="1" t="s">
        <v>36</v>
      </c>
      <c r="L126" s="1" t="s">
        <v>51</v>
      </c>
      <c r="M126" s="1" t="s">
        <v>37</v>
      </c>
      <c r="N126" s="3">
        <v>823</v>
      </c>
      <c r="O126" s="6">
        <f>Table1[[#This Row],[Invoice Qty]]-Table1[[#This Row],[ExFactory Qty]]</f>
        <v>0</v>
      </c>
      <c r="P126" s="1" t="s">
        <v>530</v>
      </c>
      <c r="Q126" s="2">
        <v>46270.730995370403</v>
      </c>
      <c r="R126" s="2">
        <v>46281</v>
      </c>
      <c r="S126" s="1" t="s">
        <v>53</v>
      </c>
      <c r="T126" s="2">
        <v>46287</v>
      </c>
      <c r="U126" s="1" t="s">
        <v>531</v>
      </c>
      <c r="V126" s="1" t="s">
        <v>532</v>
      </c>
      <c r="W126" s="1" t="s">
        <v>40</v>
      </c>
      <c r="X126" s="1" t="s">
        <v>40</v>
      </c>
      <c r="AA126" s="1" t="s">
        <v>533</v>
      </c>
      <c r="AB126" s="2">
        <v>46268</v>
      </c>
      <c r="AC126" s="2">
        <v>46268</v>
      </c>
      <c r="AE126" s="1" t="s">
        <v>40</v>
      </c>
      <c r="AF126" s="1" t="s">
        <v>167</v>
      </c>
    </row>
    <row r="127" spans="1:32" ht="12.75" hidden="1" customHeight="1" x14ac:dyDescent="0.2">
      <c r="A127" s="1" t="s">
        <v>86</v>
      </c>
      <c r="B127" s="1" t="s">
        <v>534</v>
      </c>
      <c r="C127" s="1" t="s">
        <v>169</v>
      </c>
      <c r="D127" s="1" t="s">
        <v>170</v>
      </c>
      <c r="E127" s="1" t="s">
        <v>535</v>
      </c>
      <c r="F127" s="1" t="s">
        <v>124</v>
      </c>
      <c r="G127" s="3">
        <v>1582</v>
      </c>
      <c r="H127" s="4">
        <v>166</v>
      </c>
      <c r="I127" s="5">
        <v>39945.5</v>
      </c>
      <c r="J127" s="5">
        <v>0</v>
      </c>
      <c r="K127" s="1" t="s">
        <v>36</v>
      </c>
      <c r="L127" s="1" t="s">
        <v>37</v>
      </c>
      <c r="M127" s="1" t="s">
        <v>37</v>
      </c>
      <c r="N127" s="3">
        <v>1582</v>
      </c>
      <c r="O127" s="6">
        <f>Table1[[#This Row],[Invoice Qty]]-Table1[[#This Row],[ExFactory Qty]]</f>
        <v>0</v>
      </c>
      <c r="P127" s="1" t="s">
        <v>536</v>
      </c>
      <c r="Q127" s="2">
        <v>46268.746331018498</v>
      </c>
      <c r="S127" s="1" t="s">
        <v>39</v>
      </c>
      <c r="U127" s="1" t="s">
        <v>40</v>
      </c>
      <c r="V127" s="1" t="s">
        <v>41</v>
      </c>
      <c r="W127" s="1" t="s">
        <v>40</v>
      </c>
      <c r="X127" s="1" t="s">
        <v>40</v>
      </c>
      <c r="AA127" s="1" t="s">
        <v>537</v>
      </c>
      <c r="AB127" s="2">
        <v>46268</v>
      </c>
      <c r="AC127" s="2">
        <v>46268</v>
      </c>
      <c r="AE127" s="1" t="s">
        <v>40</v>
      </c>
      <c r="AF127" s="1" t="s">
        <v>174</v>
      </c>
    </row>
    <row r="128" spans="1:32" ht="12.75" hidden="1" customHeight="1" x14ac:dyDescent="0.2">
      <c r="A128" s="1" t="s">
        <v>30</v>
      </c>
      <c r="B128" s="1" t="s">
        <v>538</v>
      </c>
      <c r="C128" s="1" t="s">
        <v>146</v>
      </c>
      <c r="D128" s="1" t="s">
        <v>147</v>
      </c>
      <c r="E128" s="1" t="s">
        <v>539</v>
      </c>
      <c r="F128" s="1" t="s">
        <v>540</v>
      </c>
      <c r="G128" s="3">
        <v>373</v>
      </c>
      <c r="H128" s="4">
        <v>5</v>
      </c>
      <c r="I128" s="5">
        <v>1352.53</v>
      </c>
      <c r="J128" s="5">
        <v>56.36</v>
      </c>
      <c r="K128" s="1" t="s">
        <v>36</v>
      </c>
      <c r="L128" s="1" t="s">
        <v>37</v>
      </c>
      <c r="M128" s="1" t="s">
        <v>37</v>
      </c>
      <c r="N128" s="3">
        <v>373</v>
      </c>
      <c r="O128" s="6">
        <f>Table1[[#This Row],[Invoice Qty]]-Table1[[#This Row],[ExFactory Qty]]</f>
        <v>0</v>
      </c>
      <c r="P128" s="1" t="s">
        <v>541</v>
      </c>
      <c r="Q128" s="2">
        <v>46277.835960648103</v>
      </c>
      <c r="R128" s="2">
        <v>46287</v>
      </c>
      <c r="S128" s="1" t="s">
        <v>39</v>
      </c>
      <c r="U128" s="1" t="s">
        <v>40</v>
      </c>
      <c r="V128" s="1" t="s">
        <v>64</v>
      </c>
      <c r="W128" s="1" t="s">
        <v>40</v>
      </c>
      <c r="X128" s="1" t="s">
        <v>40</v>
      </c>
      <c r="AA128" s="1" t="s">
        <v>542</v>
      </c>
      <c r="AB128" s="2">
        <v>46268</v>
      </c>
      <c r="AC128" s="2">
        <v>46268</v>
      </c>
      <c r="AE128" s="1" t="s">
        <v>40</v>
      </c>
      <c r="AF128" s="1" t="s">
        <v>43</v>
      </c>
    </row>
    <row r="129" spans="1:32" ht="12.75" hidden="1" customHeight="1" x14ac:dyDescent="0.2">
      <c r="A129" s="1" t="s">
        <v>86</v>
      </c>
      <c r="B129" s="1" t="s">
        <v>543</v>
      </c>
      <c r="C129" s="1" t="s">
        <v>146</v>
      </c>
      <c r="D129" s="1" t="s">
        <v>147</v>
      </c>
      <c r="E129" s="1" t="s">
        <v>544</v>
      </c>
      <c r="F129" s="1" t="s">
        <v>74</v>
      </c>
      <c r="G129" s="3">
        <v>145</v>
      </c>
      <c r="H129" s="4">
        <v>5</v>
      </c>
      <c r="I129" s="5">
        <v>530.91</v>
      </c>
      <c r="J129" s="5">
        <v>22.12</v>
      </c>
      <c r="K129" s="1" t="s">
        <v>36</v>
      </c>
      <c r="L129" s="1" t="s">
        <v>37</v>
      </c>
      <c r="M129" s="1" t="s">
        <v>37</v>
      </c>
      <c r="N129" s="3">
        <v>145</v>
      </c>
      <c r="O129" s="6">
        <f>Table1[[#This Row],[Invoice Qty]]-Table1[[#This Row],[ExFactory Qty]]</f>
        <v>0</v>
      </c>
      <c r="P129" s="1" t="s">
        <v>545</v>
      </c>
      <c r="Q129" s="2">
        <v>46268.834953703699</v>
      </c>
      <c r="S129" s="1" t="s">
        <v>39</v>
      </c>
      <c r="U129" s="1" t="s">
        <v>40</v>
      </c>
      <c r="V129" s="1" t="s">
        <v>64</v>
      </c>
      <c r="W129" s="1" t="s">
        <v>40</v>
      </c>
      <c r="X129" s="1" t="s">
        <v>40</v>
      </c>
      <c r="Z129" s="2">
        <v>46288</v>
      </c>
      <c r="AA129" s="1" t="s">
        <v>546</v>
      </c>
      <c r="AB129" s="2">
        <v>46268</v>
      </c>
      <c r="AC129" s="2">
        <v>46268</v>
      </c>
      <c r="AE129" s="1" t="s">
        <v>40</v>
      </c>
      <c r="AF129" s="1" t="s">
        <v>43</v>
      </c>
    </row>
    <row r="130" spans="1:32" ht="12.75" hidden="1" customHeight="1" x14ac:dyDescent="0.2">
      <c r="A130" s="1" t="s">
        <v>86</v>
      </c>
      <c r="B130" s="1" t="s">
        <v>547</v>
      </c>
      <c r="C130" s="1" t="s">
        <v>146</v>
      </c>
      <c r="D130" s="1" t="s">
        <v>147</v>
      </c>
      <c r="E130" s="1" t="s">
        <v>548</v>
      </c>
      <c r="F130" s="1" t="s">
        <v>74</v>
      </c>
      <c r="G130" s="3">
        <v>111</v>
      </c>
      <c r="H130" s="4">
        <v>5</v>
      </c>
      <c r="I130" s="5">
        <v>409.97</v>
      </c>
      <c r="J130" s="5">
        <v>17.079999999999998</v>
      </c>
      <c r="K130" s="1" t="s">
        <v>36</v>
      </c>
      <c r="L130" s="1" t="s">
        <v>37</v>
      </c>
      <c r="M130" s="1" t="s">
        <v>37</v>
      </c>
      <c r="N130" s="3">
        <v>111</v>
      </c>
      <c r="O130" s="6">
        <f>Table1[[#This Row],[Invoice Qty]]-Table1[[#This Row],[ExFactory Qty]]</f>
        <v>0</v>
      </c>
      <c r="P130" s="1" t="s">
        <v>545</v>
      </c>
      <c r="Q130" s="2">
        <v>46268.834953703699</v>
      </c>
      <c r="S130" s="1" t="s">
        <v>39</v>
      </c>
      <c r="U130" s="1" t="s">
        <v>40</v>
      </c>
      <c r="V130" s="1" t="s">
        <v>64</v>
      </c>
      <c r="W130" s="1" t="s">
        <v>40</v>
      </c>
      <c r="X130" s="1" t="s">
        <v>40</v>
      </c>
      <c r="Z130" s="2">
        <v>46288</v>
      </c>
      <c r="AA130" s="1" t="s">
        <v>549</v>
      </c>
      <c r="AB130" s="2">
        <v>46268</v>
      </c>
      <c r="AC130" s="2">
        <v>46268</v>
      </c>
      <c r="AE130" s="1" t="s">
        <v>40</v>
      </c>
      <c r="AF130" s="1" t="s">
        <v>43</v>
      </c>
    </row>
    <row r="131" spans="1:32" ht="12.75" hidden="1" customHeight="1" x14ac:dyDescent="0.2">
      <c r="A131" s="1" t="s">
        <v>30</v>
      </c>
      <c r="B131" s="1" t="s">
        <v>550</v>
      </c>
      <c r="C131" s="1" t="s">
        <v>199</v>
      </c>
      <c r="D131" s="1" t="s">
        <v>200</v>
      </c>
      <c r="E131" s="1" t="s">
        <v>551</v>
      </c>
      <c r="F131" s="1" t="s">
        <v>183</v>
      </c>
      <c r="G131" s="3">
        <v>1638</v>
      </c>
      <c r="H131" s="4">
        <v>103</v>
      </c>
      <c r="I131" s="5">
        <v>14692.86</v>
      </c>
      <c r="J131" s="5">
        <v>0</v>
      </c>
      <c r="K131" s="1" t="s">
        <v>36</v>
      </c>
      <c r="L131" s="1" t="s">
        <v>51</v>
      </c>
      <c r="M131" s="1" t="s">
        <v>51</v>
      </c>
      <c r="N131" s="3">
        <v>1638</v>
      </c>
      <c r="O131" s="6">
        <f>Table1[[#This Row],[Invoice Qty]]-Table1[[#This Row],[ExFactory Qty]]</f>
        <v>0</v>
      </c>
      <c r="P131" s="1" t="s">
        <v>552</v>
      </c>
      <c r="Q131" s="2">
        <v>46268.367523148103</v>
      </c>
      <c r="R131" s="2">
        <v>46276</v>
      </c>
      <c r="S131" s="1" t="s">
        <v>39</v>
      </c>
      <c r="U131" s="1" t="s">
        <v>40</v>
      </c>
      <c r="V131" s="1" t="s">
        <v>185</v>
      </c>
      <c r="W131" s="1" t="s">
        <v>40</v>
      </c>
      <c r="X131" s="1" t="s">
        <v>40</v>
      </c>
      <c r="AA131" s="1" t="s">
        <v>553</v>
      </c>
      <c r="AB131" s="2">
        <v>46269</v>
      </c>
      <c r="AC131" s="2">
        <v>46268</v>
      </c>
      <c r="AE131" s="1" t="s">
        <v>40</v>
      </c>
      <c r="AF131" s="1" t="s">
        <v>43</v>
      </c>
    </row>
    <row r="132" spans="1:32" ht="12.75" hidden="1" customHeight="1" x14ac:dyDescent="0.2">
      <c r="A132" s="1" t="s">
        <v>30</v>
      </c>
      <c r="B132" s="1" t="s">
        <v>554</v>
      </c>
      <c r="C132" s="1" t="s">
        <v>199</v>
      </c>
      <c r="D132" s="1" t="s">
        <v>200</v>
      </c>
      <c r="E132" s="1" t="s">
        <v>555</v>
      </c>
      <c r="F132" s="1" t="s">
        <v>206</v>
      </c>
      <c r="G132" s="3">
        <v>573</v>
      </c>
      <c r="H132" s="4">
        <v>37</v>
      </c>
      <c r="I132" s="5">
        <v>5139.8100000000004</v>
      </c>
      <c r="J132" s="5">
        <v>0</v>
      </c>
      <c r="K132" s="1" t="s">
        <v>36</v>
      </c>
      <c r="L132" s="1" t="s">
        <v>51</v>
      </c>
      <c r="M132" s="1" t="s">
        <v>51</v>
      </c>
      <c r="N132" s="3">
        <v>573</v>
      </c>
      <c r="O132" s="6">
        <f>Table1[[#This Row],[Invoice Qty]]-Table1[[#This Row],[ExFactory Qty]]</f>
        <v>0</v>
      </c>
      <c r="P132" s="1" t="s">
        <v>552</v>
      </c>
      <c r="Q132" s="2">
        <v>46268.367523148103</v>
      </c>
      <c r="R132" s="2">
        <v>46276</v>
      </c>
      <c r="S132" s="1" t="s">
        <v>39</v>
      </c>
      <c r="U132" s="1" t="s">
        <v>40</v>
      </c>
      <c r="V132" s="1" t="s">
        <v>185</v>
      </c>
      <c r="W132" s="1" t="s">
        <v>40</v>
      </c>
      <c r="X132" s="1" t="s">
        <v>40</v>
      </c>
      <c r="AA132" s="1" t="s">
        <v>556</v>
      </c>
      <c r="AB132" s="2">
        <v>46269</v>
      </c>
      <c r="AC132" s="2">
        <v>46268</v>
      </c>
      <c r="AE132" s="1" t="s">
        <v>40</v>
      </c>
      <c r="AF132" s="1" t="s">
        <v>43</v>
      </c>
    </row>
    <row r="133" spans="1:32" ht="12.75" hidden="1" customHeight="1" x14ac:dyDescent="0.2">
      <c r="A133" s="1" t="s">
        <v>86</v>
      </c>
      <c r="B133" s="1" t="s">
        <v>557</v>
      </c>
      <c r="C133" s="1" t="s">
        <v>32</v>
      </c>
      <c r="D133" s="1" t="s">
        <v>33</v>
      </c>
      <c r="E133" s="1" t="s">
        <v>558</v>
      </c>
      <c r="F133" s="1" t="s">
        <v>97</v>
      </c>
      <c r="G133" s="3">
        <v>1497</v>
      </c>
      <c r="H133" s="4">
        <v>25</v>
      </c>
      <c r="I133" s="5">
        <v>7335.3</v>
      </c>
      <c r="J133" s="5">
        <v>0</v>
      </c>
      <c r="K133" s="1" t="s">
        <v>36</v>
      </c>
      <c r="L133" s="1" t="s">
        <v>37</v>
      </c>
      <c r="M133" s="1" t="s">
        <v>37</v>
      </c>
      <c r="N133" s="3">
        <v>1497</v>
      </c>
      <c r="O133" s="6">
        <f>Table1[[#This Row],[Invoice Qty]]-Table1[[#This Row],[ExFactory Qty]]</f>
        <v>0</v>
      </c>
      <c r="P133" s="1" t="s">
        <v>559</v>
      </c>
      <c r="Q133" s="2">
        <v>46282.644375000003</v>
      </c>
      <c r="S133" s="1" t="s">
        <v>39</v>
      </c>
      <c r="U133" s="1" t="s">
        <v>40</v>
      </c>
      <c r="V133" s="1" t="s">
        <v>41</v>
      </c>
      <c r="W133" s="1" t="s">
        <v>40</v>
      </c>
      <c r="X133" s="1" t="s">
        <v>40</v>
      </c>
      <c r="AA133" s="1" t="s">
        <v>560</v>
      </c>
      <c r="AB133" s="2">
        <v>46282</v>
      </c>
      <c r="AC133" s="2">
        <v>46269</v>
      </c>
      <c r="AE133" s="1" t="s">
        <v>40</v>
      </c>
      <c r="AF133" s="1" t="s">
        <v>43</v>
      </c>
    </row>
    <row r="134" spans="1:32" ht="12.75" hidden="1" customHeight="1" x14ac:dyDescent="0.2">
      <c r="A134" s="1" t="s">
        <v>30</v>
      </c>
      <c r="B134" s="1" t="s">
        <v>561</v>
      </c>
      <c r="C134" s="1" t="s">
        <v>32</v>
      </c>
      <c r="D134" s="1" t="s">
        <v>33</v>
      </c>
      <c r="E134" s="1" t="s">
        <v>562</v>
      </c>
      <c r="F134" s="1" t="s">
        <v>97</v>
      </c>
      <c r="G134" s="3">
        <v>1002</v>
      </c>
      <c r="H134" s="4">
        <v>27</v>
      </c>
      <c r="I134" s="5">
        <v>3326.64</v>
      </c>
      <c r="J134" s="5">
        <v>0</v>
      </c>
      <c r="K134" s="1" t="s">
        <v>36</v>
      </c>
      <c r="L134" s="1" t="s">
        <v>37</v>
      </c>
      <c r="M134" s="1" t="s">
        <v>37</v>
      </c>
      <c r="N134" s="3">
        <v>1002</v>
      </c>
      <c r="O134" s="6">
        <f>Table1[[#This Row],[Invoice Qty]]-Table1[[#This Row],[ExFactory Qty]]</f>
        <v>0</v>
      </c>
      <c r="P134" s="1" t="s">
        <v>157</v>
      </c>
      <c r="Q134" s="2">
        <v>46277.697349536997</v>
      </c>
      <c r="R134" s="2">
        <v>46288</v>
      </c>
      <c r="S134" s="1" t="s">
        <v>39</v>
      </c>
      <c r="U134" s="1" t="s">
        <v>40</v>
      </c>
      <c r="V134" s="1" t="s">
        <v>41</v>
      </c>
      <c r="W134" s="1" t="s">
        <v>40</v>
      </c>
      <c r="X134" s="1" t="s">
        <v>40</v>
      </c>
      <c r="AA134" s="1" t="s">
        <v>563</v>
      </c>
      <c r="AB134" s="2">
        <v>46277</v>
      </c>
      <c r="AC134" s="2">
        <v>46269</v>
      </c>
      <c r="AE134" s="1" t="s">
        <v>40</v>
      </c>
      <c r="AF134" s="1" t="s">
        <v>43</v>
      </c>
    </row>
    <row r="135" spans="1:32" ht="12.75" hidden="1" customHeight="1" x14ac:dyDescent="0.2">
      <c r="A135" s="1" t="s">
        <v>30</v>
      </c>
      <c r="B135" s="1" t="s">
        <v>564</v>
      </c>
      <c r="C135" s="1" t="s">
        <v>32</v>
      </c>
      <c r="D135" s="1" t="s">
        <v>33</v>
      </c>
      <c r="E135" s="1" t="s">
        <v>565</v>
      </c>
      <c r="F135" s="1" t="s">
        <v>97</v>
      </c>
      <c r="G135" s="3">
        <v>1503</v>
      </c>
      <c r="H135" s="4">
        <v>43</v>
      </c>
      <c r="I135" s="5">
        <v>9363.69</v>
      </c>
      <c r="J135" s="5">
        <v>0</v>
      </c>
      <c r="K135" s="1" t="s">
        <v>36</v>
      </c>
      <c r="L135" s="1" t="s">
        <v>37</v>
      </c>
      <c r="M135" s="1" t="s">
        <v>37</v>
      </c>
      <c r="N135" s="3">
        <v>1503</v>
      </c>
      <c r="O135" s="6">
        <f>Table1[[#This Row],[Invoice Qty]]-Table1[[#This Row],[ExFactory Qty]]</f>
        <v>0</v>
      </c>
      <c r="P135" s="1" t="s">
        <v>237</v>
      </c>
      <c r="Q135" s="2">
        <v>46275.7583564815</v>
      </c>
      <c r="R135" s="2">
        <v>46288</v>
      </c>
      <c r="S135" s="1" t="s">
        <v>39</v>
      </c>
      <c r="U135" s="1" t="s">
        <v>40</v>
      </c>
      <c r="V135" s="1" t="s">
        <v>41</v>
      </c>
      <c r="W135" s="1" t="s">
        <v>40</v>
      </c>
      <c r="X135" s="1" t="s">
        <v>40</v>
      </c>
      <c r="AA135" s="1" t="s">
        <v>566</v>
      </c>
      <c r="AB135" s="2">
        <v>46275</v>
      </c>
      <c r="AC135" s="2">
        <v>46269</v>
      </c>
      <c r="AD135" s="2">
        <v>46276</v>
      </c>
      <c r="AE135" s="1" t="s">
        <v>567</v>
      </c>
      <c r="AF135" s="1" t="s">
        <v>43</v>
      </c>
    </row>
    <row r="136" spans="1:32" ht="12.75" hidden="1" customHeight="1" x14ac:dyDescent="0.2">
      <c r="A136" s="1" t="s">
        <v>44</v>
      </c>
      <c r="B136" s="1" t="s">
        <v>568</v>
      </c>
      <c r="C136" s="1" t="s">
        <v>244</v>
      </c>
      <c r="D136" s="1" t="s">
        <v>245</v>
      </c>
      <c r="E136" s="1" t="s">
        <v>569</v>
      </c>
      <c r="F136" s="1" t="s">
        <v>252</v>
      </c>
      <c r="G136" s="3">
        <v>10000</v>
      </c>
      <c r="H136" s="4">
        <v>250</v>
      </c>
      <c r="I136" s="5">
        <v>24352.5</v>
      </c>
      <c r="J136" s="5">
        <v>1147.5</v>
      </c>
      <c r="K136" s="1" t="s">
        <v>36</v>
      </c>
      <c r="L136" s="1" t="s">
        <v>51</v>
      </c>
      <c r="M136" s="1" t="s">
        <v>247</v>
      </c>
      <c r="N136" s="3">
        <v>10000</v>
      </c>
      <c r="O136" s="6">
        <f>Table1[[#This Row],[Invoice Qty]]-Table1[[#This Row],[ExFactory Qty]]</f>
        <v>0</v>
      </c>
      <c r="P136" s="1" t="s">
        <v>570</v>
      </c>
      <c r="Q136" s="2">
        <v>46271.6949074074</v>
      </c>
      <c r="R136" s="2">
        <v>46279</v>
      </c>
      <c r="S136" s="1" t="s">
        <v>53</v>
      </c>
      <c r="T136" s="2">
        <v>46288</v>
      </c>
      <c r="U136" s="1" t="s">
        <v>253</v>
      </c>
      <c r="V136" s="1" t="s">
        <v>55</v>
      </c>
      <c r="W136" s="1" t="s">
        <v>254</v>
      </c>
      <c r="X136" s="1" t="s">
        <v>101</v>
      </c>
      <c r="Y136" s="5">
        <v>24352.5</v>
      </c>
      <c r="AA136" s="1" t="s">
        <v>571</v>
      </c>
      <c r="AB136" s="2">
        <v>46270</v>
      </c>
      <c r="AC136" s="2">
        <v>46270</v>
      </c>
      <c r="AD136" s="2">
        <v>46274</v>
      </c>
      <c r="AE136" s="1" t="s">
        <v>572</v>
      </c>
      <c r="AF136" s="1" t="s">
        <v>174</v>
      </c>
    </row>
    <row r="137" spans="1:32" ht="12.75" hidden="1" customHeight="1" x14ac:dyDescent="0.2">
      <c r="A137" s="1" t="s">
        <v>44</v>
      </c>
      <c r="B137" s="1" t="s">
        <v>573</v>
      </c>
      <c r="C137" s="1" t="s">
        <v>244</v>
      </c>
      <c r="D137" s="1" t="s">
        <v>245</v>
      </c>
      <c r="E137" s="1" t="s">
        <v>569</v>
      </c>
      <c r="F137" s="1" t="s">
        <v>258</v>
      </c>
      <c r="G137" s="3">
        <v>15000</v>
      </c>
      <c r="H137" s="4">
        <v>375</v>
      </c>
      <c r="I137" s="5">
        <v>36528.75</v>
      </c>
      <c r="J137" s="5">
        <v>1721.25</v>
      </c>
      <c r="K137" s="1" t="s">
        <v>36</v>
      </c>
      <c r="L137" s="1" t="s">
        <v>51</v>
      </c>
      <c r="M137" s="1" t="s">
        <v>247</v>
      </c>
      <c r="N137" s="3">
        <v>15000</v>
      </c>
      <c r="O137" s="6">
        <f>Table1[[#This Row],[Invoice Qty]]-Table1[[#This Row],[ExFactory Qty]]</f>
        <v>0</v>
      </c>
      <c r="P137" s="1" t="s">
        <v>570</v>
      </c>
      <c r="Q137" s="2">
        <v>46271.6949074074</v>
      </c>
      <c r="R137" s="2">
        <v>46280</v>
      </c>
      <c r="S137" s="1" t="s">
        <v>53</v>
      </c>
      <c r="T137" s="2">
        <v>46288</v>
      </c>
      <c r="U137" s="1" t="s">
        <v>253</v>
      </c>
      <c r="V137" s="1" t="s">
        <v>55</v>
      </c>
      <c r="W137" s="1" t="s">
        <v>254</v>
      </c>
      <c r="X137" s="1" t="s">
        <v>101</v>
      </c>
      <c r="Y137" s="5">
        <v>36528.75</v>
      </c>
      <c r="AA137" s="1" t="s">
        <v>574</v>
      </c>
      <c r="AB137" s="2">
        <v>46270</v>
      </c>
      <c r="AC137" s="2">
        <v>46270</v>
      </c>
      <c r="AD137" s="2">
        <v>46274</v>
      </c>
      <c r="AE137" s="1" t="s">
        <v>575</v>
      </c>
      <c r="AF137" s="1" t="s">
        <v>174</v>
      </c>
    </row>
    <row r="138" spans="1:32" ht="12.75" hidden="1" customHeight="1" x14ac:dyDescent="0.2">
      <c r="A138" s="1" t="s">
        <v>30</v>
      </c>
      <c r="B138" s="1" t="s">
        <v>576</v>
      </c>
      <c r="C138" s="1" t="s">
        <v>212</v>
      </c>
      <c r="D138" s="1" t="s">
        <v>213</v>
      </c>
      <c r="E138" s="1" t="s">
        <v>577</v>
      </c>
      <c r="F138" s="1" t="s">
        <v>124</v>
      </c>
      <c r="G138" s="3">
        <v>1006</v>
      </c>
      <c r="H138" s="4">
        <v>1006</v>
      </c>
      <c r="I138" s="5">
        <v>12927.1</v>
      </c>
      <c r="J138" s="5">
        <v>0</v>
      </c>
      <c r="K138" s="1" t="s">
        <v>36</v>
      </c>
      <c r="L138" s="1" t="s">
        <v>37</v>
      </c>
      <c r="M138" s="1" t="s">
        <v>37</v>
      </c>
      <c r="N138" s="3">
        <v>1006</v>
      </c>
      <c r="O138" s="6">
        <f>Table1[[#This Row],[Invoice Qty]]-Table1[[#This Row],[ExFactory Qty]]</f>
        <v>0</v>
      </c>
      <c r="P138" s="1" t="s">
        <v>578</v>
      </c>
      <c r="Q138" s="2">
        <v>46270.495474536998</v>
      </c>
      <c r="R138" s="2">
        <v>46284</v>
      </c>
      <c r="S138" s="1" t="s">
        <v>39</v>
      </c>
      <c r="U138" s="1" t="s">
        <v>40</v>
      </c>
      <c r="V138" s="1" t="s">
        <v>64</v>
      </c>
      <c r="W138" s="1" t="s">
        <v>40</v>
      </c>
      <c r="X138" s="1" t="s">
        <v>40</v>
      </c>
      <c r="AA138" s="1" t="s">
        <v>579</v>
      </c>
      <c r="AB138" s="2">
        <v>46271</v>
      </c>
      <c r="AC138" s="2">
        <v>46270</v>
      </c>
      <c r="AE138" s="1" t="s">
        <v>40</v>
      </c>
      <c r="AF138" s="1" t="s">
        <v>174</v>
      </c>
    </row>
    <row r="139" spans="1:32" ht="12.75" hidden="1" customHeight="1" x14ac:dyDescent="0.2">
      <c r="A139" s="1" t="s">
        <v>30</v>
      </c>
      <c r="B139" s="1" t="s">
        <v>580</v>
      </c>
      <c r="C139" s="1" t="s">
        <v>121</v>
      </c>
      <c r="D139" s="1" t="s">
        <v>122</v>
      </c>
      <c r="E139" s="1" t="s">
        <v>581</v>
      </c>
      <c r="F139" s="1" t="s">
        <v>124</v>
      </c>
      <c r="G139" s="3">
        <v>800</v>
      </c>
      <c r="H139" s="4">
        <v>55</v>
      </c>
      <c r="I139" s="5">
        <v>1425</v>
      </c>
      <c r="J139" s="5">
        <v>0</v>
      </c>
      <c r="K139" s="1" t="s">
        <v>36</v>
      </c>
      <c r="L139" s="1" t="s">
        <v>51</v>
      </c>
      <c r="M139" s="1" t="s">
        <v>125</v>
      </c>
      <c r="N139" s="3">
        <v>800</v>
      </c>
      <c r="O139" s="6">
        <f>Table1[[#This Row],[Invoice Qty]]-Table1[[#This Row],[ExFactory Qty]]</f>
        <v>0</v>
      </c>
      <c r="P139" s="1" t="s">
        <v>582</v>
      </c>
      <c r="Q139" s="2">
        <v>46271.641666666699</v>
      </c>
      <c r="R139" s="2">
        <v>46276</v>
      </c>
      <c r="S139" s="1" t="s">
        <v>39</v>
      </c>
      <c r="U139" s="1" t="s">
        <v>40</v>
      </c>
      <c r="V139" s="1" t="s">
        <v>55</v>
      </c>
      <c r="W139" s="1" t="s">
        <v>40</v>
      </c>
      <c r="X139" s="1" t="s">
        <v>40</v>
      </c>
      <c r="Z139" s="2">
        <v>46276</v>
      </c>
      <c r="AA139" s="1" t="s">
        <v>583</v>
      </c>
      <c r="AB139" s="2">
        <v>46271</v>
      </c>
      <c r="AC139" s="2">
        <v>46270</v>
      </c>
      <c r="AD139" s="2">
        <v>46271</v>
      </c>
      <c r="AE139" s="1" t="s">
        <v>584</v>
      </c>
      <c r="AF139" s="1" t="s">
        <v>129</v>
      </c>
    </row>
    <row r="140" spans="1:32" ht="12.75" hidden="1" customHeight="1" x14ac:dyDescent="0.2">
      <c r="A140" s="1" t="s">
        <v>44</v>
      </c>
      <c r="B140" s="1" t="s">
        <v>585</v>
      </c>
      <c r="C140" s="1" t="s">
        <v>46</v>
      </c>
      <c r="D140" s="1" t="s">
        <v>47</v>
      </c>
      <c r="E140" s="1" t="s">
        <v>586</v>
      </c>
      <c r="F140" s="1" t="s">
        <v>49</v>
      </c>
      <c r="G140" s="3">
        <v>2111</v>
      </c>
      <c r="H140" s="4">
        <v>29</v>
      </c>
      <c r="I140" s="5">
        <v>5242.76</v>
      </c>
      <c r="J140" s="5">
        <v>0</v>
      </c>
      <c r="K140" s="1" t="s">
        <v>50</v>
      </c>
      <c r="L140" s="1" t="s">
        <v>51</v>
      </c>
      <c r="M140" s="1" t="s">
        <v>51</v>
      </c>
      <c r="N140" s="3">
        <v>2111</v>
      </c>
      <c r="O140" s="6">
        <f>Table1[[#This Row],[Invoice Qty]]-Table1[[#This Row],[ExFactory Qty]]</f>
        <v>0</v>
      </c>
      <c r="P140" s="1" t="s">
        <v>587</v>
      </c>
      <c r="Q140" s="2">
        <v>46271.526736111096</v>
      </c>
      <c r="R140" s="2">
        <v>46273</v>
      </c>
      <c r="S140" s="1" t="s">
        <v>53</v>
      </c>
      <c r="T140" s="2">
        <v>46286</v>
      </c>
      <c r="U140" s="1" t="s">
        <v>54</v>
      </c>
      <c r="V140" s="1" t="s">
        <v>55</v>
      </c>
      <c r="W140" s="1" t="s">
        <v>56</v>
      </c>
      <c r="X140" s="1" t="s">
        <v>57</v>
      </c>
      <c r="Y140" s="5">
        <v>5242.76</v>
      </c>
      <c r="Z140" s="2">
        <v>46273</v>
      </c>
      <c r="AA140" s="1" t="s">
        <v>588</v>
      </c>
      <c r="AB140" s="2">
        <v>46271</v>
      </c>
      <c r="AC140" s="2">
        <v>46270</v>
      </c>
      <c r="AD140" s="2">
        <v>46273</v>
      </c>
      <c r="AE140" s="1" t="s">
        <v>589</v>
      </c>
      <c r="AF140" s="1" t="s">
        <v>43</v>
      </c>
    </row>
    <row r="141" spans="1:32" ht="12.75" hidden="1" customHeight="1" x14ac:dyDescent="0.2">
      <c r="A141" s="1" t="s">
        <v>111</v>
      </c>
      <c r="B141" s="1" t="s">
        <v>590</v>
      </c>
      <c r="C141" s="1" t="s">
        <v>160</v>
      </c>
      <c r="D141" s="1" t="s">
        <v>161</v>
      </c>
      <c r="E141" s="1" t="s">
        <v>591</v>
      </c>
      <c r="F141" s="1" t="s">
        <v>219</v>
      </c>
      <c r="G141" s="3">
        <v>300</v>
      </c>
      <c r="H141" s="4">
        <v>25</v>
      </c>
      <c r="I141" s="5">
        <v>1667.25</v>
      </c>
      <c r="J141" s="5">
        <v>87.75</v>
      </c>
      <c r="K141" s="1" t="s">
        <v>149</v>
      </c>
      <c r="L141" s="1" t="s">
        <v>37</v>
      </c>
      <c r="M141" s="1" t="s">
        <v>37</v>
      </c>
      <c r="N141" s="3">
        <v>300</v>
      </c>
      <c r="O141" s="6">
        <f>Table1[[#This Row],[Invoice Qty]]-Table1[[#This Row],[ExFactory Qty]]</f>
        <v>0</v>
      </c>
      <c r="P141" s="1" t="s">
        <v>592</v>
      </c>
      <c r="Q141" s="2">
        <v>46270.596678240698</v>
      </c>
      <c r="R141" s="2">
        <v>46276</v>
      </c>
      <c r="S141" s="1" t="s">
        <v>53</v>
      </c>
      <c r="T141" s="2">
        <v>46295</v>
      </c>
      <c r="U141" s="1" t="s">
        <v>165</v>
      </c>
      <c r="V141" s="1" t="s">
        <v>41</v>
      </c>
      <c r="W141" s="1" t="s">
        <v>40</v>
      </c>
      <c r="X141" s="1" t="s">
        <v>40</v>
      </c>
      <c r="AA141" s="1" t="s">
        <v>593</v>
      </c>
      <c r="AB141" s="2">
        <v>46271</v>
      </c>
      <c r="AC141" s="2">
        <v>46271</v>
      </c>
      <c r="AD141" s="2">
        <v>46272</v>
      </c>
      <c r="AE141" s="1" t="s">
        <v>594</v>
      </c>
      <c r="AF141" s="1" t="s">
        <v>167</v>
      </c>
    </row>
    <row r="142" spans="1:32" ht="12.75" hidden="1" customHeight="1" x14ac:dyDescent="0.2">
      <c r="A142" s="1" t="s">
        <v>111</v>
      </c>
      <c r="B142" s="1" t="s">
        <v>595</v>
      </c>
      <c r="C142" s="1" t="s">
        <v>160</v>
      </c>
      <c r="D142" s="1" t="s">
        <v>161</v>
      </c>
      <c r="E142" s="1" t="s">
        <v>596</v>
      </c>
      <c r="F142" s="1" t="s">
        <v>224</v>
      </c>
      <c r="G142" s="3">
        <v>300</v>
      </c>
      <c r="H142" s="4">
        <v>25</v>
      </c>
      <c r="I142" s="5">
        <v>1667.25</v>
      </c>
      <c r="J142" s="5">
        <v>87.75</v>
      </c>
      <c r="K142" s="1" t="s">
        <v>149</v>
      </c>
      <c r="L142" s="1" t="s">
        <v>37</v>
      </c>
      <c r="M142" s="1" t="s">
        <v>37</v>
      </c>
      <c r="N142" s="3">
        <v>300</v>
      </c>
      <c r="O142" s="6">
        <f>Table1[[#This Row],[Invoice Qty]]-Table1[[#This Row],[ExFactory Qty]]</f>
        <v>0</v>
      </c>
      <c r="P142" s="1" t="s">
        <v>592</v>
      </c>
      <c r="Q142" s="2">
        <v>46270.596678240698</v>
      </c>
      <c r="R142" s="2">
        <v>46276</v>
      </c>
      <c r="S142" s="1" t="s">
        <v>53</v>
      </c>
      <c r="T142" s="2">
        <v>46295</v>
      </c>
      <c r="U142" s="1" t="s">
        <v>165</v>
      </c>
      <c r="V142" s="1" t="s">
        <v>41</v>
      </c>
      <c r="W142" s="1" t="s">
        <v>40</v>
      </c>
      <c r="X142" s="1" t="s">
        <v>40</v>
      </c>
      <c r="AA142" s="1" t="s">
        <v>597</v>
      </c>
      <c r="AB142" s="2">
        <v>46271</v>
      </c>
      <c r="AC142" s="2">
        <v>46271</v>
      </c>
      <c r="AD142" s="2">
        <v>46272</v>
      </c>
      <c r="AE142" s="1" t="s">
        <v>598</v>
      </c>
      <c r="AF142" s="1" t="s">
        <v>167</v>
      </c>
    </row>
    <row r="143" spans="1:32" ht="12.75" hidden="1" customHeight="1" x14ac:dyDescent="0.2">
      <c r="A143" s="1" t="s">
        <v>30</v>
      </c>
      <c r="B143" s="1" t="s">
        <v>599</v>
      </c>
      <c r="C143" s="1" t="s">
        <v>71</v>
      </c>
      <c r="D143" s="1" t="s">
        <v>348</v>
      </c>
      <c r="E143" s="1" t="s">
        <v>349</v>
      </c>
      <c r="F143" s="1" t="s">
        <v>600</v>
      </c>
      <c r="G143" s="3">
        <v>250</v>
      </c>
      <c r="H143" s="4">
        <v>5</v>
      </c>
      <c r="I143" s="5">
        <v>1107.5</v>
      </c>
      <c r="J143" s="5">
        <v>0</v>
      </c>
      <c r="K143" s="1" t="s">
        <v>36</v>
      </c>
      <c r="L143" s="1" t="s">
        <v>75</v>
      </c>
      <c r="M143" s="1" t="s">
        <v>75</v>
      </c>
      <c r="N143" s="3">
        <v>250</v>
      </c>
      <c r="O143" s="6">
        <f>Table1[[#This Row],[Invoice Qty]]-Table1[[#This Row],[ExFactory Qty]]</f>
        <v>0</v>
      </c>
      <c r="P143" s="1" t="s">
        <v>601</v>
      </c>
      <c r="Q143" s="2">
        <v>46271.822870370401</v>
      </c>
      <c r="R143" s="2">
        <v>46281</v>
      </c>
      <c r="S143" s="1" t="s">
        <v>39</v>
      </c>
      <c r="U143" s="1" t="s">
        <v>40</v>
      </c>
      <c r="V143" s="1" t="s">
        <v>77</v>
      </c>
      <c r="W143" s="1" t="s">
        <v>40</v>
      </c>
      <c r="X143" s="1" t="s">
        <v>40</v>
      </c>
      <c r="Z143" s="2">
        <v>46284</v>
      </c>
      <c r="AA143" s="1" t="s">
        <v>602</v>
      </c>
      <c r="AB143" s="2">
        <v>46272</v>
      </c>
      <c r="AC143" s="2">
        <v>46271.461446759298</v>
      </c>
      <c r="AE143" s="1" t="s">
        <v>40</v>
      </c>
      <c r="AF143" s="1" t="s">
        <v>326</v>
      </c>
    </row>
    <row r="144" spans="1:32" ht="12.75" hidden="1" customHeight="1" x14ac:dyDescent="0.2">
      <c r="A144" s="1" t="s">
        <v>30</v>
      </c>
      <c r="B144" s="1" t="s">
        <v>603</v>
      </c>
      <c r="C144" s="1" t="s">
        <v>71</v>
      </c>
      <c r="D144" s="1" t="s">
        <v>323</v>
      </c>
      <c r="E144" s="1" t="s">
        <v>604</v>
      </c>
      <c r="F144" s="1" t="s">
        <v>605</v>
      </c>
      <c r="G144" s="3">
        <v>1123</v>
      </c>
      <c r="H144" s="4">
        <v>21</v>
      </c>
      <c r="I144" s="5">
        <v>5233.18</v>
      </c>
      <c r="J144" s="5">
        <v>0</v>
      </c>
      <c r="K144" s="1" t="s">
        <v>36</v>
      </c>
      <c r="L144" s="1" t="s">
        <v>75</v>
      </c>
      <c r="M144" s="1" t="s">
        <v>75</v>
      </c>
      <c r="N144" s="3">
        <v>1123</v>
      </c>
      <c r="O144" s="6">
        <f>Table1[[#This Row],[Invoice Qty]]-Table1[[#This Row],[ExFactory Qty]]</f>
        <v>0</v>
      </c>
      <c r="P144" s="1" t="s">
        <v>601</v>
      </c>
      <c r="Q144" s="2">
        <v>46271.822870370401</v>
      </c>
      <c r="R144" s="2">
        <v>46281</v>
      </c>
      <c r="S144" s="1" t="s">
        <v>39</v>
      </c>
      <c r="U144" s="1" t="s">
        <v>40</v>
      </c>
      <c r="V144" s="1" t="s">
        <v>77</v>
      </c>
      <c r="W144" s="1" t="s">
        <v>40</v>
      </c>
      <c r="X144" s="1" t="s">
        <v>40</v>
      </c>
      <c r="Z144" s="2">
        <v>46284</v>
      </c>
      <c r="AA144" s="1" t="s">
        <v>606</v>
      </c>
      <c r="AB144" s="2">
        <v>46272</v>
      </c>
      <c r="AC144" s="2">
        <v>46271</v>
      </c>
      <c r="AE144" s="1" t="s">
        <v>40</v>
      </c>
      <c r="AF144" s="1" t="s">
        <v>326</v>
      </c>
    </row>
    <row r="145" spans="1:32" ht="12.75" hidden="1" customHeight="1" x14ac:dyDescent="0.2">
      <c r="A145" s="1" t="s">
        <v>30</v>
      </c>
      <c r="B145" s="1" t="s">
        <v>607</v>
      </c>
      <c r="C145" s="1" t="s">
        <v>71</v>
      </c>
      <c r="D145" s="1" t="s">
        <v>348</v>
      </c>
      <c r="E145" s="1" t="s">
        <v>354</v>
      </c>
      <c r="F145" s="1" t="s">
        <v>608</v>
      </c>
      <c r="G145" s="3">
        <v>500</v>
      </c>
      <c r="H145" s="4">
        <v>12</v>
      </c>
      <c r="I145" s="5">
        <v>2335</v>
      </c>
      <c r="J145" s="5">
        <v>0</v>
      </c>
      <c r="K145" s="1" t="s">
        <v>36</v>
      </c>
      <c r="L145" s="1" t="s">
        <v>75</v>
      </c>
      <c r="M145" s="1" t="s">
        <v>75</v>
      </c>
      <c r="N145" s="3">
        <v>500</v>
      </c>
      <c r="O145" s="6">
        <f>Table1[[#This Row],[Invoice Qty]]-Table1[[#This Row],[ExFactory Qty]]</f>
        <v>0</v>
      </c>
      <c r="P145" s="1" t="s">
        <v>609</v>
      </c>
      <c r="Q145" s="2">
        <v>46271.723634259302</v>
      </c>
      <c r="R145" s="2">
        <v>46280</v>
      </c>
      <c r="S145" s="1" t="s">
        <v>39</v>
      </c>
      <c r="U145" s="1" t="s">
        <v>40</v>
      </c>
      <c r="V145" s="1" t="s">
        <v>77</v>
      </c>
      <c r="W145" s="1" t="s">
        <v>40</v>
      </c>
      <c r="X145" s="1" t="s">
        <v>40</v>
      </c>
      <c r="Z145" s="2">
        <v>46280</v>
      </c>
      <c r="AA145" s="1" t="s">
        <v>610</v>
      </c>
      <c r="AB145" s="2">
        <v>46272</v>
      </c>
      <c r="AC145" s="2">
        <v>46271</v>
      </c>
      <c r="AE145" s="1" t="s">
        <v>40</v>
      </c>
      <c r="AF145" s="1" t="s">
        <v>326</v>
      </c>
    </row>
    <row r="146" spans="1:32" ht="12.75" hidden="1" customHeight="1" x14ac:dyDescent="0.2">
      <c r="A146" s="1" t="s">
        <v>30</v>
      </c>
      <c r="B146" s="1" t="s">
        <v>611</v>
      </c>
      <c r="C146" s="1" t="s">
        <v>71</v>
      </c>
      <c r="D146" s="1" t="s">
        <v>348</v>
      </c>
      <c r="E146" s="1" t="s">
        <v>354</v>
      </c>
      <c r="F146" s="1" t="s">
        <v>600</v>
      </c>
      <c r="G146" s="3">
        <v>200</v>
      </c>
      <c r="H146" s="4">
        <v>5</v>
      </c>
      <c r="I146" s="5">
        <v>934</v>
      </c>
      <c r="J146" s="5">
        <v>0</v>
      </c>
      <c r="K146" s="1" t="s">
        <v>36</v>
      </c>
      <c r="L146" s="1" t="s">
        <v>75</v>
      </c>
      <c r="M146" s="1" t="s">
        <v>75</v>
      </c>
      <c r="N146" s="3">
        <v>200</v>
      </c>
      <c r="O146" s="6">
        <f>Table1[[#This Row],[Invoice Qty]]-Table1[[#This Row],[ExFactory Qty]]</f>
        <v>0</v>
      </c>
      <c r="P146" s="1" t="s">
        <v>601</v>
      </c>
      <c r="Q146" s="2">
        <v>46271.822870370401</v>
      </c>
      <c r="R146" s="2">
        <v>46281</v>
      </c>
      <c r="S146" s="1" t="s">
        <v>39</v>
      </c>
      <c r="U146" s="1" t="s">
        <v>40</v>
      </c>
      <c r="V146" s="1" t="s">
        <v>77</v>
      </c>
      <c r="W146" s="1" t="s">
        <v>40</v>
      </c>
      <c r="X146" s="1" t="s">
        <v>40</v>
      </c>
      <c r="Z146" s="2">
        <v>46284</v>
      </c>
      <c r="AA146" s="1" t="s">
        <v>612</v>
      </c>
      <c r="AB146" s="2">
        <v>46272</v>
      </c>
      <c r="AC146" s="2">
        <v>46271.461446759298</v>
      </c>
      <c r="AE146" s="1" t="s">
        <v>40</v>
      </c>
      <c r="AF146" s="1" t="s">
        <v>326</v>
      </c>
    </row>
    <row r="147" spans="1:32" ht="12.75" hidden="1" customHeight="1" x14ac:dyDescent="0.2">
      <c r="A147" s="1" t="s">
        <v>30</v>
      </c>
      <c r="B147" s="1" t="s">
        <v>613</v>
      </c>
      <c r="C147" s="1" t="s">
        <v>71</v>
      </c>
      <c r="D147" s="1" t="s">
        <v>323</v>
      </c>
      <c r="E147" s="1" t="s">
        <v>614</v>
      </c>
      <c r="F147" s="1" t="s">
        <v>615</v>
      </c>
      <c r="G147" s="3">
        <v>786</v>
      </c>
      <c r="H147" s="4">
        <v>29</v>
      </c>
      <c r="I147" s="5">
        <v>3796.38</v>
      </c>
      <c r="J147" s="5">
        <v>0</v>
      </c>
      <c r="K147" s="1" t="s">
        <v>36</v>
      </c>
      <c r="L147" s="1" t="s">
        <v>75</v>
      </c>
      <c r="M147" s="1" t="s">
        <v>75</v>
      </c>
      <c r="N147" s="3">
        <v>786</v>
      </c>
      <c r="O147" s="6">
        <f>Table1[[#This Row],[Invoice Qty]]-Table1[[#This Row],[ExFactory Qty]]</f>
        <v>0</v>
      </c>
      <c r="P147" s="1" t="s">
        <v>609</v>
      </c>
      <c r="Q147" s="2">
        <v>46271.723634259302</v>
      </c>
      <c r="R147" s="2">
        <v>46280</v>
      </c>
      <c r="S147" s="1" t="s">
        <v>39</v>
      </c>
      <c r="U147" s="1" t="s">
        <v>40</v>
      </c>
      <c r="V147" s="1" t="s">
        <v>77</v>
      </c>
      <c r="W147" s="1" t="s">
        <v>40</v>
      </c>
      <c r="X147" s="1" t="s">
        <v>40</v>
      </c>
      <c r="AA147" s="1" t="s">
        <v>616</v>
      </c>
      <c r="AB147" s="2">
        <v>46272</v>
      </c>
      <c r="AC147" s="2">
        <v>46271</v>
      </c>
      <c r="AD147" s="2">
        <v>46273</v>
      </c>
      <c r="AE147" s="1" t="s">
        <v>617</v>
      </c>
      <c r="AF147" s="1" t="s">
        <v>326</v>
      </c>
    </row>
    <row r="148" spans="1:32" ht="12.75" hidden="1" customHeight="1" x14ac:dyDescent="0.2">
      <c r="A148" s="1" t="s">
        <v>30</v>
      </c>
      <c r="B148" s="1" t="s">
        <v>618</v>
      </c>
      <c r="C148" s="1" t="s">
        <v>71</v>
      </c>
      <c r="D148" s="1" t="s">
        <v>323</v>
      </c>
      <c r="E148" s="1" t="s">
        <v>357</v>
      </c>
      <c r="F148" s="1" t="s">
        <v>608</v>
      </c>
      <c r="G148" s="3">
        <v>83</v>
      </c>
      <c r="H148" s="4">
        <v>3</v>
      </c>
      <c r="I148" s="5">
        <v>363.54</v>
      </c>
      <c r="J148" s="5">
        <v>0</v>
      </c>
      <c r="K148" s="1" t="s">
        <v>36</v>
      </c>
      <c r="L148" s="1" t="s">
        <v>75</v>
      </c>
      <c r="M148" s="1" t="s">
        <v>75</v>
      </c>
      <c r="N148" s="3">
        <v>83</v>
      </c>
      <c r="O148" s="6">
        <f>Table1[[#This Row],[Invoice Qty]]-Table1[[#This Row],[ExFactory Qty]]</f>
        <v>0</v>
      </c>
      <c r="P148" s="1" t="s">
        <v>609</v>
      </c>
      <c r="Q148" s="2">
        <v>46271.723634259302</v>
      </c>
      <c r="R148" s="2">
        <v>46280</v>
      </c>
      <c r="S148" s="1" t="s">
        <v>39</v>
      </c>
      <c r="U148" s="1" t="s">
        <v>40</v>
      </c>
      <c r="V148" s="1" t="s">
        <v>77</v>
      </c>
      <c r="W148" s="1" t="s">
        <v>40</v>
      </c>
      <c r="X148" s="1" t="s">
        <v>40</v>
      </c>
      <c r="Z148" s="2">
        <v>46280</v>
      </c>
      <c r="AA148" s="1" t="s">
        <v>619</v>
      </c>
      <c r="AB148" s="2">
        <v>46272</v>
      </c>
      <c r="AC148" s="2">
        <v>46271</v>
      </c>
      <c r="AE148" s="1" t="s">
        <v>40</v>
      </c>
      <c r="AF148" s="1" t="s">
        <v>326</v>
      </c>
    </row>
    <row r="149" spans="1:32" ht="12.75" hidden="1" customHeight="1" x14ac:dyDescent="0.2">
      <c r="A149" s="1" t="s">
        <v>30</v>
      </c>
      <c r="B149" s="1" t="s">
        <v>620</v>
      </c>
      <c r="C149" s="1" t="s">
        <v>71</v>
      </c>
      <c r="D149" s="1" t="s">
        <v>323</v>
      </c>
      <c r="E149" s="1" t="s">
        <v>357</v>
      </c>
      <c r="F149" s="1" t="s">
        <v>600</v>
      </c>
      <c r="G149" s="3">
        <v>16</v>
      </c>
      <c r="H149" s="4">
        <v>1</v>
      </c>
      <c r="I149" s="5">
        <v>70.08</v>
      </c>
      <c r="J149" s="5">
        <v>0</v>
      </c>
      <c r="K149" s="1" t="s">
        <v>36</v>
      </c>
      <c r="L149" s="1" t="s">
        <v>75</v>
      </c>
      <c r="M149" s="1" t="s">
        <v>75</v>
      </c>
      <c r="N149" s="3">
        <v>16</v>
      </c>
      <c r="O149" s="6">
        <f>Table1[[#This Row],[Invoice Qty]]-Table1[[#This Row],[ExFactory Qty]]</f>
        <v>0</v>
      </c>
      <c r="P149" s="1" t="s">
        <v>601</v>
      </c>
      <c r="Q149" s="2">
        <v>46271.822870370401</v>
      </c>
      <c r="R149" s="2">
        <v>46281</v>
      </c>
      <c r="S149" s="1" t="s">
        <v>39</v>
      </c>
      <c r="U149" s="1" t="s">
        <v>40</v>
      </c>
      <c r="V149" s="1" t="s">
        <v>77</v>
      </c>
      <c r="W149" s="1" t="s">
        <v>40</v>
      </c>
      <c r="X149" s="1" t="s">
        <v>40</v>
      </c>
      <c r="Z149" s="2">
        <v>46284</v>
      </c>
      <c r="AA149" s="1" t="s">
        <v>621</v>
      </c>
      <c r="AB149" s="2">
        <v>46272</v>
      </c>
      <c r="AC149" s="2">
        <v>46271.461446759298</v>
      </c>
      <c r="AE149" s="1" t="s">
        <v>40</v>
      </c>
      <c r="AF149" s="1" t="s">
        <v>326</v>
      </c>
    </row>
    <row r="150" spans="1:32" ht="12.75" hidden="1" customHeight="1" x14ac:dyDescent="0.2">
      <c r="A150" s="1" t="s">
        <v>30</v>
      </c>
      <c r="B150" s="1" t="s">
        <v>622</v>
      </c>
      <c r="C150" s="1" t="s">
        <v>71</v>
      </c>
      <c r="D150" s="1" t="s">
        <v>72</v>
      </c>
      <c r="E150" s="1" t="s">
        <v>623</v>
      </c>
      <c r="F150" s="1" t="s">
        <v>608</v>
      </c>
      <c r="G150" s="3">
        <v>2500</v>
      </c>
      <c r="H150" s="4">
        <v>31</v>
      </c>
      <c r="I150" s="5">
        <v>7650</v>
      </c>
      <c r="J150" s="5">
        <v>0</v>
      </c>
      <c r="K150" s="1" t="s">
        <v>36</v>
      </c>
      <c r="L150" s="1" t="s">
        <v>75</v>
      </c>
      <c r="M150" s="1" t="s">
        <v>75</v>
      </c>
      <c r="N150" s="3">
        <v>2500</v>
      </c>
      <c r="O150" s="6">
        <f>Table1[[#This Row],[Invoice Qty]]-Table1[[#This Row],[ExFactory Qty]]</f>
        <v>0</v>
      </c>
      <c r="P150" s="1" t="s">
        <v>609</v>
      </c>
      <c r="Q150" s="2">
        <v>46271.723634259302</v>
      </c>
      <c r="R150" s="2">
        <v>46280</v>
      </c>
      <c r="S150" s="1" t="s">
        <v>39</v>
      </c>
      <c r="U150" s="1" t="s">
        <v>40</v>
      </c>
      <c r="V150" s="1" t="s">
        <v>77</v>
      </c>
      <c r="W150" s="1" t="s">
        <v>40</v>
      </c>
      <c r="X150" s="1" t="s">
        <v>40</v>
      </c>
      <c r="Z150" s="2">
        <v>46280</v>
      </c>
      <c r="AA150" s="1" t="s">
        <v>624</v>
      </c>
      <c r="AB150" s="2">
        <v>46272</v>
      </c>
      <c r="AC150" s="2">
        <v>46271</v>
      </c>
      <c r="AE150" s="1" t="s">
        <v>40</v>
      </c>
      <c r="AF150" s="1" t="s">
        <v>79</v>
      </c>
    </row>
    <row r="151" spans="1:32" ht="12.75" hidden="1" customHeight="1" x14ac:dyDescent="0.2">
      <c r="A151" s="1" t="s">
        <v>30</v>
      </c>
      <c r="B151" s="1" t="s">
        <v>625</v>
      </c>
      <c r="C151" s="1" t="s">
        <v>71</v>
      </c>
      <c r="D151" s="1" t="s">
        <v>72</v>
      </c>
      <c r="E151" s="1" t="s">
        <v>623</v>
      </c>
      <c r="F151" s="1" t="s">
        <v>600</v>
      </c>
      <c r="G151" s="3">
        <v>800</v>
      </c>
      <c r="H151" s="4">
        <v>12</v>
      </c>
      <c r="I151" s="5">
        <v>2448</v>
      </c>
      <c r="J151" s="5">
        <v>0</v>
      </c>
      <c r="K151" s="1" t="s">
        <v>36</v>
      </c>
      <c r="L151" s="1" t="s">
        <v>75</v>
      </c>
      <c r="M151" s="1" t="s">
        <v>75</v>
      </c>
      <c r="N151" s="3">
        <v>800</v>
      </c>
      <c r="O151" s="6">
        <f>Table1[[#This Row],[Invoice Qty]]-Table1[[#This Row],[ExFactory Qty]]</f>
        <v>0</v>
      </c>
      <c r="P151" s="1" t="s">
        <v>601</v>
      </c>
      <c r="Q151" s="2">
        <v>46271.822870370401</v>
      </c>
      <c r="R151" s="2">
        <v>46281</v>
      </c>
      <c r="S151" s="1" t="s">
        <v>39</v>
      </c>
      <c r="U151" s="1" t="s">
        <v>40</v>
      </c>
      <c r="V151" s="1" t="s">
        <v>77</v>
      </c>
      <c r="W151" s="1" t="s">
        <v>40</v>
      </c>
      <c r="X151" s="1" t="s">
        <v>40</v>
      </c>
      <c r="Z151" s="2">
        <v>46284</v>
      </c>
      <c r="AA151" s="1" t="s">
        <v>626</v>
      </c>
      <c r="AB151" s="2">
        <v>46272</v>
      </c>
      <c r="AC151" s="2">
        <v>46271.461446759298</v>
      </c>
      <c r="AE151" s="1" t="s">
        <v>40</v>
      </c>
      <c r="AF151" s="1" t="s">
        <v>79</v>
      </c>
    </row>
    <row r="152" spans="1:32" ht="12.75" hidden="1" customHeight="1" x14ac:dyDescent="0.2">
      <c r="A152" s="1" t="s">
        <v>30</v>
      </c>
      <c r="B152" s="1" t="s">
        <v>627</v>
      </c>
      <c r="C152" s="1" t="s">
        <v>71</v>
      </c>
      <c r="D152" s="1" t="s">
        <v>72</v>
      </c>
      <c r="E152" s="1" t="s">
        <v>628</v>
      </c>
      <c r="F152" s="1" t="s">
        <v>608</v>
      </c>
      <c r="G152" s="3">
        <v>2500</v>
      </c>
      <c r="H152" s="4">
        <v>31</v>
      </c>
      <c r="I152" s="5">
        <v>6425</v>
      </c>
      <c r="J152" s="5">
        <v>0</v>
      </c>
      <c r="K152" s="1" t="s">
        <v>36</v>
      </c>
      <c r="L152" s="1" t="s">
        <v>75</v>
      </c>
      <c r="M152" s="1" t="s">
        <v>75</v>
      </c>
      <c r="N152" s="3">
        <v>2500</v>
      </c>
      <c r="O152" s="6">
        <f>Table1[[#This Row],[Invoice Qty]]-Table1[[#This Row],[ExFactory Qty]]</f>
        <v>0</v>
      </c>
      <c r="P152" s="1" t="s">
        <v>609</v>
      </c>
      <c r="Q152" s="2">
        <v>46271.723634259302</v>
      </c>
      <c r="R152" s="2">
        <v>46280</v>
      </c>
      <c r="S152" s="1" t="s">
        <v>39</v>
      </c>
      <c r="U152" s="1" t="s">
        <v>40</v>
      </c>
      <c r="V152" s="1" t="s">
        <v>77</v>
      </c>
      <c r="W152" s="1" t="s">
        <v>40</v>
      </c>
      <c r="X152" s="1" t="s">
        <v>40</v>
      </c>
      <c r="Z152" s="2">
        <v>46280</v>
      </c>
      <c r="AA152" s="1" t="s">
        <v>629</v>
      </c>
      <c r="AB152" s="2">
        <v>46272</v>
      </c>
      <c r="AC152" s="2">
        <v>46271</v>
      </c>
      <c r="AE152" s="1" t="s">
        <v>40</v>
      </c>
      <c r="AF152" s="1" t="s">
        <v>79</v>
      </c>
    </row>
    <row r="153" spans="1:32" ht="12.75" hidden="1" customHeight="1" x14ac:dyDescent="0.2">
      <c r="A153" s="1" t="s">
        <v>30</v>
      </c>
      <c r="B153" s="1" t="s">
        <v>630</v>
      </c>
      <c r="C153" s="1" t="s">
        <v>71</v>
      </c>
      <c r="D153" s="1" t="s">
        <v>72</v>
      </c>
      <c r="E153" s="1" t="s">
        <v>628</v>
      </c>
      <c r="F153" s="1" t="s">
        <v>600</v>
      </c>
      <c r="G153" s="3">
        <v>800</v>
      </c>
      <c r="H153" s="4">
        <v>12</v>
      </c>
      <c r="I153" s="5">
        <v>2056</v>
      </c>
      <c r="J153" s="5">
        <v>0</v>
      </c>
      <c r="K153" s="1" t="s">
        <v>36</v>
      </c>
      <c r="L153" s="1" t="s">
        <v>75</v>
      </c>
      <c r="M153" s="1" t="s">
        <v>75</v>
      </c>
      <c r="N153" s="3">
        <v>800</v>
      </c>
      <c r="O153" s="6">
        <f>Table1[[#This Row],[Invoice Qty]]-Table1[[#This Row],[ExFactory Qty]]</f>
        <v>0</v>
      </c>
      <c r="P153" s="1" t="s">
        <v>601</v>
      </c>
      <c r="Q153" s="2">
        <v>46271.822870370401</v>
      </c>
      <c r="R153" s="2">
        <v>46281</v>
      </c>
      <c r="S153" s="1" t="s">
        <v>39</v>
      </c>
      <c r="U153" s="1" t="s">
        <v>40</v>
      </c>
      <c r="V153" s="1" t="s">
        <v>77</v>
      </c>
      <c r="W153" s="1" t="s">
        <v>40</v>
      </c>
      <c r="X153" s="1" t="s">
        <v>40</v>
      </c>
      <c r="AA153" s="1" t="s">
        <v>631</v>
      </c>
      <c r="AB153" s="2">
        <v>46272</v>
      </c>
      <c r="AC153" s="2">
        <v>46271.461446759298</v>
      </c>
      <c r="AE153" s="1" t="s">
        <v>40</v>
      </c>
      <c r="AF153" s="1" t="s">
        <v>79</v>
      </c>
    </row>
    <row r="154" spans="1:32" ht="12.75" hidden="1" customHeight="1" x14ac:dyDescent="0.2">
      <c r="A154" s="1" t="s">
        <v>30</v>
      </c>
      <c r="B154" s="1" t="s">
        <v>632</v>
      </c>
      <c r="C154" s="1" t="s">
        <v>71</v>
      </c>
      <c r="D154" s="1" t="s">
        <v>72</v>
      </c>
      <c r="E154" s="1" t="s">
        <v>633</v>
      </c>
      <c r="F154" s="1" t="s">
        <v>608</v>
      </c>
      <c r="G154" s="3">
        <v>756</v>
      </c>
      <c r="H154" s="4">
        <v>10</v>
      </c>
      <c r="I154" s="5">
        <v>2230.1999999999998</v>
      </c>
      <c r="J154" s="5">
        <v>0</v>
      </c>
      <c r="K154" s="1" t="s">
        <v>36</v>
      </c>
      <c r="L154" s="1" t="s">
        <v>75</v>
      </c>
      <c r="M154" s="1" t="s">
        <v>75</v>
      </c>
      <c r="N154" s="3">
        <v>756</v>
      </c>
      <c r="O154" s="6">
        <f>Table1[[#This Row],[Invoice Qty]]-Table1[[#This Row],[ExFactory Qty]]</f>
        <v>0</v>
      </c>
      <c r="P154" s="1" t="s">
        <v>609</v>
      </c>
      <c r="Q154" s="2">
        <v>46271.723634259302</v>
      </c>
      <c r="R154" s="2">
        <v>46280</v>
      </c>
      <c r="S154" s="1" t="s">
        <v>39</v>
      </c>
      <c r="U154" s="1" t="s">
        <v>40</v>
      </c>
      <c r="V154" s="1" t="s">
        <v>77</v>
      </c>
      <c r="W154" s="1" t="s">
        <v>40</v>
      </c>
      <c r="X154" s="1" t="s">
        <v>40</v>
      </c>
      <c r="Z154" s="2">
        <v>46280</v>
      </c>
      <c r="AA154" s="1" t="s">
        <v>634</v>
      </c>
      <c r="AB154" s="2">
        <v>46272</v>
      </c>
      <c r="AC154" s="2">
        <v>46271</v>
      </c>
      <c r="AE154" s="1" t="s">
        <v>40</v>
      </c>
      <c r="AF154" s="1" t="s">
        <v>79</v>
      </c>
    </row>
    <row r="155" spans="1:32" ht="12.75" hidden="1" customHeight="1" x14ac:dyDescent="0.2">
      <c r="A155" s="1" t="s">
        <v>30</v>
      </c>
      <c r="B155" s="1" t="s">
        <v>635</v>
      </c>
      <c r="C155" s="1" t="s">
        <v>71</v>
      </c>
      <c r="D155" s="1" t="s">
        <v>323</v>
      </c>
      <c r="E155" s="1" t="s">
        <v>521</v>
      </c>
      <c r="F155" s="1" t="s">
        <v>134</v>
      </c>
      <c r="G155" s="3">
        <v>610</v>
      </c>
      <c r="H155" s="4">
        <v>11</v>
      </c>
      <c r="I155" s="5">
        <v>1970.3</v>
      </c>
      <c r="J155" s="5">
        <v>0</v>
      </c>
      <c r="K155" s="1" t="s">
        <v>36</v>
      </c>
      <c r="L155" s="1" t="s">
        <v>75</v>
      </c>
      <c r="M155" s="1" t="s">
        <v>75</v>
      </c>
      <c r="N155" s="3">
        <v>610</v>
      </c>
      <c r="O155" s="6">
        <f>Table1[[#This Row],[Invoice Qty]]-Table1[[#This Row],[ExFactory Qty]]</f>
        <v>0</v>
      </c>
      <c r="P155" s="1" t="s">
        <v>636</v>
      </c>
      <c r="Q155" s="2">
        <v>46271.706226851798</v>
      </c>
      <c r="R155" s="2">
        <v>46280</v>
      </c>
      <c r="S155" s="1" t="s">
        <v>39</v>
      </c>
      <c r="U155" s="1" t="s">
        <v>40</v>
      </c>
      <c r="V155" s="1" t="s">
        <v>77</v>
      </c>
      <c r="W155" s="1" t="s">
        <v>40</v>
      </c>
      <c r="X155" s="1" t="s">
        <v>40</v>
      </c>
      <c r="Z155" s="2">
        <v>46280</v>
      </c>
      <c r="AA155" s="1" t="s">
        <v>637</v>
      </c>
      <c r="AB155" s="2">
        <v>46272</v>
      </c>
      <c r="AC155" s="2">
        <v>46271.461446759298</v>
      </c>
      <c r="AE155" s="1" t="s">
        <v>40</v>
      </c>
      <c r="AF155" s="1" t="s">
        <v>326</v>
      </c>
    </row>
    <row r="156" spans="1:32" ht="12.75" hidden="1" customHeight="1" x14ac:dyDescent="0.2">
      <c r="A156" s="1" t="s">
        <v>30</v>
      </c>
      <c r="B156" s="1" t="s">
        <v>638</v>
      </c>
      <c r="C156" s="1" t="s">
        <v>71</v>
      </c>
      <c r="D156" s="1" t="s">
        <v>365</v>
      </c>
      <c r="E156" s="1" t="s">
        <v>639</v>
      </c>
      <c r="F156" s="1" t="s">
        <v>605</v>
      </c>
      <c r="G156" s="3">
        <v>22</v>
      </c>
      <c r="H156" s="4">
        <v>1</v>
      </c>
      <c r="I156" s="5">
        <v>126.72</v>
      </c>
      <c r="J156" s="5">
        <v>0</v>
      </c>
      <c r="K156" s="1" t="s">
        <v>36</v>
      </c>
      <c r="L156" s="1" t="s">
        <v>75</v>
      </c>
      <c r="M156" s="1" t="s">
        <v>75</v>
      </c>
      <c r="N156" s="3">
        <v>22</v>
      </c>
      <c r="O156" s="6">
        <f>Table1[[#This Row],[Invoice Qty]]-Table1[[#This Row],[ExFactory Qty]]</f>
        <v>0</v>
      </c>
      <c r="P156" s="1" t="s">
        <v>601</v>
      </c>
      <c r="Q156" s="2">
        <v>46271.822870370401</v>
      </c>
      <c r="R156" s="2">
        <v>46281</v>
      </c>
      <c r="S156" s="1" t="s">
        <v>39</v>
      </c>
      <c r="U156" s="1" t="s">
        <v>40</v>
      </c>
      <c r="V156" s="1" t="s">
        <v>77</v>
      </c>
      <c r="W156" s="1" t="s">
        <v>40</v>
      </c>
      <c r="X156" s="1" t="s">
        <v>40</v>
      </c>
      <c r="Z156" s="2">
        <v>46284</v>
      </c>
      <c r="AA156" s="1" t="s">
        <v>640</v>
      </c>
      <c r="AB156" s="2">
        <v>46272</v>
      </c>
      <c r="AC156" s="2">
        <v>46271</v>
      </c>
      <c r="AE156" s="1" t="s">
        <v>40</v>
      </c>
      <c r="AF156" s="1" t="s">
        <v>40</v>
      </c>
    </row>
    <row r="157" spans="1:32" ht="12.75" hidden="1" customHeight="1" x14ac:dyDescent="0.2">
      <c r="A157" s="1" t="s">
        <v>30</v>
      </c>
      <c r="B157" s="1" t="s">
        <v>641</v>
      </c>
      <c r="C157" s="1" t="s">
        <v>71</v>
      </c>
      <c r="D157" s="1" t="s">
        <v>365</v>
      </c>
      <c r="E157" s="1" t="s">
        <v>639</v>
      </c>
      <c r="F157" s="1" t="s">
        <v>615</v>
      </c>
      <c r="G157" s="3">
        <v>28</v>
      </c>
      <c r="H157" s="4">
        <v>1</v>
      </c>
      <c r="I157" s="5">
        <v>161.28</v>
      </c>
      <c r="J157" s="5">
        <v>0</v>
      </c>
      <c r="K157" s="1" t="s">
        <v>36</v>
      </c>
      <c r="L157" s="1" t="s">
        <v>75</v>
      </c>
      <c r="M157" s="1" t="s">
        <v>75</v>
      </c>
      <c r="N157" s="3">
        <v>28</v>
      </c>
      <c r="O157" s="6">
        <f>Table1[[#This Row],[Invoice Qty]]-Table1[[#This Row],[ExFactory Qty]]</f>
        <v>0</v>
      </c>
      <c r="P157" s="1" t="s">
        <v>609</v>
      </c>
      <c r="Q157" s="2">
        <v>46271.723634259302</v>
      </c>
      <c r="R157" s="2">
        <v>46280</v>
      </c>
      <c r="S157" s="1" t="s">
        <v>39</v>
      </c>
      <c r="U157" s="1" t="s">
        <v>40</v>
      </c>
      <c r="V157" s="1" t="s">
        <v>77</v>
      </c>
      <c r="W157" s="1" t="s">
        <v>40</v>
      </c>
      <c r="X157" s="1" t="s">
        <v>40</v>
      </c>
      <c r="AA157" s="1" t="s">
        <v>642</v>
      </c>
      <c r="AB157" s="2">
        <v>46272</v>
      </c>
      <c r="AC157" s="2">
        <v>46271</v>
      </c>
      <c r="AD157" s="2">
        <v>46273</v>
      </c>
      <c r="AE157" s="1" t="s">
        <v>643</v>
      </c>
      <c r="AF157" s="1" t="s">
        <v>40</v>
      </c>
    </row>
    <row r="158" spans="1:32" ht="12.75" hidden="1" customHeight="1" x14ac:dyDescent="0.2">
      <c r="A158" s="1" t="s">
        <v>30</v>
      </c>
      <c r="B158" s="1" t="s">
        <v>644</v>
      </c>
      <c r="C158" s="1" t="s">
        <v>71</v>
      </c>
      <c r="D158" s="1" t="s">
        <v>323</v>
      </c>
      <c r="E158" s="1" t="s">
        <v>518</v>
      </c>
      <c r="F158" s="1" t="s">
        <v>134</v>
      </c>
      <c r="G158" s="3">
        <v>141</v>
      </c>
      <c r="H158" s="4">
        <v>2</v>
      </c>
      <c r="I158" s="5">
        <v>482.22</v>
      </c>
      <c r="J158" s="5">
        <v>0</v>
      </c>
      <c r="K158" s="1" t="s">
        <v>36</v>
      </c>
      <c r="L158" s="1" t="s">
        <v>75</v>
      </c>
      <c r="M158" s="1" t="s">
        <v>75</v>
      </c>
      <c r="N158" s="3">
        <v>141</v>
      </c>
      <c r="O158" s="6">
        <f>Table1[[#This Row],[Invoice Qty]]-Table1[[#This Row],[ExFactory Qty]]</f>
        <v>0</v>
      </c>
      <c r="P158" s="1" t="s">
        <v>636</v>
      </c>
      <c r="Q158" s="2">
        <v>46271.706226851798</v>
      </c>
      <c r="R158" s="2">
        <v>46280</v>
      </c>
      <c r="S158" s="1" t="s">
        <v>39</v>
      </c>
      <c r="U158" s="1" t="s">
        <v>40</v>
      </c>
      <c r="V158" s="1" t="s">
        <v>77</v>
      </c>
      <c r="W158" s="1" t="s">
        <v>40</v>
      </c>
      <c r="X158" s="1" t="s">
        <v>40</v>
      </c>
      <c r="Z158" s="2">
        <v>46280</v>
      </c>
      <c r="AA158" s="1" t="s">
        <v>645</v>
      </c>
      <c r="AB158" s="2">
        <v>46272</v>
      </c>
      <c r="AC158" s="2">
        <v>46271.461446759298</v>
      </c>
      <c r="AE158" s="1" t="s">
        <v>40</v>
      </c>
      <c r="AF158" s="1" t="s">
        <v>326</v>
      </c>
    </row>
    <row r="159" spans="1:32" ht="12.75" hidden="1" customHeight="1" x14ac:dyDescent="0.2">
      <c r="A159" s="1" t="s">
        <v>30</v>
      </c>
      <c r="B159" s="1" t="s">
        <v>646</v>
      </c>
      <c r="C159" s="1" t="s">
        <v>71</v>
      </c>
      <c r="D159" s="1" t="s">
        <v>365</v>
      </c>
      <c r="E159" s="1" t="s">
        <v>647</v>
      </c>
      <c r="F159" s="1" t="s">
        <v>269</v>
      </c>
      <c r="G159" s="3">
        <v>578</v>
      </c>
      <c r="H159" s="4">
        <v>10</v>
      </c>
      <c r="I159" s="5">
        <v>3329.28</v>
      </c>
      <c r="J159" s="5">
        <v>0</v>
      </c>
      <c r="K159" s="1" t="s">
        <v>36</v>
      </c>
      <c r="L159" s="1" t="s">
        <v>75</v>
      </c>
      <c r="M159" s="1" t="s">
        <v>75</v>
      </c>
      <c r="N159" s="3">
        <v>578</v>
      </c>
      <c r="O159" s="6">
        <f>Table1[[#This Row],[Invoice Qty]]-Table1[[#This Row],[ExFactory Qty]]</f>
        <v>0</v>
      </c>
      <c r="P159" s="1" t="s">
        <v>648</v>
      </c>
      <c r="Q159" s="2">
        <v>46271.855763888903</v>
      </c>
      <c r="R159" s="2">
        <v>46280</v>
      </c>
      <c r="S159" s="1" t="s">
        <v>39</v>
      </c>
      <c r="U159" s="1" t="s">
        <v>40</v>
      </c>
      <c r="V159" s="1" t="s">
        <v>77</v>
      </c>
      <c r="W159" s="1" t="s">
        <v>40</v>
      </c>
      <c r="X159" s="1" t="s">
        <v>40</v>
      </c>
      <c r="Z159" s="2">
        <v>46279</v>
      </c>
      <c r="AA159" s="1" t="s">
        <v>649</v>
      </c>
      <c r="AB159" s="2">
        <v>46272</v>
      </c>
      <c r="AC159" s="2">
        <v>46271.461446759298</v>
      </c>
      <c r="AE159" s="1" t="s">
        <v>40</v>
      </c>
      <c r="AF159" s="1" t="s">
        <v>40</v>
      </c>
    </row>
    <row r="160" spans="1:32" ht="12.75" hidden="1" customHeight="1" x14ac:dyDescent="0.2">
      <c r="A160" s="1" t="s">
        <v>30</v>
      </c>
      <c r="B160" s="1" t="s">
        <v>650</v>
      </c>
      <c r="C160" s="1" t="s">
        <v>71</v>
      </c>
      <c r="D160" s="1" t="s">
        <v>365</v>
      </c>
      <c r="E160" s="1" t="s">
        <v>647</v>
      </c>
      <c r="F160" s="1" t="s">
        <v>651</v>
      </c>
      <c r="G160" s="3">
        <v>272</v>
      </c>
      <c r="H160" s="4">
        <v>6</v>
      </c>
      <c r="I160" s="5">
        <v>1566.72</v>
      </c>
      <c r="J160" s="5">
        <v>0</v>
      </c>
      <c r="K160" s="1" t="s">
        <v>36</v>
      </c>
      <c r="L160" s="1" t="s">
        <v>75</v>
      </c>
      <c r="M160" s="1" t="s">
        <v>75</v>
      </c>
      <c r="N160" s="3">
        <v>272</v>
      </c>
      <c r="O160" s="6">
        <f>Table1[[#This Row],[Invoice Qty]]-Table1[[#This Row],[ExFactory Qty]]</f>
        <v>0</v>
      </c>
      <c r="P160" s="1" t="s">
        <v>648</v>
      </c>
      <c r="Q160" s="2">
        <v>46271.855763888903</v>
      </c>
      <c r="R160" s="2">
        <v>46280</v>
      </c>
      <c r="S160" s="1" t="s">
        <v>39</v>
      </c>
      <c r="U160" s="1" t="s">
        <v>40</v>
      </c>
      <c r="V160" s="1" t="s">
        <v>77</v>
      </c>
      <c r="W160" s="1" t="s">
        <v>40</v>
      </c>
      <c r="X160" s="1" t="s">
        <v>40</v>
      </c>
      <c r="Z160" s="2">
        <v>46285</v>
      </c>
      <c r="AA160" s="1" t="s">
        <v>652</v>
      </c>
      <c r="AB160" s="2">
        <v>46272</v>
      </c>
      <c r="AC160" s="2">
        <v>46271.461446759298</v>
      </c>
      <c r="AE160" s="1" t="s">
        <v>40</v>
      </c>
      <c r="AF160" s="1" t="s">
        <v>40</v>
      </c>
    </row>
    <row r="161" spans="1:32" ht="12.75" hidden="1" customHeight="1" x14ac:dyDescent="0.2">
      <c r="A161" s="1" t="s">
        <v>30</v>
      </c>
      <c r="B161" s="1" t="s">
        <v>653</v>
      </c>
      <c r="C161" s="1" t="s">
        <v>71</v>
      </c>
      <c r="D161" s="1" t="s">
        <v>365</v>
      </c>
      <c r="E161" s="1" t="s">
        <v>381</v>
      </c>
      <c r="F161" s="1" t="s">
        <v>654</v>
      </c>
      <c r="G161" s="3">
        <v>746</v>
      </c>
      <c r="H161" s="4">
        <v>9</v>
      </c>
      <c r="I161" s="5">
        <v>4319.34</v>
      </c>
      <c r="J161" s="5">
        <v>0</v>
      </c>
      <c r="K161" s="1" t="s">
        <v>36</v>
      </c>
      <c r="L161" s="1" t="s">
        <v>75</v>
      </c>
      <c r="M161" s="1" t="s">
        <v>75</v>
      </c>
      <c r="N161" s="3">
        <v>746</v>
      </c>
      <c r="O161" s="6">
        <f>Table1[[#This Row],[Invoice Qty]]-Table1[[#This Row],[ExFactory Qty]]</f>
        <v>0</v>
      </c>
      <c r="P161" s="1" t="s">
        <v>636</v>
      </c>
      <c r="Q161" s="2">
        <v>46271.706226851798</v>
      </c>
      <c r="R161" s="2">
        <v>46283</v>
      </c>
      <c r="S161" s="1" t="s">
        <v>39</v>
      </c>
      <c r="U161" s="1" t="s">
        <v>40</v>
      </c>
      <c r="V161" s="1" t="s">
        <v>77</v>
      </c>
      <c r="W161" s="1" t="s">
        <v>40</v>
      </c>
      <c r="X161" s="1" t="s">
        <v>40</v>
      </c>
      <c r="Z161" s="2">
        <v>46284</v>
      </c>
      <c r="AA161" s="1" t="s">
        <v>655</v>
      </c>
      <c r="AB161" s="2">
        <v>46272</v>
      </c>
      <c r="AC161" s="2">
        <v>46271.461446759298</v>
      </c>
      <c r="AE161" s="1" t="s">
        <v>40</v>
      </c>
      <c r="AF161" s="1" t="s">
        <v>40</v>
      </c>
    </row>
    <row r="162" spans="1:32" ht="12.75" hidden="1" customHeight="1" x14ac:dyDescent="0.2">
      <c r="A162" s="1" t="s">
        <v>30</v>
      </c>
      <c r="B162" s="1" t="s">
        <v>656</v>
      </c>
      <c r="C162" s="1" t="s">
        <v>71</v>
      </c>
      <c r="D162" s="1" t="s">
        <v>72</v>
      </c>
      <c r="E162" s="1" t="s">
        <v>657</v>
      </c>
      <c r="F162" s="1" t="s">
        <v>658</v>
      </c>
      <c r="G162" s="3">
        <v>384</v>
      </c>
      <c r="H162" s="4">
        <v>6</v>
      </c>
      <c r="I162" s="5">
        <v>1071.3599999999999</v>
      </c>
      <c r="J162" s="5">
        <v>0</v>
      </c>
      <c r="K162" s="1" t="s">
        <v>36</v>
      </c>
      <c r="L162" s="1" t="s">
        <v>75</v>
      </c>
      <c r="M162" s="1" t="s">
        <v>75</v>
      </c>
      <c r="N162" s="3">
        <v>384</v>
      </c>
      <c r="O162" s="6">
        <f>Table1[[#This Row],[Invoice Qty]]-Table1[[#This Row],[ExFactory Qty]]</f>
        <v>0</v>
      </c>
      <c r="P162" s="1" t="s">
        <v>609</v>
      </c>
      <c r="Q162" s="2">
        <v>46271.723634259302</v>
      </c>
      <c r="R162" s="2">
        <v>46280</v>
      </c>
      <c r="S162" s="1" t="s">
        <v>39</v>
      </c>
      <c r="U162" s="1" t="s">
        <v>40</v>
      </c>
      <c r="V162" s="1" t="s">
        <v>77</v>
      </c>
      <c r="W162" s="1" t="s">
        <v>40</v>
      </c>
      <c r="X162" s="1" t="s">
        <v>40</v>
      </c>
      <c r="Z162" s="2">
        <v>46280</v>
      </c>
      <c r="AA162" s="1" t="s">
        <v>659</v>
      </c>
      <c r="AB162" s="2">
        <v>46272</v>
      </c>
      <c r="AC162" s="2">
        <v>46271.461446759298</v>
      </c>
      <c r="AE162" s="1" t="s">
        <v>40</v>
      </c>
      <c r="AF162" s="1" t="s">
        <v>79</v>
      </c>
    </row>
    <row r="163" spans="1:32" ht="12.75" hidden="1" customHeight="1" x14ac:dyDescent="0.2">
      <c r="A163" s="1" t="s">
        <v>30</v>
      </c>
      <c r="B163" s="1" t="s">
        <v>660</v>
      </c>
      <c r="C163" s="1" t="s">
        <v>71</v>
      </c>
      <c r="D163" s="1" t="s">
        <v>72</v>
      </c>
      <c r="E163" s="1" t="s">
        <v>657</v>
      </c>
      <c r="F163" s="1" t="s">
        <v>661</v>
      </c>
      <c r="G163" s="3">
        <v>139</v>
      </c>
      <c r="H163" s="4">
        <v>2</v>
      </c>
      <c r="I163" s="5">
        <v>387.81</v>
      </c>
      <c r="J163" s="5">
        <v>0</v>
      </c>
      <c r="K163" s="1" t="s">
        <v>36</v>
      </c>
      <c r="L163" s="1" t="s">
        <v>75</v>
      </c>
      <c r="M163" s="1" t="s">
        <v>75</v>
      </c>
      <c r="N163" s="3">
        <v>139</v>
      </c>
      <c r="O163" s="6">
        <f>Table1[[#This Row],[Invoice Qty]]-Table1[[#This Row],[ExFactory Qty]]</f>
        <v>0</v>
      </c>
      <c r="P163" s="1" t="s">
        <v>609</v>
      </c>
      <c r="Q163" s="2">
        <v>46271.723634259302</v>
      </c>
      <c r="R163" s="2">
        <v>46280</v>
      </c>
      <c r="S163" s="1" t="s">
        <v>39</v>
      </c>
      <c r="U163" s="1" t="s">
        <v>40</v>
      </c>
      <c r="V163" s="1" t="s">
        <v>77</v>
      </c>
      <c r="W163" s="1" t="s">
        <v>40</v>
      </c>
      <c r="X163" s="1" t="s">
        <v>40</v>
      </c>
      <c r="AA163" s="1" t="s">
        <v>662</v>
      </c>
      <c r="AB163" s="2">
        <v>46272</v>
      </c>
      <c r="AC163" s="2">
        <v>46271.461446759298</v>
      </c>
      <c r="AE163" s="1" t="s">
        <v>40</v>
      </c>
      <c r="AF163" s="1" t="s">
        <v>79</v>
      </c>
    </row>
    <row r="164" spans="1:32" ht="12.75" hidden="1" customHeight="1" x14ac:dyDescent="0.2">
      <c r="A164" s="1" t="s">
        <v>30</v>
      </c>
      <c r="B164" s="1" t="s">
        <v>663</v>
      </c>
      <c r="C164" s="1" t="s">
        <v>71</v>
      </c>
      <c r="D164" s="1" t="s">
        <v>72</v>
      </c>
      <c r="E164" s="1" t="s">
        <v>657</v>
      </c>
      <c r="F164" s="1" t="s">
        <v>269</v>
      </c>
      <c r="G164" s="3">
        <v>77</v>
      </c>
      <c r="H164" s="4">
        <v>1</v>
      </c>
      <c r="I164" s="5">
        <v>214.83</v>
      </c>
      <c r="J164" s="5">
        <v>0</v>
      </c>
      <c r="K164" s="1" t="s">
        <v>36</v>
      </c>
      <c r="L164" s="1" t="s">
        <v>75</v>
      </c>
      <c r="M164" s="1" t="s">
        <v>75</v>
      </c>
      <c r="N164" s="3">
        <v>77</v>
      </c>
      <c r="O164" s="6">
        <f>Table1[[#This Row],[Invoice Qty]]-Table1[[#This Row],[ExFactory Qty]]</f>
        <v>0</v>
      </c>
      <c r="P164" s="1" t="s">
        <v>648</v>
      </c>
      <c r="Q164" s="2">
        <v>46271.855763888903</v>
      </c>
      <c r="R164" s="2">
        <v>46280</v>
      </c>
      <c r="S164" s="1" t="s">
        <v>39</v>
      </c>
      <c r="U164" s="1" t="s">
        <v>40</v>
      </c>
      <c r="V164" s="1" t="s">
        <v>77</v>
      </c>
      <c r="W164" s="1" t="s">
        <v>40</v>
      </c>
      <c r="X164" s="1" t="s">
        <v>40</v>
      </c>
      <c r="Z164" s="2">
        <v>46282</v>
      </c>
      <c r="AA164" s="1" t="s">
        <v>664</v>
      </c>
      <c r="AB164" s="2">
        <v>46272</v>
      </c>
      <c r="AC164" s="2">
        <v>46271.461446759298</v>
      </c>
      <c r="AE164" s="1" t="s">
        <v>40</v>
      </c>
      <c r="AF164" s="1" t="s">
        <v>79</v>
      </c>
    </row>
    <row r="165" spans="1:32" ht="12.75" hidden="1" customHeight="1" x14ac:dyDescent="0.2">
      <c r="A165" s="1" t="s">
        <v>30</v>
      </c>
      <c r="B165" s="1" t="s">
        <v>665</v>
      </c>
      <c r="C165" s="1" t="s">
        <v>71</v>
      </c>
      <c r="D165" s="1" t="s">
        <v>72</v>
      </c>
      <c r="E165" s="1" t="s">
        <v>657</v>
      </c>
      <c r="F165" s="1" t="s">
        <v>269</v>
      </c>
      <c r="G165" s="3">
        <v>49</v>
      </c>
      <c r="H165" s="4">
        <v>1</v>
      </c>
      <c r="I165" s="5">
        <v>136.71</v>
      </c>
      <c r="J165" s="5">
        <v>0</v>
      </c>
      <c r="K165" s="1" t="s">
        <v>36</v>
      </c>
      <c r="L165" s="1" t="s">
        <v>75</v>
      </c>
      <c r="M165" s="1" t="s">
        <v>75</v>
      </c>
      <c r="N165" s="3">
        <v>49</v>
      </c>
      <c r="O165" s="6">
        <f>Table1[[#This Row],[Invoice Qty]]-Table1[[#This Row],[ExFactory Qty]]</f>
        <v>0</v>
      </c>
      <c r="P165" s="1" t="s">
        <v>648</v>
      </c>
      <c r="Q165" s="2">
        <v>46271.855763888903</v>
      </c>
      <c r="R165" s="2">
        <v>46280</v>
      </c>
      <c r="S165" s="1" t="s">
        <v>39</v>
      </c>
      <c r="U165" s="1" t="s">
        <v>40</v>
      </c>
      <c r="V165" s="1" t="s">
        <v>77</v>
      </c>
      <c r="W165" s="1" t="s">
        <v>40</v>
      </c>
      <c r="X165" s="1" t="s">
        <v>40</v>
      </c>
      <c r="Z165" s="2">
        <v>46281</v>
      </c>
      <c r="AA165" s="1" t="s">
        <v>666</v>
      </c>
      <c r="AB165" s="2">
        <v>46272</v>
      </c>
      <c r="AC165" s="2">
        <v>46271.461446759298</v>
      </c>
      <c r="AE165" s="1" t="s">
        <v>40</v>
      </c>
      <c r="AF165" s="1" t="s">
        <v>79</v>
      </c>
    </row>
    <row r="166" spans="1:32" ht="12.75" hidden="1" customHeight="1" x14ac:dyDescent="0.2">
      <c r="A166" s="1" t="s">
        <v>30</v>
      </c>
      <c r="B166" s="1" t="s">
        <v>667</v>
      </c>
      <c r="C166" s="1" t="s">
        <v>71</v>
      </c>
      <c r="D166" s="1" t="s">
        <v>72</v>
      </c>
      <c r="E166" s="1" t="s">
        <v>668</v>
      </c>
      <c r="F166" s="1" t="s">
        <v>661</v>
      </c>
      <c r="G166" s="3">
        <v>55</v>
      </c>
      <c r="H166" s="4">
        <v>1</v>
      </c>
      <c r="I166" s="5">
        <v>153.44999999999999</v>
      </c>
      <c r="J166" s="5">
        <v>0</v>
      </c>
      <c r="K166" s="1" t="s">
        <v>36</v>
      </c>
      <c r="L166" s="1" t="s">
        <v>75</v>
      </c>
      <c r="M166" s="1" t="s">
        <v>75</v>
      </c>
      <c r="N166" s="3">
        <v>55</v>
      </c>
      <c r="O166" s="6">
        <f>Table1[[#This Row],[Invoice Qty]]-Table1[[#This Row],[ExFactory Qty]]</f>
        <v>0</v>
      </c>
      <c r="P166" s="1" t="s">
        <v>609</v>
      </c>
      <c r="Q166" s="2">
        <v>46271.723634259302</v>
      </c>
      <c r="R166" s="2">
        <v>46280</v>
      </c>
      <c r="S166" s="1" t="s">
        <v>39</v>
      </c>
      <c r="U166" s="1" t="s">
        <v>40</v>
      </c>
      <c r="V166" s="1" t="s">
        <v>77</v>
      </c>
      <c r="W166" s="1" t="s">
        <v>40</v>
      </c>
      <c r="X166" s="1" t="s">
        <v>40</v>
      </c>
      <c r="Z166" s="2">
        <v>46280</v>
      </c>
      <c r="AA166" s="1" t="s">
        <v>669</v>
      </c>
      <c r="AB166" s="2">
        <v>46272</v>
      </c>
      <c r="AC166" s="2">
        <v>46271.461446759298</v>
      </c>
      <c r="AE166" s="1" t="s">
        <v>40</v>
      </c>
      <c r="AF166" s="1" t="s">
        <v>79</v>
      </c>
    </row>
    <row r="167" spans="1:32" ht="12.75" hidden="1" customHeight="1" x14ac:dyDescent="0.2">
      <c r="A167" s="1" t="s">
        <v>30</v>
      </c>
      <c r="B167" s="1" t="s">
        <v>670</v>
      </c>
      <c r="C167" s="1" t="s">
        <v>71</v>
      </c>
      <c r="D167" s="1" t="s">
        <v>72</v>
      </c>
      <c r="E167" s="1" t="s">
        <v>388</v>
      </c>
      <c r="F167" s="1" t="s">
        <v>615</v>
      </c>
      <c r="G167" s="3">
        <v>10</v>
      </c>
      <c r="H167" s="4">
        <v>1</v>
      </c>
      <c r="I167" s="5">
        <v>27</v>
      </c>
      <c r="J167" s="5">
        <v>0</v>
      </c>
      <c r="K167" s="1" t="s">
        <v>36</v>
      </c>
      <c r="L167" s="1" t="s">
        <v>75</v>
      </c>
      <c r="M167" s="1" t="s">
        <v>75</v>
      </c>
      <c r="N167" s="3">
        <v>10</v>
      </c>
      <c r="O167" s="6">
        <f>Table1[[#This Row],[Invoice Qty]]-Table1[[#This Row],[ExFactory Qty]]</f>
        <v>0</v>
      </c>
      <c r="P167" s="1" t="s">
        <v>609</v>
      </c>
      <c r="Q167" s="2">
        <v>46271.723634259302</v>
      </c>
      <c r="R167" s="2">
        <v>46280</v>
      </c>
      <c r="S167" s="1" t="s">
        <v>39</v>
      </c>
      <c r="U167" s="1" t="s">
        <v>40</v>
      </c>
      <c r="V167" s="1" t="s">
        <v>77</v>
      </c>
      <c r="W167" s="1" t="s">
        <v>40</v>
      </c>
      <c r="X167" s="1" t="s">
        <v>40</v>
      </c>
      <c r="AA167" s="1" t="s">
        <v>671</v>
      </c>
      <c r="AB167" s="2">
        <v>46272</v>
      </c>
      <c r="AC167" s="2">
        <v>46271</v>
      </c>
      <c r="AD167" s="2">
        <v>46273</v>
      </c>
      <c r="AE167" s="1" t="s">
        <v>672</v>
      </c>
      <c r="AF167" s="1" t="s">
        <v>79</v>
      </c>
    </row>
    <row r="168" spans="1:32" ht="12.75" hidden="1" customHeight="1" x14ac:dyDescent="0.2">
      <c r="A168" s="1" t="s">
        <v>30</v>
      </c>
      <c r="B168" s="1" t="s">
        <v>673</v>
      </c>
      <c r="C168" s="1" t="s">
        <v>71</v>
      </c>
      <c r="D168" s="1" t="s">
        <v>72</v>
      </c>
      <c r="E168" s="1" t="s">
        <v>674</v>
      </c>
      <c r="F168" s="1" t="s">
        <v>661</v>
      </c>
      <c r="G168" s="3">
        <v>25</v>
      </c>
      <c r="H168" s="4">
        <v>1</v>
      </c>
      <c r="I168" s="5">
        <v>59.5</v>
      </c>
      <c r="J168" s="5">
        <v>0</v>
      </c>
      <c r="K168" s="1" t="s">
        <v>36</v>
      </c>
      <c r="L168" s="1" t="s">
        <v>75</v>
      </c>
      <c r="M168" s="1" t="s">
        <v>75</v>
      </c>
      <c r="N168" s="3">
        <v>25</v>
      </c>
      <c r="O168" s="6">
        <f>Table1[[#This Row],[Invoice Qty]]-Table1[[#This Row],[ExFactory Qty]]</f>
        <v>0</v>
      </c>
      <c r="P168" s="1" t="s">
        <v>609</v>
      </c>
      <c r="Q168" s="2">
        <v>46271.723634259302</v>
      </c>
      <c r="R168" s="2">
        <v>46280</v>
      </c>
      <c r="S168" s="1" t="s">
        <v>39</v>
      </c>
      <c r="U168" s="1" t="s">
        <v>40</v>
      </c>
      <c r="V168" s="1" t="s">
        <v>77</v>
      </c>
      <c r="W168" s="1" t="s">
        <v>40</v>
      </c>
      <c r="X168" s="1" t="s">
        <v>40</v>
      </c>
      <c r="Z168" s="2">
        <v>46280</v>
      </c>
      <c r="AA168" s="1" t="s">
        <v>675</v>
      </c>
      <c r="AB168" s="2">
        <v>46272</v>
      </c>
      <c r="AC168" s="2">
        <v>46271.461446759298</v>
      </c>
      <c r="AE168" s="1" t="s">
        <v>40</v>
      </c>
      <c r="AF168" s="1" t="s">
        <v>79</v>
      </c>
    </row>
    <row r="169" spans="1:32" ht="12.75" hidden="1" customHeight="1" x14ac:dyDescent="0.2">
      <c r="A169" s="1" t="s">
        <v>30</v>
      </c>
      <c r="B169" s="1" t="s">
        <v>676</v>
      </c>
      <c r="C169" s="1" t="s">
        <v>71</v>
      </c>
      <c r="D169" s="1" t="s">
        <v>72</v>
      </c>
      <c r="E169" s="1" t="s">
        <v>391</v>
      </c>
      <c r="F169" s="1" t="s">
        <v>605</v>
      </c>
      <c r="G169" s="3">
        <v>309</v>
      </c>
      <c r="H169" s="4">
        <v>5</v>
      </c>
      <c r="I169" s="5">
        <v>735.42</v>
      </c>
      <c r="J169" s="5">
        <v>0</v>
      </c>
      <c r="K169" s="1" t="s">
        <v>36</v>
      </c>
      <c r="L169" s="1" t="s">
        <v>75</v>
      </c>
      <c r="M169" s="1" t="s">
        <v>75</v>
      </c>
      <c r="N169" s="3">
        <v>309</v>
      </c>
      <c r="O169" s="6">
        <f>Table1[[#This Row],[Invoice Qty]]-Table1[[#This Row],[ExFactory Qty]]</f>
        <v>0</v>
      </c>
      <c r="P169" s="1" t="s">
        <v>601</v>
      </c>
      <c r="Q169" s="2">
        <v>46271.822870370401</v>
      </c>
      <c r="R169" s="2">
        <v>46281</v>
      </c>
      <c r="S169" s="1" t="s">
        <v>39</v>
      </c>
      <c r="U169" s="1" t="s">
        <v>40</v>
      </c>
      <c r="V169" s="1" t="s">
        <v>77</v>
      </c>
      <c r="W169" s="1" t="s">
        <v>40</v>
      </c>
      <c r="X169" s="1" t="s">
        <v>40</v>
      </c>
      <c r="Z169" s="2">
        <v>46284</v>
      </c>
      <c r="AA169" s="1" t="s">
        <v>677</v>
      </c>
      <c r="AB169" s="2">
        <v>46272</v>
      </c>
      <c r="AC169" s="2">
        <v>46271</v>
      </c>
      <c r="AE169" s="1" t="s">
        <v>40</v>
      </c>
      <c r="AF169" s="1" t="s">
        <v>79</v>
      </c>
    </row>
    <row r="170" spans="1:32" ht="12.75" hidden="1" customHeight="1" x14ac:dyDescent="0.2">
      <c r="A170" s="1" t="s">
        <v>30</v>
      </c>
      <c r="B170" s="1" t="s">
        <v>678</v>
      </c>
      <c r="C170" s="1" t="s">
        <v>71</v>
      </c>
      <c r="D170" s="1" t="s">
        <v>72</v>
      </c>
      <c r="E170" s="1" t="s">
        <v>391</v>
      </c>
      <c r="F170" s="1" t="s">
        <v>608</v>
      </c>
      <c r="G170" s="3">
        <v>1200</v>
      </c>
      <c r="H170" s="4">
        <v>17</v>
      </c>
      <c r="I170" s="5">
        <v>2856</v>
      </c>
      <c r="J170" s="5">
        <v>0</v>
      </c>
      <c r="K170" s="1" t="s">
        <v>36</v>
      </c>
      <c r="L170" s="1" t="s">
        <v>75</v>
      </c>
      <c r="M170" s="1" t="s">
        <v>75</v>
      </c>
      <c r="N170" s="3">
        <v>1200</v>
      </c>
      <c r="O170" s="6">
        <f>Table1[[#This Row],[Invoice Qty]]-Table1[[#This Row],[ExFactory Qty]]</f>
        <v>0</v>
      </c>
      <c r="P170" s="1" t="s">
        <v>609</v>
      </c>
      <c r="Q170" s="2">
        <v>46271.723634259302</v>
      </c>
      <c r="R170" s="2">
        <v>46280</v>
      </c>
      <c r="S170" s="1" t="s">
        <v>39</v>
      </c>
      <c r="U170" s="1" t="s">
        <v>40</v>
      </c>
      <c r="V170" s="1" t="s">
        <v>77</v>
      </c>
      <c r="W170" s="1" t="s">
        <v>40</v>
      </c>
      <c r="X170" s="1" t="s">
        <v>40</v>
      </c>
      <c r="Z170" s="2">
        <v>46280</v>
      </c>
      <c r="AA170" s="1" t="s">
        <v>679</v>
      </c>
      <c r="AB170" s="2">
        <v>46272</v>
      </c>
      <c r="AC170" s="2">
        <v>46271</v>
      </c>
      <c r="AE170" s="1" t="s">
        <v>40</v>
      </c>
      <c r="AF170" s="1" t="s">
        <v>79</v>
      </c>
    </row>
    <row r="171" spans="1:32" ht="12.75" hidden="1" customHeight="1" x14ac:dyDescent="0.2">
      <c r="A171" s="1" t="s">
        <v>30</v>
      </c>
      <c r="B171" s="1" t="s">
        <v>680</v>
      </c>
      <c r="C171" s="1" t="s">
        <v>71</v>
      </c>
      <c r="D171" s="1" t="s">
        <v>72</v>
      </c>
      <c r="E171" s="1" t="s">
        <v>391</v>
      </c>
      <c r="F171" s="1" t="s">
        <v>661</v>
      </c>
      <c r="G171" s="3">
        <v>258</v>
      </c>
      <c r="H171" s="4">
        <v>5</v>
      </c>
      <c r="I171" s="5">
        <v>614.04</v>
      </c>
      <c r="J171" s="5">
        <v>0</v>
      </c>
      <c r="K171" s="1" t="s">
        <v>36</v>
      </c>
      <c r="L171" s="1" t="s">
        <v>75</v>
      </c>
      <c r="M171" s="1" t="s">
        <v>75</v>
      </c>
      <c r="N171" s="3">
        <v>258</v>
      </c>
      <c r="O171" s="6">
        <f>Table1[[#This Row],[Invoice Qty]]-Table1[[#This Row],[ExFactory Qty]]</f>
        <v>0</v>
      </c>
      <c r="P171" s="1" t="s">
        <v>609</v>
      </c>
      <c r="Q171" s="2">
        <v>46271.723634259302</v>
      </c>
      <c r="R171" s="2">
        <v>46280</v>
      </c>
      <c r="S171" s="1" t="s">
        <v>39</v>
      </c>
      <c r="U171" s="1" t="s">
        <v>40</v>
      </c>
      <c r="V171" s="1" t="s">
        <v>77</v>
      </c>
      <c r="W171" s="1" t="s">
        <v>40</v>
      </c>
      <c r="X171" s="1" t="s">
        <v>40</v>
      </c>
      <c r="Z171" s="2">
        <v>46280</v>
      </c>
      <c r="AA171" s="1" t="s">
        <v>681</v>
      </c>
      <c r="AB171" s="2">
        <v>46272</v>
      </c>
      <c r="AC171" s="2">
        <v>46271.461446759298</v>
      </c>
      <c r="AE171" s="1" t="s">
        <v>40</v>
      </c>
      <c r="AF171" s="1" t="s">
        <v>79</v>
      </c>
    </row>
    <row r="172" spans="1:32" ht="12.75" hidden="1" customHeight="1" x14ac:dyDescent="0.2">
      <c r="A172" s="1" t="s">
        <v>30</v>
      </c>
      <c r="B172" s="1" t="s">
        <v>682</v>
      </c>
      <c r="C172" s="1" t="s">
        <v>71</v>
      </c>
      <c r="D172" s="1" t="s">
        <v>72</v>
      </c>
      <c r="E172" s="1" t="s">
        <v>391</v>
      </c>
      <c r="F172" s="1" t="s">
        <v>600</v>
      </c>
      <c r="G172" s="3">
        <v>150</v>
      </c>
      <c r="H172" s="4">
        <v>2</v>
      </c>
      <c r="I172" s="5">
        <v>357</v>
      </c>
      <c r="J172" s="5">
        <v>0</v>
      </c>
      <c r="K172" s="1" t="s">
        <v>36</v>
      </c>
      <c r="L172" s="1" t="s">
        <v>75</v>
      </c>
      <c r="M172" s="1" t="s">
        <v>75</v>
      </c>
      <c r="N172" s="3">
        <v>150</v>
      </c>
      <c r="O172" s="6">
        <f>Table1[[#This Row],[Invoice Qty]]-Table1[[#This Row],[ExFactory Qty]]</f>
        <v>0</v>
      </c>
      <c r="P172" s="1" t="s">
        <v>601</v>
      </c>
      <c r="Q172" s="2">
        <v>46271.822870370401</v>
      </c>
      <c r="R172" s="2">
        <v>46281</v>
      </c>
      <c r="S172" s="1" t="s">
        <v>39</v>
      </c>
      <c r="U172" s="1" t="s">
        <v>40</v>
      </c>
      <c r="V172" s="1" t="s">
        <v>77</v>
      </c>
      <c r="W172" s="1" t="s">
        <v>40</v>
      </c>
      <c r="X172" s="1" t="s">
        <v>40</v>
      </c>
      <c r="Z172" s="2">
        <v>46284</v>
      </c>
      <c r="AA172" s="1" t="s">
        <v>683</v>
      </c>
      <c r="AB172" s="2">
        <v>46272</v>
      </c>
      <c r="AC172" s="2">
        <v>46271.461446759298</v>
      </c>
      <c r="AE172" s="1" t="s">
        <v>40</v>
      </c>
      <c r="AF172" s="1" t="s">
        <v>79</v>
      </c>
    </row>
    <row r="173" spans="1:32" ht="12.75" hidden="1" customHeight="1" x14ac:dyDescent="0.2">
      <c r="A173" s="1" t="s">
        <v>30</v>
      </c>
      <c r="B173" s="1" t="s">
        <v>684</v>
      </c>
      <c r="C173" s="1" t="s">
        <v>71</v>
      </c>
      <c r="D173" s="1" t="s">
        <v>72</v>
      </c>
      <c r="E173" s="1" t="s">
        <v>685</v>
      </c>
      <c r="F173" s="1" t="s">
        <v>183</v>
      </c>
      <c r="G173" s="3">
        <v>2433</v>
      </c>
      <c r="H173" s="4">
        <v>24</v>
      </c>
      <c r="I173" s="5">
        <v>6423.12</v>
      </c>
      <c r="J173" s="5">
        <v>0</v>
      </c>
      <c r="K173" s="1" t="s">
        <v>36</v>
      </c>
      <c r="L173" s="1" t="s">
        <v>75</v>
      </c>
      <c r="M173" s="1" t="s">
        <v>75</v>
      </c>
      <c r="N173" s="3">
        <v>2433</v>
      </c>
      <c r="O173" s="6">
        <f>Table1[[#This Row],[Invoice Qty]]-Table1[[#This Row],[ExFactory Qty]]</f>
        <v>0</v>
      </c>
      <c r="P173" s="1" t="s">
        <v>601</v>
      </c>
      <c r="Q173" s="2">
        <v>46271.822870370401</v>
      </c>
      <c r="R173" s="2">
        <v>46280</v>
      </c>
      <c r="S173" s="1" t="s">
        <v>39</v>
      </c>
      <c r="U173" s="1" t="s">
        <v>40</v>
      </c>
      <c r="V173" s="1" t="s">
        <v>77</v>
      </c>
      <c r="W173" s="1" t="s">
        <v>40</v>
      </c>
      <c r="X173" s="1" t="s">
        <v>40</v>
      </c>
      <c r="Z173" s="2">
        <v>46280</v>
      </c>
      <c r="AA173" s="1" t="s">
        <v>686</v>
      </c>
      <c r="AB173" s="2">
        <v>46272</v>
      </c>
      <c r="AC173" s="2">
        <v>46271.461446759298</v>
      </c>
      <c r="AE173" s="1" t="s">
        <v>40</v>
      </c>
      <c r="AF173" s="1" t="s">
        <v>79</v>
      </c>
    </row>
    <row r="174" spans="1:32" ht="12.75" hidden="1" customHeight="1" x14ac:dyDescent="0.2">
      <c r="A174" s="1" t="s">
        <v>30</v>
      </c>
      <c r="B174" s="1" t="s">
        <v>687</v>
      </c>
      <c r="C174" s="1" t="s">
        <v>71</v>
      </c>
      <c r="D174" s="1" t="s">
        <v>72</v>
      </c>
      <c r="E174" s="1" t="s">
        <v>685</v>
      </c>
      <c r="F174" s="1" t="s">
        <v>688</v>
      </c>
      <c r="G174" s="3">
        <v>356</v>
      </c>
      <c r="H174" s="4">
        <v>9</v>
      </c>
      <c r="I174" s="5">
        <v>939.84</v>
      </c>
      <c r="J174" s="5">
        <v>0</v>
      </c>
      <c r="K174" s="1" t="s">
        <v>36</v>
      </c>
      <c r="L174" s="1" t="s">
        <v>75</v>
      </c>
      <c r="M174" s="1" t="s">
        <v>75</v>
      </c>
      <c r="N174" s="3">
        <v>356</v>
      </c>
      <c r="O174" s="6">
        <f>Table1[[#This Row],[Invoice Qty]]-Table1[[#This Row],[ExFactory Qty]]</f>
        <v>0</v>
      </c>
      <c r="P174" s="1" t="s">
        <v>609</v>
      </c>
      <c r="Q174" s="2">
        <v>46271.723634259302</v>
      </c>
      <c r="R174" s="2">
        <v>46277</v>
      </c>
      <c r="S174" s="1" t="s">
        <v>39</v>
      </c>
      <c r="U174" s="1" t="s">
        <v>40</v>
      </c>
      <c r="V174" s="1" t="s">
        <v>77</v>
      </c>
      <c r="W174" s="1" t="s">
        <v>40</v>
      </c>
      <c r="X174" s="1" t="s">
        <v>40</v>
      </c>
      <c r="Z174" s="2">
        <v>46279</v>
      </c>
      <c r="AA174" s="1" t="s">
        <v>689</v>
      </c>
      <c r="AB174" s="2">
        <v>46272</v>
      </c>
      <c r="AC174" s="2">
        <v>46271.461446759298</v>
      </c>
      <c r="AE174" s="1" t="s">
        <v>40</v>
      </c>
      <c r="AF174" s="1" t="s">
        <v>79</v>
      </c>
    </row>
    <row r="175" spans="1:32" ht="12.75" hidden="1" customHeight="1" x14ac:dyDescent="0.2">
      <c r="A175" s="1" t="s">
        <v>30</v>
      </c>
      <c r="B175" s="1" t="s">
        <v>690</v>
      </c>
      <c r="C175" s="1" t="s">
        <v>71</v>
      </c>
      <c r="D175" s="1" t="s">
        <v>323</v>
      </c>
      <c r="E175" s="1" t="s">
        <v>691</v>
      </c>
      <c r="F175" s="1" t="s">
        <v>608</v>
      </c>
      <c r="G175" s="3">
        <v>237</v>
      </c>
      <c r="H175" s="4">
        <v>4</v>
      </c>
      <c r="I175" s="5">
        <v>981.18</v>
      </c>
      <c r="J175" s="5">
        <v>0</v>
      </c>
      <c r="K175" s="1" t="s">
        <v>36</v>
      </c>
      <c r="L175" s="1" t="s">
        <v>75</v>
      </c>
      <c r="M175" s="1" t="s">
        <v>37</v>
      </c>
      <c r="N175" s="3">
        <v>237</v>
      </c>
      <c r="O175" s="6">
        <f>Table1[[#This Row],[Invoice Qty]]-Table1[[#This Row],[ExFactory Qty]]</f>
        <v>0</v>
      </c>
      <c r="P175" s="1" t="s">
        <v>692</v>
      </c>
      <c r="Q175" s="2">
        <v>46271.705405092602</v>
      </c>
      <c r="R175" s="2">
        <v>46280</v>
      </c>
      <c r="S175" s="1" t="s">
        <v>39</v>
      </c>
      <c r="U175" s="1" t="s">
        <v>40</v>
      </c>
      <c r="V175" s="1" t="s">
        <v>77</v>
      </c>
      <c r="W175" s="1" t="s">
        <v>40</v>
      </c>
      <c r="X175" s="1" t="s">
        <v>40</v>
      </c>
      <c r="Z175" s="2">
        <v>46280</v>
      </c>
      <c r="AA175" s="1" t="s">
        <v>693</v>
      </c>
      <c r="AB175" s="2">
        <v>46272</v>
      </c>
      <c r="AC175" s="2">
        <v>46271</v>
      </c>
      <c r="AE175" s="1" t="s">
        <v>40</v>
      </c>
      <c r="AF175" s="1" t="s">
        <v>326</v>
      </c>
    </row>
    <row r="176" spans="1:32" ht="12.75" hidden="1" customHeight="1" x14ac:dyDescent="0.2">
      <c r="A176" s="1" t="s">
        <v>30</v>
      </c>
      <c r="B176" s="1" t="s">
        <v>694</v>
      </c>
      <c r="C176" s="1" t="s">
        <v>71</v>
      </c>
      <c r="D176" s="1" t="s">
        <v>72</v>
      </c>
      <c r="E176" s="1" t="s">
        <v>473</v>
      </c>
      <c r="F176" s="1" t="s">
        <v>605</v>
      </c>
      <c r="G176" s="3">
        <v>359</v>
      </c>
      <c r="H176" s="4">
        <v>5</v>
      </c>
      <c r="I176" s="5">
        <v>771.85</v>
      </c>
      <c r="J176" s="5">
        <v>0</v>
      </c>
      <c r="K176" s="1" t="s">
        <v>36</v>
      </c>
      <c r="L176" s="1" t="s">
        <v>75</v>
      </c>
      <c r="M176" s="1" t="s">
        <v>37</v>
      </c>
      <c r="N176" s="3">
        <v>359</v>
      </c>
      <c r="O176" s="6">
        <f>Table1[[#This Row],[Invoice Qty]]-Table1[[#This Row],[ExFactory Qty]]</f>
        <v>0</v>
      </c>
      <c r="P176" s="1" t="s">
        <v>695</v>
      </c>
      <c r="Q176" s="2">
        <v>46271.704282407401</v>
      </c>
      <c r="R176" s="2">
        <v>46281</v>
      </c>
      <c r="S176" s="1" t="s">
        <v>39</v>
      </c>
      <c r="U176" s="1" t="s">
        <v>40</v>
      </c>
      <c r="V176" s="1" t="s">
        <v>77</v>
      </c>
      <c r="W176" s="1" t="s">
        <v>40</v>
      </c>
      <c r="X176" s="1" t="s">
        <v>40</v>
      </c>
      <c r="Z176" s="2">
        <v>46284</v>
      </c>
      <c r="AA176" s="1" t="s">
        <v>696</v>
      </c>
      <c r="AB176" s="2">
        <v>46272</v>
      </c>
      <c r="AC176" s="2">
        <v>46271</v>
      </c>
      <c r="AE176" s="1" t="s">
        <v>40</v>
      </c>
      <c r="AF176" s="1" t="s">
        <v>79</v>
      </c>
    </row>
    <row r="177" spans="1:32" ht="12.75" hidden="1" customHeight="1" x14ac:dyDescent="0.2">
      <c r="A177" s="1" t="s">
        <v>30</v>
      </c>
      <c r="B177" s="1" t="s">
        <v>697</v>
      </c>
      <c r="C177" s="1" t="s">
        <v>71</v>
      </c>
      <c r="D177" s="1" t="s">
        <v>72</v>
      </c>
      <c r="E177" s="1" t="s">
        <v>698</v>
      </c>
      <c r="F177" s="1" t="s">
        <v>615</v>
      </c>
      <c r="G177" s="3">
        <v>10</v>
      </c>
      <c r="H177" s="4">
        <v>1</v>
      </c>
      <c r="I177" s="5">
        <v>19.3</v>
      </c>
      <c r="J177" s="5">
        <v>0</v>
      </c>
      <c r="K177" s="1" t="s">
        <v>36</v>
      </c>
      <c r="L177" s="1" t="s">
        <v>75</v>
      </c>
      <c r="M177" s="1" t="s">
        <v>37</v>
      </c>
      <c r="N177" s="3">
        <v>10</v>
      </c>
      <c r="O177" s="6">
        <f>Table1[[#This Row],[Invoice Qty]]-Table1[[#This Row],[ExFactory Qty]]</f>
        <v>0</v>
      </c>
      <c r="P177" s="1" t="s">
        <v>692</v>
      </c>
      <c r="Q177" s="2">
        <v>46271.705405092602</v>
      </c>
      <c r="R177" s="2">
        <v>46280</v>
      </c>
      <c r="S177" s="1" t="s">
        <v>39</v>
      </c>
      <c r="U177" s="1" t="s">
        <v>40</v>
      </c>
      <c r="V177" s="1" t="s">
        <v>77</v>
      </c>
      <c r="W177" s="1" t="s">
        <v>40</v>
      </c>
      <c r="X177" s="1" t="s">
        <v>40</v>
      </c>
      <c r="AA177" s="1" t="s">
        <v>699</v>
      </c>
      <c r="AB177" s="2">
        <v>46272</v>
      </c>
      <c r="AC177" s="2">
        <v>46271</v>
      </c>
      <c r="AD177" s="2">
        <v>46273</v>
      </c>
      <c r="AE177" s="1" t="s">
        <v>700</v>
      </c>
      <c r="AF177" s="1" t="s">
        <v>79</v>
      </c>
    </row>
    <row r="178" spans="1:32" ht="12.75" hidden="1" customHeight="1" x14ac:dyDescent="0.2">
      <c r="A178" s="1" t="s">
        <v>30</v>
      </c>
      <c r="B178" s="1" t="s">
        <v>701</v>
      </c>
      <c r="C178" s="1" t="s">
        <v>71</v>
      </c>
      <c r="D178" s="1" t="s">
        <v>72</v>
      </c>
      <c r="E178" s="1" t="s">
        <v>702</v>
      </c>
      <c r="F178" s="1" t="s">
        <v>661</v>
      </c>
      <c r="G178" s="3">
        <v>17</v>
      </c>
      <c r="H178" s="4">
        <v>1</v>
      </c>
      <c r="I178" s="5">
        <v>47.09</v>
      </c>
      <c r="J178" s="5">
        <v>0</v>
      </c>
      <c r="K178" s="1" t="s">
        <v>36</v>
      </c>
      <c r="L178" s="1" t="s">
        <v>75</v>
      </c>
      <c r="M178" s="1" t="s">
        <v>37</v>
      </c>
      <c r="N178" s="3">
        <v>17</v>
      </c>
      <c r="O178" s="6">
        <f>Table1[[#This Row],[Invoice Qty]]-Table1[[#This Row],[ExFactory Qty]]</f>
        <v>0</v>
      </c>
      <c r="P178" s="1" t="s">
        <v>692</v>
      </c>
      <c r="Q178" s="2">
        <v>46271.705405092602</v>
      </c>
      <c r="R178" s="2">
        <v>46280</v>
      </c>
      <c r="S178" s="1" t="s">
        <v>39</v>
      </c>
      <c r="U178" s="1" t="s">
        <v>40</v>
      </c>
      <c r="V178" s="1" t="s">
        <v>77</v>
      </c>
      <c r="W178" s="1" t="s">
        <v>40</v>
      </c>
      <c r="X178" s="1" t="s">
        <v>40</v>
      </c>
      <c r="Z178" s="2">
        <v>46280</v>
      </c>
      <c r="AA178" s="1" t="s">
        <v>703</v>
      </c>
      <c r="AB178" s="2">
        <v>46272</v>
      </c>
      <c r="AC178" s="2">
        <v>46271.461516203701</v>
      </c>
      <c r="AE178" s="1" t="s">
        <v>40</v>
      </c>
      <c r="AF178" s="1" t="s">
        <v>79</v>
      </c>
    </row>
    <row r="179" spans="1:32" ht="12.75" hidden="1" customHeight="1" x14ac:dyDescent="0.2">
      <c r="A179" s="1" t="s">
        <v>30</v>
      </c>
      <c r="B179" s="1" t="s">
        <v>704</v>
      </c>
      <c r="C179" s="1" t="s">
        <v>71</v>
      </c>
      <c r="D179" s="1" t="s">
        <v>72</v>
      </c>
      <c r="E179" s="1" t="s">
        <v>705</v>
      </c>
      <c r="F179" s="1" t="s">
        <v>183</v>
      </c>
      <c r="G179" s="3">
        <v>1652</v>
      </c>
      <c r="H179" s="4">
        <v>15</v>
      </c>
      <c r="I179" s="5">
        <v>3188.36</v>
      </c>
      <c r="J179" s="5">
        <v>0</v>
      </c>
      <c r="K179" s="1" t="s">
        <v>36</v>
      </c>
      <c r="L179" s="1" t="s">
        <v>75</v>
      </c>
      <c r="M179" s="1" t="s">
        <v>37</v>
      </c>
      <c r="N179" s="3">
        <v>1652</v>
      </c>
      <c r="O179" s="6">
        <f>Table1[[#This Row],[Invoice Qty]]-Table1[[#This Row],[ExFactory Qty]]</f>
        <v>0</v>
      </c>
      <c r="P179" s="1" t="s">
        <v>695</v>
      </c>
      <c r="Q179" s="2">
        <v>46271.704282407401</v>
      </c>
      <c r="R179" s="2">
        <v>46280</v>
      </c>
      <c r="S179" s="1" t="s">
        <v>39</v>
      </c>
      <c r="U179" s="1" t="s">
        <v>40</v>
      </c>
      <c r="V179" s="1" t="s">
        <v>77</v>
      </c>
      <c r="W179" s="1" t="s">
        <v>40</v>
      </c>
      <c r="X179" s="1" t="s">
        <v>40</v>
      </c>
      <c r="Z179" s="2">
        <v>46282</v>
      </c>
      <c r="AA179" s="1" t="s">
        <v>706</v>
      </c>
      <c r="AB179" s="2">
        <v>46272</v>
      </c>
      <c r="AC179" s="2">
        <v>46271.461516203701</v>
      </c>
      <c r="AE179" s="1" t="s">
        <v>40</v>
      </c>
      <c r="AF179" s="1" t="s">
        <v>79</v>
      </c>
    </row>
    <row r="180" spans="1:32" ht="12.75" hidden="1" customHeight="1" x14ac:dyDescent="0.2">
      <c r="A180" s="1" t="s">
        <v>30</v>
      </c>
      <c r="B180" s="1" t="s">
        <v>707</v>
      </c>
      <c r="C180" s="1" t="s">
        <v>71</v>
      </c>
      <c r="D180" s="1" t="s">
        <v>72</v>
      </c>
      <c r="E180" s="1" t="s">
        <v>705</v>
      </c>
      <c r="F180" s="1" t="s">
        <v>252</v>
      </c>
      <c r="G180" s="3">
        <v>553</v>
      </c>
      <c r="H180" s="4">
        <v>7</v>
      </c>
      <c r="I180" s="5">
        <v>1067.29</v>
      </c>
      <c r="J180" s="5">
        <v>0</v>
      </c>
      <c r="K180" s="1" t="s">
        <v>36</v>
      </c>
      <c r="L180" s="1" t="s">
        <v>75</v>
      </c>
      <c r="M180" s="1" t="s">
        <v>37</v>
      </c>
      <c r="N180" s="3">
        <v>553</v>
      </c>
      <c r="O180" s="6">
        <f>Table1[[#This Row],[Invoice Qty]]-Table1[[#This Row],[ExFactory Qty]]</f>
        <v>0</v>
      </c>
      <c r="P180" s="1" t="s">
        <v>695</v>
      </c>
      <c r="Q180" s="2">
        <v>46271.704282407401</v>
      </c>
      <c r="R180" s="2">
        <v>46283</v>
      </c>
      <c r="S180" s="1" t="s">
        <v>39</v>
      </c>
      <c r="U180" s="1" t="s">
        <v>40</v>
      </c>
      <c r="V180" s="1" t="s">
        <v>77</v>
      </c>
      <c r="W180" s="1" t="s">
        <v>40</v>
      </c>
      <c r="X180" s="1" t="s">
        <v>40</v>
      </c>
      <c r="Z180" s="2">
        <v>46281</v>
      </c>
      <c r="AA180" s="1" t="s">
        <v>708</v>
      </c>
      <c r="AB180" s="2">
        <v>46272</v>
      </c>
      <c r="AC180" s="2">
        <v>46271.461516203701</v>
      </c>
      <c r="AE180" s="1" t="s">
        <v>40</v>
      </c>
      <c r="AF180" s="1" t="s">
        <v>79</v>
      </c>
    </row>
    <row r="181" spans="1:32" ht="12.75" hidden="1" customHeight="1" x14ac:dyDescent="0.2">
      <c r="A181" s="1" t="s">
        <v>30</v>
      </c>
      <c r="B181" s="1" t="s">
        <v>709</v>
      </c>
      <c r="C181" s="1" t="s">
        <v>71</v>
      </c>
      <c r="D181" s="1" t="s">
        <v>72</v>
      </c>
      <c r="E181" s="1" t="s">
        <v>710</v>
      </c>
      <c r="F181" s="1" t="s">
        <v>384</v>
      </c>
      <c r="G181" s="3">
        <v>3755</v>
      </c>
      <c r="H181" s="4">
        <v>33</v>
      </c>
      <c r="I181" s="5">
        <v>7247.15</v>
      </c>
      <c r="J181" s="5">
        <v>0</v>
      </c>
      <c r="K181" s="1" t="s">
        <v>36</v>
      </c>
      <c r="L181" s="1" t="s">
        <v>75</v>
      </c>
      <c r="M181" s="1" t="s">
        <v>37</v>
      </c>
      <c r="N181" s="3">
        <v>3755</v>
      </c>
      <c r="O181" s="6">
        <f>Table1[[#This Row],[Invoice Qty]]-Table1[[#This Row],[ExFactory Qty]]</f>
        <v>0</v>
      </c>
      <c r="P181" s="1" t="s">
        <v>692</v>
      </c>
      <c r="Q181" s="2">
        <v>46271.705405092602</v>
      </c>
      <c r="R181" s="2">
        <v>46283</v>
      </c>
      <c r="S181" s="1" t="s">
        <v>39</v>
      </c>
      <c r="U181" s="1" t="s">
        <v>40</v>
      </c>
      <c r="V181" s="1" t="s">
        <v>77</v>
      </c>
      <c r="W181" s="1" t="s">
        <v>40</v>
      </c>
      <c r="X181" s="1" t="s">
        <v>40</v>
      </c>
      <c r="Z181" s="2">
        <v>46282</v>
      </c>
      <c r="AA181" s="1" t="s">
        <v>711</v>
      </c>
      <c r="AB181" s="2">
        <v>46272</v>
      </c>
      <c r="AC181" s="2">
        <v>46271.461516203701</v>
      </c>
      <c r="AE181" s="1" t="s">
        <v>40</v>
      </c>
      <c r="AF181" s="1" t="s">
        <v>79</v>
      </c>
    </row>
    <row r="182" spans="1:32" ht="12.75" hidden="1" customHeight="1" x14ac:dyDescent="0.2">
      <c r="A182" s="1" t="s">
        <v>30</v>
      </c>
      <c r="B182" s="1" t="s">
        <v>712</v>
      </c>
      <c r="C182" s="1" t="s">
        <v>71</v>
      </c>
      <c r="D182" s="1" t="s">
        <v>323</v>
      </c>
      <c r="E182" s="1" t="s">
        <v>491</v>
      </c>
      <c r="F182" s="1" t="s">
        <v>713</v>
      </c>
      <c r="G182" s="3">
        <v>248</v>
      </c>
      <c r="H182" s="4">
        <v>3</v>
      </c>
      <c r="I182" s="5">
        <v>565.44000000000005</v>
      </c>
      <c r="J182" s="5">
        <v>0</v>
      </c>
      <c r="K182" s="1" t="s">
        <v>36</v>
      </c>
      <c r="L182" s="1" t="s">
        <v>75</v>
      </c>
      <c r="M182" s="1" t="s">
        <v>37</v>
      </c>
      <c r="N182" s="3">
        <v>248</v>
      </c>
      <c r="O182" s="6">
        <f>Table1[[#This Row],[Invoice Qty]]-Table1[[#This Row],[ExFactory Qty]]</f>
        <v>0</v>
      </c>
      <c r="P182" s="1" t="s">
        <v>692</v>
      </c>
      <c r="Q182" s="2">
        <v>46271.705405092602</v>
      </c>
      <c r="R182" s="2">
        <v>46283</v>
      </c>
      <c r="S182" s="1" t="s">
        <v>39</v>
      </c>
      <c r="U182" s="1" t="s">
        <v>40</v>
      </c>
      <c r="V182" s="1" t="s">
        <v>77</v>
      </c>
      <c r="W182" s="1" t="s">
        <v>40</v>
      </c>
      <c r="X182" s="1" t="s">
        <v>40</v>
      </c>
      <c r="Z182" s="2">
        <v>46283</v>
      </c>
      <c r="AA182" s="1" t="s">
        <v>714</v>
      </c>
      <c r="AB182" s="2">
        <v>46272</v>
      </c>
      <c r="AC182" s="2">
        <v>46271</v>
      </c>
      <c r="AD182" s="2">
        <v>46273</v>
      </c>
      <c r="AE182" s="1" t="s">
        <v>715</v>
      </c>
      <c r="AF182" s="1" t="s">
        <v>326</v>
      </c>
    </row>
    <row r="183" spans="1:32" ht="12.75" hidden="1" customHeight="1" x14ac:dyDescent="0.2">
      <c r="A183" s="1" t="s">
        <v>30</v>
      </c>
      <c r="B183" s="1" t="s">
        <v>716</v>
      </c>
      <c r="C183" s="1" t="s">
        <v>71</v>
      </c>
      <c r="D183" s="1" t="s">
        <v>323</v>
      </c>
      <c r="E183" s="1" t="s">
        <v>491</v>
      </c>
      <c r="F183" s="1" t="s">
        <v>134</v>
      </c>
      <c r="G183" s="3">
        <v>326</v>
      </c>
      <c r="H183" s="4">
        <v>5</v>
      </c>
      <c r="I183" s="5">
        <v>743.28</v>
      </c>
      <c r="J183" s="5">
        <v>0</v>
      </c>
      <c r="K183" s="1" t="s">
        <v>36</v>
      </c>
      <c r="L183" s="1" t="s">
        <v>75</v>
      </c>
      <c r="M183" s="1" t="s">
        <v>37</v>
      </c>
      <c r="N183" s="3">
        <v>326</v>
      </c>
      <c r="O183" s="6">
        <f>Table1[[#This Row],[Invoice Qty]]-Table1[[#This Row],[ExFactory Qty]]</f>
        <v>0</v>
      </c>
      <c r="P183" s="1" t="s">
        <v>717</v>
      </c>
      <c r="Q183" s="2">
        <v>46271.704814814802</v>
      </c>
      <c r="R183" s="2">
        <v>46280</v>
      </c>
      <c r="S183" s="1" t="s">
        <v>39</v>
      </c>
      <c r="U183" s="1" t="s">
        <v>40</v>
      </c>
      <c r="V183" s="1" t="s">
        <v>77</v>
      </c>
      <c r="W183" s="1" t="s">
        <v>40</v>
      </c>
      <c r="X183" s="1" t="s">
        <v>40</v>
      </c>
      <c r="Z183" s="2">
        <v>46280</v>
      </c>
      <c r="AA183" s="1" t="s">
        <v>718</v>
      </c>
      <c r="AB183" s="2">
        <v>46272</v>
      </c>
      <c r="AC183" s="2">
        <v>46271.461516203701</v>
      </c>
      <c r="AE183" s="1" t="s">
        <v>40</v>
      </c>
      <c r="AF183" s="1" t="s">
        <v>326</v>
      </c>
    </row>
    <row r="184" spans="1:32" ht="12.75" hidden="1" customHeight="1" x14ac:dyDescent="0.2">
      <c r="A184" s="1" t="s">
        <v>30</v>
      </c>
      <c r="B184" s="1" t="s">
        <v>719</v>
      </c>
      <c r="C184" s="1" t="s">
        <v>71</v>
      </c>
      <c r="D184" s="1" t="s">
        <v>323</v>
      </c>
      <c r="E184" s="1" t="s">
        <v>501</v>
      </c>
      <c r="F184" s="1" t="s">
        <v>615</v>
      </c>
      <c r="G184" s="3">
        <v>908</v>
      </c>
      <c r="H184" s="4">
        <v>11</v>
      </c>
      <c r="I184" s="5">
        <v>3786.36</v>
      </c>
      <c r="J184" s="5">
        <v>0</v>
      </c>
      <c r="K184" s="1" t="s">
        <v>36</v>
      </c>
      <c r="L184" s="1" t="s">
        <v>75</v>
      </c>
      <c r="M184" s="1" t="s">
        <v>37</v>
      </c>
      <c r="N184" s="3">
        <v>908</v>
      </c>
      <c r="O184" s="6">
        <f>Table1[[#This Row],[Invoice Qty]]-Table1[[#This Row],[ExFactory Qty]]</f>
        <v>0</v>
      </c>
      <c r="P184" s="1" t="s">
        <v>692</v>
      </c>
      <c r="Q184" s="2">
        <v>46271.705405092602</v>
      </c>
      <c r="R184" s="2">
        <v>46280</v>
      </c>
      <c r="S184" s="1" t="s">
        <v>39</v>
      </c>
      <c r="U184" s="1" t="s">
        <v>40</v>
      </c>
      <c r="V184" s="1" t="s">
        <v>77</v>
      </c>
      <c r="W184" s="1" t="s">
        <v>40</v>
      </c>
      <c r="X184" s="1" t="s">
        <v>40</v>
      </c>
      <c r="AA184" s="1" t="s">
        <v>720</v>
      </c>
      <c r="AB184" s="2">
        <v>46272</v>
      </c>
      <c r="AC184" s="2">
        <v>46271</v>
      </c>
      <c r="AD184" s="2">
        <v>46273</v>
      </c>
      <c r="AE184" s="1" t="s">
        <v>721</v>
      </c>
      <c r="AF184" s="1" t="s">
        <v>326</v>
      </c>
    </row>
    <row r="185" spans="1:32" ht="12.75" hidden="1" customHeight="1" x14ac:dyDescent="0.2">
      <c r="A185" s="1" t="s">
        <v>30</v>
      </c>
      <c r="B185" s="1" t="s">
        <v>722</v>
      </c>
      <c r="C185" s="1" t="s">
        <v>71</v>
      </c>
      <c r="D185" s="1" t="s">
        <v>72</v>
      </c>
      <c r="E185" s="1" t="s">
        <v>685</v>
      </c>
      <c r="F185" s="1" t="s">
        <v>658</v>
      </c>
      <c r="G185" s="3">
        <v>525</v>
      </c>
      <c r="H185" s="4">
        <v>7</v>
      </c>
      <c r="I185" s="5">
        <v>1386</v>
      </c>
      <c r="J185" s="5">
        <v>0</v>
      </c>
      <c r="K185" s="1" t="s">
        <v>36</v>
      </c>
      <c r="L185" s="1" t="s">
        <v>75</v>
      </c>
      <c r="M185" s="1" t="s">
        <v>37</v>
      </c>
      <c r="N185" s="3">
        <v>525</v>
      </c>
      <c r="O185" s="6">
        <f>Table1[[#This Row],[Invoice Qty]]-Table1[[#This Row],[ExFactory Qty]]</f>
        <v>0</v>
      </c>
      <c r="P185" s="1" t="s">
        <v>692</v>
      </c>
      <c r="Q185" s="2">
        <v>46271.705405092602</v>
      </c>
      <c r="R185" s="2">
        <v>46280</v>
      </c>
      <c r="S185" s="1" t="s">
        <v>39</v>
      </c>
      <c r="U185" s="1" t="s">
        <v>40</v>
      </c>
      <c r="V185" s="1" t="s">
        <v>77</v>
      </c>
      <c r="W185" s="1" t="s">
        <v>40</v>
      </c>
      <c r="X185" s="1" t="s">
        <v>40</v>
      </c>
      <c r="Z185" s="2">
        <v>46280</v>
      </c>
      <c r="AA185" s="1" t="s">
        <v>723</v>
      </c>
      <c r="AB185" s="2">
        <v>46272</v>
      </c>
      <c r="AC185" s="2">
        <v>46271.461516203701</v>
      </c>
      <c r="AE185" s="1" t="s">
        <v>40</v>
      </c>
      <c r="AF185" s="1" t="s">
        <v>79</v>
      </c>
    </row>
    <row r="186" spans="1:32" ht="12.75" hidden="1" customHeight="1" x14ac:dyDescent="0.2">
      <c r="A186" s="1" t="s">
        <v>30</v>
      </c>
      <c r="B186" s="1" t="s">
        <v>724</v>
      </c>
      <c r="C186" s="1" t="s">
        <v>71</v>
      </c>
      <c r="D186" s="1" t="s">
        <v>72</v>
      </c>
      <c r="E186" s="1" t="s">
        <v>685</v>
      </c>
      <c r="F186" s="1" t="s">
        <v>654</v>
      </c>
      <c r="G186" s="3">
        <v>4022</v>
      </c>
      <c r="H186" s="4">
        <v>39</v>
      </c>
      <c r="I186" s="5">
        <v>10618.08</v>
      </c>
      <c r="J186" s="5">
        <v>0</v>
      </c>
      <c r="K186" s="1" t="s">
        <v>36</v>
      </c>
      <c r="L186" s="1" t="s">
        <v>75</v>
      </c>
      <c r="M186" s="1" t="s">
        <v>37</v>
      </c>
      <c r="N186" s="3">
        <v>4022</v>
      </c>
      <c r="O186" s="6">
        <f>Table1[[#This Row],[Invoice Qty]]-Table1[[#This Row],[ExFactory Qty]]</f>
        <v>0</v>
      </c>
      <c r="P186" s="1" t="s">
        <v>717</v>
      </c>
      <c r="Q186" s="2">
        <v>46271.704814814802</v>
      </c>
      <c r="R186" s="2">
        <v>46283</v>
      </c>
      <c r="S186" s="1" t="s">
        <v>39</v>
      </c>
      <c r="U186" s="1" t="s">
        <v>40</v>
      </c>
      <c r="V186" s="1" t="s">
        <v>77</v>
      </c>
      <c r="W186" s="1" t="s">
        <v>40</v>
      </c>
      <c r="X186" s="1" t="s">
        <v>40</v>
      </c>
      <c r="Z186" s="2">
        <v>46284</v>
      </c>
      <c r="AA186" s="1" t="s">
        <v>725</v>
      </c>
      <c r="AB186" s="2">
        <v>46272</v>
      </c>
      <c r="AC186" s="2">
        <v>46271.461516203701</v>
      </c>
      <c r="AE186" s="1" t="s">
        <v>40</v>
      </c>
      <c r="AF186" s="1" t="s">
        <v>79</v>
      </c>
    </row>
    <row r="187" spans="1:32" ht="12.75" hidden="1" customHeight="1" x14ac:dyDescent="0.2">
      <c r="A187" s="1" t="s">
        <v>30</v>
      </c>
      <c r="B187" s="1" t="s">
        <v>726</v>
      </c>
      <c r="C187" s="1" t="s">
        <v>71</v>
      </c>
      <c r="D187" s="1" t="s">
        <v>72</v>
      </c>
      <c r="E187" s="1" t="s">
        <v>685</v>
      </c>
      <c r="F187" s="1" t="s">
        <v>727</v>
      </c>
      <c r="G187" s="3">
        <v>2026</v>
      </c>
      <c r="H187" s="4">
        <v>20</v>
      </c>
      <c r="I187" s="5">
        <v>5348.64</v>
      </c>
      <c r="J187" s="5">
        <v>0</v>
      </c>
      <c r="K187" s="1" t="s">
        <v>36</v>
      </c>
      <c r="L187" s="1" t="s">
        <v>75</v>
      </c>
      <c r="M187" s="1" t="s">
        <v>37</v>
      </c>
      <c r="N187" s="3">
        <v>2026</v>
      </c>
      <c r="O187" s="6">
        <f>Table1[[#This Row],[Invoice Qty]]-Table1[[#This Row],[ExFactory Qty]]</f>
        <v>0</v>
      </c>
      <c r="P187" s="1" t="s">
        <v>692</v>
      </c>
      <c r="Q187" s="2">
        <v>46271.705405092602</v>
      </c>
      <c r="R187" s="2">
        <v>46280</v>
      </c>
      <c r="S187" s="1" t="s">
        <v>39</v>
      </c>
      <c r="U187" s="1" t="s">
        <v>40</v>
      </c>
      <c r="V187" s="1" t="s">
        <v>77</v>
      </c>
      <c r="W187" s="1" t="s">
        <v>40</v>
      </c>
      <c r="X187" s="1" t="s">
        <v>40</v>
      </c>
      <c r="Z187" s="2">
        <v>46280</v>
      </c>
      <c r="AA187" s="1" t="s">
        <v>728</v>
      </c>
      <c r="AB187" s="2">
        <v>46272</v>
      </c>
      <c r="AC187" s="2">
        <v>46271.461516203701</v>
      </c>
      <c r="AE187" s="1" t="s">
        <v>40</v>
      </c>
      <c r="AF187" s="1" t="s">
        <v>79</v>
      </c>
    </row>
    <row r="188" spans="1:32" ht="12.75" hidden="1" customHeight="1" x14ac:dyDescent="0.2">
      <c r="A188" s="1" t="s">
        <v>30</v>
      </c>
      <c r="B188" s="1" t="s">
        <v>729</v>
      </c>
      <c r="C188" s="1" t="s">
        <v>71</v>
      </c>
      <c r="D188" s="1" t="s">
        <v>72</v>
      </c>
      <c r="E188" s="1" t="s">
        <v>685</v>
      </c>
      <c r="F188" s="1" t="s">
        <v>730</v>
      </c>
      <c r="G188" s="3">
        <v>3776</v>
      </c>
      <c r="H188" s="4">
        <v>37</v>
      </c>
      <c r="I188" s="5">
        <v>9968.64</v>
      </c>
      <c r="J188" s="5">
        <v>0</v>
      </c>
      <c r="K188" s="1" t="s">
        <v>36</v>
      </c>
      <c r="L188" s="1" t="s">
        <v>75</v>
      </c>
      <c r="M188" s="1" t="s">
        <v>37</v>
      </c>
      <c r="N188" s="3">
        <v>3776</v>
      </c>
      <c r="O188" s="6">
        <f>Table1[[#This Row],[Invoice Qty]]-Table1[[#This Row],[ExFactory Qty]]</f>
        <v>0</v>
      </c>
      <c r="P188" s="1" t="s">
        <v>695</v>
      </c>
      <c r="Q188" s="2">
        <v>46271.704282407401</v>
      </c>
      <c r="R188" s="2">
        <v>46279</v>
      </c>
      <c r="S188" s="1" t="s">
        <v>39</v>
      </c>
      <c r="U188" s="1" t="s">
        <v>40</v>
      </c>
      <c r="V188" s="1" t="s">
        <v>77</v>
      </c>
      <c r="W188" s="1" t="s">
        <v>40</v>
      </c>
      <c r="X188" s="1" t="s">
        <v>40</v>
      </c>
      <c r="Z188" s="2">
        <v>46278</v>
      </c>
      <c r="AA188" s="1" t="s">
        <v>731</v>
      </c>
      <c r="AB188" s="2">
        <v>46272</v>
      </c>
      <c r="AC188" s="2">
        <v>46271.461516203701</v>
      </c>
      <c r="AE188" s="1" t="s">
        <v>40</v>
      </c>
      <c r="AF188" s="1" t="s">
        <v>79</v>
      </c>
    </row>
    <row r="189" spans="1:32" ht="12.75" hidden="1" customHeight="1" x14ac:dyDescent="0.2">
      <c r="A189" s="1" t="s">
        <v>30</v>
      </c>
      <c r="B189" s="1" t="s">
        <v>732</v>
      </c>
      <c r="C189" s="1" t="s">
        <v>71</v>
      </c>
      <c r="D189" s="1" t="s">
        <v>72</v>
      </c>
      <c r="E189" s="1" t="s">
        <v>685</v>
      </c>
      <c r="F189" s="1" t="s">
        <v>730</v>
      </c>
      <c r="G189" s="3">
        <v>6378</v>
      </c>
      <c r="H189" s="4">
        <v>62</v>
      </c>
      <c r="I189" s="5">
        <v>16837.919999999998</v>
      </c>
      <c r="J189" s="5">
        <v>0</v>
      </c>
      <c r="K189" s="1" t="s">
        <v>36</v>
      </c>
      <c r="L189" s="1" t="s">
        <v>75</v>
      </c>
      <c r="M189" s="1" t="s">
        <v>37</v>
      </c>
      <c r="N189" s="3">
        <v>6378</v>
      </c>
      <c r="O189" s="6">
        <f>Table1[[#This Row],[Invoice Qty]]-Table1[[#This Row],[ExFactory Qty]]</f>
        <v>0</v>
      </c>
      <c r="P189" s="1" t="s">
        <v>695</v>
      </c>
      <c r="Q189" s="2">
        <v>46271.704282407401</v>
      </c>
      <c r="R189" s="2">
        <v>46279</v>
      </c>
      <c r="S189" s="1" t="s">
        <v>39</v>
      </c>
      <c r="U189" s="1" t="s">
        <v>40</v>
      </c>
      <c r="V189" s="1" t="s">
        <v>77</v>
      </c>
      <c r="W189" s="1" t="s">
        <v>40</v>
      </c>
      <c r="X189" s="1" t="s">
        <v>40</v>
      </c>
      <c r="Z189" s="2">
        <v>46279</v>
      </c>
      <c r="AA189" s="1" t="s">
        <v>733</v>
      </c>
      <c r="AB189" s="2">
        <v>46272</v>
      </c>
      <c r="AC189" s="2">
        <v>46271.461516203701</v>
      </c>
      <c r="AE189" s="1" t="s">
        <v>40</v>
      </c>
      <c r="AF189" s="1" t="s">
        <v>79</v>
      </c>
    </row>
    <row r="190" spans="1:32" ht="12.75" hidden="1" customHeight="1" x14ac:dyDescent="0.2">
      <c r="A190" s="1" t="s">
        <v>30</v>
      </c>
      <c r="B190" s="1" t="s">
        <v>734</v>
      </c>
      <c r="C190" s="1" t="s">
        <v>71</v>
      </c>
      <c r="D190" s="1" t="s">
        <v>72</v>
      </c>
      <c r="E190" s="1" t="s">
        <v>685</v>
      </c>
      <c r="F190" s="1" t="s">
        <v>735</v>
      </c>
      <c r="G190" s="3">
        <v>369</v>
      </c>
      <c r="H190" s="4">
        <v>6</v>
      </c>
      <c r="I190" s="5">
        <v>974.16</v>
      </c>
      <c r="J190" s="5">
        <v>0</v>
      </c>
      <c r="K190" s="1" t="s">
        <v>36</v>
      </c>
      <c r="L190" s="1" t="s">
        <v>75</v>
      </c>
      <c r="M190" s="1" t="s">
        <v>37</v>
      </c>
      <c r="N190" s="3">
        <v>369</v>
      </c>
      <c r="O190" s="6">
        <f>Table1[[#This Row],[Invoice Qty]]-Table1[[#This Row],[ExFactory Qty]]</f>
        <v>0</v>
      </c>
      <c r="P190" s="1" t="s">
        <v>717</v>
      </c>
      <c r="Q190" s="2">
        <v>46271.704814814802</v>
      </c>
      <c r="R190" s="2">
        <v>46280</v>
      </c>
      <c r="S190" s="1" t="s">
        <v>39</v>
      </c>
      <c r="U190" s="1" t="s">
        <v>40</v>
      </c>
      <c r="V190" s="1" t="s">
        <v>77</v>
      </c>
      <c r="W190" s="1" t="s">
        <v>40</v>
      </c>
      <c r="X190" s="1" t="s">
        <v>40</v>
      </c>
      <c r="Z190" s="2">
        <v>46280</v>
      </c>
      <c r="AA190" s="1" t="s">
        <v>736</v>
      </c>
      <c r="AB190" s="2">
        <v>46272</v>
      </c>
      <c r="AC190" s="2">
        <v>46271.461516203701</v>
      </c>
      <c r="AE190" s="1" t="s">
        <v>40</v>
      </c>
      <c r="AF190" s="1" t="s">
        <v>79</v>
      </c>
    </row>
    <row r="191" spans="1:32" ht="12.75" hidden="1" customHeight="1" x14ac:dyDescent="0.2">
      <c r="A191" s="1" t="s">
        <v>30</v>
      </c>
      <c r="B191" s="1" t="s">
        <v>737</v>
      </c>
      <c r="C191" s="1" t="s">
        <v>71</v>
      </c>
      <c r="D191" s="1" t="s">
        <v>72</v>
      </c>
      <c r="E191" s="1" t="s">
        <v>738</v>
      </c>
      <c r="F191" s="1" t="s">
        <v>727</v>
      </c>
      <c r="G191" s="3">
        <v>270</v>
      </c>
      <c r="H191" s="4">
        <v>3</v>
      </c>
      <c r="I191" s="5">
        <v>521.1</v>
      </c>
      <c r="J191" s="5">
        <v>0</v>
      </c>
      <c r="K191" s="1" t="s">
        <v>36</v>
      </c>
      <c r="L191" s="1" t="s">
        <v>75</v>
      </c>
      <c r="M191" s="1" t="s">
        <v>37</v>
      </c>
      <c r="N191" s="3">
        <v>270</v>
      </c>
      <c r="O191" s="6">
        <f>Table1[[#This Row],[Invoice Qty]]-Table1[[#This Row],[ExFactory Qty]]</f>
        <v>0</v>
      </c>
      <c r="P191" s="1" t="s">
        <v>692</v>
      </c>
      <c r="Q191" s="2">
        <v>46271.705405092602</v>
      </c>
      <c r="R191" s="2">
        <v>46280</v>
      </c>
      <c r="S191" s="1" t="s">
        <v>39</v>
      </c>
      <c r="U191" s="1" t="s">
        <v>40</v>
      </c>
      <c r="V191" s="1" t="s">
        <v>77</v>
      </c>
      <c r="W191" s="1" t="s">
        <v>40</v>
      </c>
      <c r="X191" s="1" t="s">
        <v>40</v>
      </c>
      <c r="Z191" s="2">
        <v>46280</v>
      </c>
      <c r="AA191" s="1" t="s">
        <v>739</v>
      </c>
      <c r="AB191" s="2">
        <v>46272</v>
      </c>
      <c r="AC191" s="2">
        <v>46271.461516203701</v>
      </c>
      <c r="AE191" s="1" t="s">
        <v>40</v>
      </c>
      <c r="AF191" s="1" t="s">
        <v>79</v>
      </c>
    </row>
    <row r="192" spans="1:32" ht="12.75" hidden="1" customHeight="1" x14ac:dyDescent="0.2">
      <c r="A192" s="1" t="s">
        <v>30</v>
      </c>
      <c r="B192" s="1" t="s">
        <v>740</v>
      </c>
      <c r="C192" s="1" t="s">
        <v>71</v>
      </c>
      <c r="D192" s="1" t="s">
        <v>323</v>
      </c>
      <c r="E192" s="1" t="s">
        <v>741</v>
      </c>
      <c r="F192" s="1" t="s">
        <v>615</v>
      </c>
      <c r="G192" s="3">
        <v>371</v>
      </c>
      <c r="H192" s="4">
        <v>5</v>
      </c>
      <c r="I192" s="5">
        <v>1094.45</v>
      </c>
      <c r="J192" s="5">
        <v>0</v>
      </c>
      <c r="K192" s="1" t="s">
        <v>36</v>
      </c>
      <c r="L192" s="1" t="s">
        <v>75</v>
      </c>
      <c r="M192" s="1" t="s">
        <v>51</v>
      </c>
      <c r="N192" s="3">
        <v>371</v>
      </c>
      <c r="O192" s="6">
        <f>Table1[[#This Row],[Invoice Qty]]-Table1[[#This Row],[ExFactory Qty]]</f>
        <v>0</v>
      </c>
      <c r="P192" s="1" t="s">
        <v>742</v>
      </c>
      <c r="Q192" s="2">
        <v>46271.450347222199</v>
      </c>
      <c r="R192" s="2">
        <v>46280</v>
      </c>
      <c r="S192" s="1" t="s">
        <v>39</v>
      </c>
      <c r="U192" s="1" t="s">
        <v>40</v>
      </c>
      <c r="V192" s="1" t="s">
        <v>77</v>
      </c>
      <c r="W192" s="1" t="s">
        <v>40</v>
      </c>
      <c r="X192" s="1" t="s">
        <v>40</v>
      </c>
      <c r="AA192" s="1" t="s">
        <v>743</v>
      </c>
      <c r="AB192" s="2">
        <v>46272</v>
      </c>
      <c r="AC192" s="2">
        <v>46271</v>
      </c>
      <c r="AD192" s="2">
        <v>46273</v>
      </c>
      <c r="AE192" s="1" t="s">
        <v>744</v>
      </c>
      <c r="AF192" s="1" t="s">
        <v>326</v>
      </c>
    </row>
    <row r="193" spans="1:32" ht="12.75" hidden="1" customHeight="1" x14ac:dyDescent="0.2">
      <c r="A193" s="1" t="s">
        <v>30</v>
      </c>
      <c r="B193" s="1" t="s">
        <v>745</v>
      </c>
      <c r="C193" s="1" t="s">
        <v>71</v>
      </c>
      <c r="D193" s="1" t="s">
        <v>323</v>
      </c>
      <c r="E193" s="1" t="s">
        <v>334</v>
      </c>
      <c r="F193" s="1" t="s">
        <v>615</v>
      </c>
      <c r="G193" s="3">
        <v>2071</v>
      </c>
      <c r="H193" s="4">
        <v>25</v>
      </c>
      <c r="I193" s="5">
        <v>6088.74</v>
      </c>
      <c r="J193" s="5">
        <v>0</v>
      </c>
      <c r="K193" s="1" t="s">
        <v>36</v>
      </c>
      <c r="L193" s="1" t="s">
        <v>75</v>
      </c>
      <c r="M193" s="1" t="s">
        <v>51</v>
      </c>
      <c r="N193" s="3">
        <v>2071</v>
      </c>
      <c r="O193" s="6">
        <f>Table1[[#This Row],[Invoice Qty]]-Table1[[#This Row],[ExFactory Qty]]</f>
        <v>0</v>
      </c>
      <c r="P193" s="1" t="s">
        <v>742</v>
      </c>
      <c r="Q193" s="2">
        <v>46271.450347222199</v>
      </c>
      <c r="R193" s="2">
        <v>46280</v>
      </c>
      <c r="S193" s="1" t="s">
        <v>39</v>
      </c>
      <c r="U193" s="1" t="s">
        <v>40</v>
      </c>
      <c r="V193" s="1" t="s">
        <v>77</v>
      </c>
      <c r="W193" s="1" t="s">
        <v>40</v>
      </c>
      <c r="X193" s="1" t="s">
        <v>40</v>
      </c>
      <c r="AA193" s="1" t="s">
        <v>746</v>
      </c>
      <c r="AB193" s="2">
        <v>46272</v>
      </c>
      <c r="AC193" s="2">
        <v>46271</v>
      </c>
      <c r="AD193" s="2">
        <v>46273</v>
      </c>
      <c r="AE193" s="1" t="s">
        <v>747</v>
      </c>
      <c r="AF193" s="1" t="s">
        <v>326</v>
      </c>
    </row>
    <row r="194" spans="1:32" ht="12.75" hidden="1" customHeight="1" x14ac:dyDescent="0.2">
      <c r="A194" s="1" t="s">
        <v>30</v>
      </c>
      <c r="B194" s="1" t="s">
        <v>748</v>
      </c>
      <c r="C194" s="1" t="s">
        <v>71</v>
      </c>
      <c r="D194" s="1" t="s">
        <v>323</v>
      </c>
      <c r="E194" s="1" t="s">
        <v>749</v>
      </c>
      <c r="F194" s="1" t="s">
        <v>269</v>
      </c>
      <c r="G194" s="3">
        <v>462</v>
      </c>
      <c r="H194" s="4">
        <v>10</v>
      </c>
      <c r="I194" s="5">
        <v>1362.9</v>
      </c>
      <c r="J194" s="5">
        <v>0</v>
      </c>
      <c r="K194" s="1" t="s">
        <v>36</v>
      </c>
      <c r="L194" s="1" t="s">
        <v>75</v>
      </c>
      <c r="M194" s="1" t="s">
        <v>51</v>
      </c>
      <c r="N194" s="3">
        <v>462</v>
      </c>
      <c r="O194" s="6">
        <f>Table1[[#This Row],[Invoice Qty]]-Table1[[#This Row],[ExFactory Qty]]</f>
        <v>0</v>
      </c>
      <c r="P194" s="1" t="s">
        <v>750</v>
      </c>
      <c r="Q194" s="2">
        <v>46271.616608796299</v>
      </c>
      <c r="R194" s="2">
        <v>46280</v>
      </c>
      <c r="S194" s="1" t="s">
        <v>39</v>
      </c>
      <c r="U194" s="1" t="s">
        <v>40</v>
      </c>
      <c r="V194" s="1" t="s">
        <v>77</v>
      </c>
      <c r="W194" s="1" t="s">
        <v>40</v>
      </c>
      <c r="X194" s="1" t="s">
        <v>40</v>
      </c>
      <c r="Z194" s="2">
        <v>46285</v>
      </c>
      <c r="AA194" s="1" t="s">
        <v>751</v>
      </c>
      <c r="AB194" s="2">
        <v>46272</v>
      </c>
      <c r="AC194" s="2">
        <v>46271.461585648103</v>
      </c>
      <c r="AE194" s="1" t="s">
        <v>40</v>
      </c>
      <c r="AF194" s="1" t="s">
        <v>326</v>
      </c>
    </row>
    <row r="195" spans="1:32" ht="12.75" hidden="1" customHeight="1" x14ac:dyDescent="0.2">
      <c r="A195" s="1" t="s">
        <v>30</v>
      </c>
      <c r="B195" s="1" t="s">
        <v>752</v>
      </c>
      <c r="C195" s="1" t="s">
        <v>71</v>
      </c>
      <c r="D195" s="1" t="s">
        <v>323</v>
      </c>
      <c r="E195" s="1" t="s">
        <v>749</v>
      </c>
      <c r="F195" s="1" t="s">
        <v>651</v>
      </c>
      <c r="G195" s="3">
        <v>566</v>
      </c>
      <c r="H195" s="4">
        <v>10</v>
      </c>
      <c r="I195" s="5">
        <v>1669.7</v>
      </c>
      <c r="J195" s="5">
        <v>0</v>
      </c>
      <c r="K195" s="1" t="s">
        <v>36</v>
      </c>
      <c r="L195" s="1" t="s">
        <v>75</v>
      </c>
      <c r="M195" s="1" t="s">
        <v>51</v>
      </c>
      <c r="N195" s="3">
        <v>566</v>
      </c>
      <c r="O195" s="6">
        <f>Table1[[#This Row],[Invoice Qty]]-Table1[[#This Row],[ExFactory Qty]]</f>
        <v>0</v>
      </c>
      <c r="P195" s="1" t="s">
        <v>750</v>
      </c>
      <c r="Q195" s="2">
        <v>46271.616608796299</v>
      </c>
      <c r="R195" s="2">
        <v>46280</v>
      </c>
      <c r="S195" s="1" t="s">
        <v>39</v>
      </c>
      <c r="U195" s="1" t="s">
        <v>40</v>
      </c>
      <c r="V195" s="1" t="s">
        <v>77</v>
      </c>
      <c r="W195" s="1" t="s">
        <v>40</v>
      </c>
      <c r="X195" s="1" t="s">
        <v>40</v>
      </c>
      <c r="Z195" s="2">
        <v>46285</v>
      </c>
      <c r="AA195" s="1" t="s">
        <v>753</v>
      </c>
      <c r="AB195" s="2">
        <v>46272</v>
      </c>
      <c r="AC195" s="2">
        <v>46271.461585648103</v>
      </c>
      <c r="AE195" s="1" t="s">
        <v>40</v>
      </c>
      <c r="AF195" s="1" t="s">
        <v>326</v>
      </c>
    </row>
    <row r="196" spans="1:32" ht="12.75" hidden="1" customHeight="1" x14ac:dyDescent="0.2">
      <c r="A196" s="1" t="s">
        <v>30</v>
      </c>
      <c r="B196" s="1" t="s">
        <v>754</v>
      </c>
      <c r="C196" s="1" t="s">
        <v>71</v>
      </c>
      <c r="D196" s="1" t="s">
        <v>323</v>
      </c>
      <c r="E196" s="1" t="s">
        <v>755</v>
      </c>
      <c r="F196" s="1" t="s">
        <v>730</v>
      </c>
      <c r="G196" s="3">
        <v>273</v>
      </c>
      <c r="H196" s="4">
        <v>5</v>
      </c>
      <c r="I196" s="5">
        <v>805.35</v>
      </c>
      <c r="J196" s="5">
        <v>0</v>
      </c>
      <c r="K196" s="1" t="s">
        <v>36</v>
      </c>
      <c r="L196" s="1" t="s">
        <v>75</v>
      </c>
      <c r="M196" s="1" t="s">
        <v>51</v>
      </c>
      <c r="N196" s="3">
        <v>273</v>
      </c>
      <c r="O196" s="6">
        <f>Table1[[#This Row],[Invoice Qty]]-Table1[[#This Row],[ExFactory Qty]]</f>
        <v>0</v>
      </c>
      <c r="P196" s="1" t="s">
        <v>756</v>
      </c>
      <c r="Q196" s="2">
        <v>46271.459421296298</v>
      </c>
      <c r="R196" s="2">
        <v>46279</v>
      </c>
      <c r="S196" s="1" t="s">
        <v>39</v>
      </c>
      <c r="U196" s="1" t="s">
        <v>40</v>
      </c>
      <c r="V196" s="1" t="s">
        <v>77</v>
      </c>
      <c r="W196" s="1" t="s">
        <v>40</v>
      </c>
      <c r="X196" s="1" t="s">
        <v>40</v>
      </c>
      <c r="Z196" s="2">
        <v>46278</v>
      </c>
      <c r="AA196" s="1" t="s">
        <v>757</v>
      </c>
      <c r="AB196" s="2">
        <v>46272</v>
      </c>
      <c r="AC196" s="2">
        <v>46271.461585648103</v>
      </c>
      <c r="AE196" s="1" t="s">
        <v>40</v>
      </c>
      <c r="AF196" s="1" t="s">
        <v>326</v>
      </c>
    </row>
    <row r="197" spans="1:32" ht="12.75" hidden="1" customHeight="1" x14ac:dyDescent="0.2">
      <c r="A197" s="1" t="s">
        <v>30</v>
      </c>
      <c r="B197" s="1" t="s">
        <v>758</v>
      </c>
      <c r="C197" s="1" t="s">
        <v>71</v>
      </c>
      <c r="D197" s="1" t="s">
        <v>72</v>
      </c>
      <c r="E197" s="1" t="s">
        <v>685</v>
      </c>
      <c r="F197" s="1" t="s">
        <v>759</v>
      </c>
      <c r="G197" s="3">
        <v>3767</v>
      </c>
      <c r="H197" s="4">
        <v>36</v>
      </c>
      <c r="I197" s="5">
        <v>9944.8799999999992</v>
      </c>
      <c r="J197" s="5">
        <v>0</v>
      </c>
      <c r="K197" s="1" t="s">
        <v>36</v>
      </c>
      <c r="L197" s="1" t="s">
        <v>75</v>
      </c>
      <c r="M197" s="1" t="s">
        <v>75</v>
      </c>
      <c r="N197" s="3">
        <v>3767</v>
      </c>
      <c r="O197" s="6">
        <f>Table1[[#This Row],[Invoice Qty]]-Table1[[#This Row],[ExFactory Qty]]</f>
        <v>0</v>
      </c>
      <c r="P197" s="1" t="s">
        <v>636</v>
      </c>
      <c r="Q197" s="2">
        <v>46271.706226851798</v>
      </c>
      <c r="R197" s="2">
        <v>46280</v>
      </c>
      <c r="S197" s="1" t="s">
        <v>39</v>
      </c>
      <c r="U197" s="1" t="s">
        <v>40</v>
      </c>
      <c r="V197" s="1" t="s">
        <v>77</v>
      </c>
      <c r="W197" s="1" t="s">
        <v>40</v>
      </c>
      <c r="X197" s="1" t="s">
        <v>40</v>
      </c>
      <c r="AA197" s="1" t="s">
        <v>760</v>
      </c>
      <c r="AB197" s="2">
        <v>46272</v>
      </c>
      <c r="AC197" s="2">
        <v>46271</v>
      </c>
      <c r="AE197" s="1" t="s">
        <v>40</v>
      </c>
      <c r="AF197" s="1" t="s">
        <v>79</v>
      </c>
    </row>
    <row r="198" spans="1:32" ht="12.75" hidden="1" customHeight="1" x14ac:dyDescent="0.2">
      <c r="A198" s="1" t="s">
        <v>30</v>
      </c>
      <c r="B198" s="1" t="s">
        <v>761</v>
      </c>
      <c r="C198" s="1" t="s">
        <v>212</v>
      </c>
      <c r="D198" s="1" t="s">
        <v>213</v>
      </c>
      <c r="E198" s="1" t="s">
        <v>762</v>
      </c>
      <c r="F198" s="1" t="s">
        <v>124</v>
      </c>
      <c r="G198" s="3">
        <v>1004</v>
      </c>
      <c r="H198" s="4">
        <v>1004</v>
      </c>
      <c r="I198" s="5">
        <v>12901.4</v>
      </c>
      <c r="J198" s="5">
        <v>0</v>
      </c>
      <c r="K198" s="1" t="s">
        <v>36</v>
      </c>
      <c r="L198" s="1" t="s">
        <v>37</v>
      </c>
      <c r="M198" s="1" t="s">
        <v>37</v>
      </c>
      <c r="N198" s="3">
        <v>1004</v>
      </c>
      <c r="O198" s="6">
        <f>Table1[[#This Row],[Invoice Qty]]-Table1[[#This Row],[ExFactory Qty]]</f>
        <v>0</v>
      </c>
      <c r="P198" s="1" t="s">
        <v>763</v>
      </c>
      <c r="Q198" s="2">
        <v>46270.495902777802</v>
      </c>
      <c r="R198" s="2">
        <v>46284</v>
      </c>
      <c r="S198" s="1" t="s">
        <v>39</v>
      </c>
      <c r="U198" s="1" t="s">
        <v>40</v>
      </c>
      <c r="V198" s="1" t="s">
        <v>64</v>
      </c>
      <c r="W198" s="1" t="s">
        <v>40</v>
      </c>
      <c r="X198" s="1" t="s">
        <v>40</v>
      </c>
      <c r="AA198" s="1" t="s">
        <v>764</v>
      </c>
      <c r="AB198" s="2">
        <v>46271</v>
      </c>
      <c r="AC198" s="2">
        <v>46271</v>
      </c>
      <c r="AE198" s="1" t="s">
        <v>40</v>
      </c>
      <c r="AF198" s="1" t="s">
        <v>174</v>
      </c>
    </row>
    <row r="199" spans="1:32" ht="12.75" hidden="1" customHeight="1" x14ac:dyDescent="0.2">
      <c r="A199" s="1" t="s">
        <v>111</v>
      </c>
      <c r="B199" s="1" t="s">
        <v>765</v>
      </c>
      <c r="C199" s="1" t="s">
        <v>766</v>
      </c>
      <c r="D199" s="1" t="s">
        <v>767</v>
      </c>
      <c r="E199" s="1" t="s">
        <v>768</v>
      </c>
      <c r="F199" s="1" t="s">
        <v>35</v>
      </c>
      <c r="G199" s="3">
        <v>2098</v>
      </c>
      <c r="H199" s="4">
        <v>47</v>
      </c>
      <c r="I199" s="5">
        <v>9929.2199999999993</v>
      </c>
      <c r="J199" s="5">
        <v>0</v>
      </c>
      <c r="K199" s="1" t="s">
        <v>36</v>
      </c>
      <c r="L199" s="1" t="s">
        <v>75</v>
      </c>
      <c r="M199" s="1" t="s">
        <v>75</v>
      </c>
      <c r="N199" s="3">
        <v>2098</v>
      </c>
      <c r="O199" s="6">
        <f>Table1[[#This Row],[Invoice Qty]]-Table1[[#This Row],[ExFactory Qty]]</f>
        <v>0</v>
      </c>
      <c r="P199" s="1" t="s">
        <v>769</v>
      </c>
      <c r="Q199" s="2">
        <v>46270.465451388904</v>
      </c>
      <c r="R199" s="2">
        <v>46276</v>
      </c>
      <c r="S199" s="1" t="s">
        <v>53</v>
      </c>
      <c r="T199" s="2">
        <v>46285</v>
      </c>
      <c r="U199" s="1" t="s">
        <v>770</v>
      </c>
      <c r="V199" s="1" t="s">
        <v>64</v>
      </c>
      <c r="W199" s="1" t="s">
        <v>40</v>
      </c>
      <c r="X199" s="1" t="s">
        <v>40</v>
      </c>
      <c r="AA199" s="1" t="s">
        <v>771</v>
      </c>
      <c r="AB199" s="2">
        <v>46271</v>
      </c>
      <c r="AC199" s="2">
        <v>46271</v>
      </c>
      <c r="AD199" s="2">
        <v>46271</v>
      </c>
      <c r="AE199" s="1" t="s">
        <v>772</v>
      </c>
      <c r="AF199" s="1" t="s">
        <v>144</v>
      </c>
    </row>
    <row r="200" spans="1:32" ht="12.75" hidden="1" customHeight="1" x14ac:dyDescent="0.2">
      <c r="A200" s="1" t="s">
        <v>30</v>
      </c>
      <c r="B200" s="1" t="s">
        <v>773</v>
      </c>
      <c r="C200" s="1" t="s">
        <v>32</v>
      </c>
      <c r="D200" s="1" t="s">
        <v>33</v>
      </c>
      <c r="E200" s="1" t="s">
        <v>774</v>
      </c>
      <c r="F200" s="1" t="s">
        <v>35</v>
      </c>
      <c r="G200" s="3">
        <v>6035</v>
      </c>
      <c r="H200" s="4">
        <v>78</v>
      </c>
      <c r="I200" s="5">
        <v>30899.200000000001</v>
      </c>
      <c r="J200" s="5">
        <v>0</v>
      </c>
      <c r="K200" s="1" t="s">
        <v>36</v>
      </c>
      <c r="L200" s="1" t="s">
        <v>37</v>
      </c>
      <c r="M200" s="1" t="s">
        <v>37</v>
      </c>
      <c r="N200" s="3">
        <v>6035</v>
      </c>
      <c r="O200" s="6">
        <f>Table1[[#This Row],[Invoice Qty]]-Table1[[#This Row],[ExFactory Qty]]</f>
        <v>0</v>
      </c>
      <c r="P200" s="1" t="s">
        <v>775</v>
      </c>
      <c r="Q200" s="2">
        <v>46280.7741550926</v>
      </c>
      <c r="R200" s="2">
        <v>46288</v>
      </c>
      <c r="S200" s="1" t="s">
        <v>39</v>
      </c>
      <c r="U200" s="1" t="s">
        <v>40</v>
      </c>
      <c r="V200" s="1" t="s">
        <v>41</v>
      </c>
      <c r="W200" s="1" t="s">
        <v>40</v>
      </c>
      <c r="X200" s="1" t="s">
        <v>40</v>
      </c>
      <c r="AA200" s="1" t="s">
        <v>776</v>
      </c>
      <c r="AB200" s="2">
        <v>46280</v>
      </c>
      <c r="AC200" s="2">
        <v>46271</v>
      </c>
      <c r="AE200" s="1" t="s">
        <v>40</v>
      </c>
      <c r="AF200" s="1" t="s">
        <v>43</v>
      </c>
    </row>
    <row r="201" spans="1:32" ht="12.75" hidden="1" customHeight="1" x14ac:dyDescent="0.2">
      <c r="A201" s="1" t="s">
        <v>86</v>
      </c>
      <c r="B201" s="1" t="s">
        <v>777</v>
      </c>
      <c r="C201" s="1" t="s">
        <v>291</v>
      </c>
      <c r="D201" s="1" t="s">
        <v>292</v>
      </c>
      <c r="E201" s="1" t="s">
        <v>778</v>
      </c>
      <c r="F201" s="1" t="s">
        <v>124</v>
      </c>
      <c r="G201" s="3">
        <v>841</v>
      </c>
      <c r="H201" s="4">
        <v>39</v>
      </c>
      <c r="I201" s="5">
        <v>5977.49</v>
      </c>
      <c r="J201" s="5">
        <v>0</v>
      </c>
      <c r="K201" s="1" t="s">
        <v>149</v>
      </c>
      <c r="L201" s="1" t="s">
        <v>51</v>
      </c>
      <c r="M201" s="1" t="s">
        <v>247</v>
      </c>
      <c r="N201" s="3">
        <v>841</v>
      </c>
      <c r="O201" s="6">
        <f>Table1[[#This Row],[Invoice Qty]]-Table1[[#This Row],[ExFactory Qty]]</f>
        <v>0</v>
      </c>
      <c r="P201" s="1" t="s">
        <v>779</v>
      </c>
      <c r="Q201" s="2">
        <v>46272.6582291667</v>
      </c>
      <c r="S201" s="1" t="s">
        <v>39</v>
      </c>
      <c r="U201" s="1" t="s">
        <v>40</v>
      </c>
      <c r="V201" s="1" t="s">
        <v>55</v>
      </c>
      <c r="W201" s="1" t="s">
        <v>40</v>
      </c>
      <c r="X201" s="1" t="s">
        <v>40</v>
      </c>
      <c r="AA201" s="1" t="s">
        <v>780</v>
      </c>
      <c r="AB201" s="2">
        <v>46274</v>
      </c>
      <c r="AC201" s="2">
        <v>46272</v>
      </c>
      <c r="AE201" s="1" t="s">
        <v>40</v>
      </c>
      <c r="AF201" s="1" t="s">
        <v>296</v>
      </c>
    </row>
    <row r="202" spans="1:32" ht="12.75" hidden="1" customHeight="1" x14ac:dyDescent="0.2">
      <c r="A202" s="1" t="s">
        <v>86</v>
      </c>
      <c r="B202" s="1" t="s">
        <v>781</v>
      </c>
      <c r="C202" s="1" t="s">
        <v>32</v>
      </c>
      <c r="D202" s="1" t="s">
        <v>33</v>
      </c>
      <c r="E202" s="1" t="s">
        <v>782</v>
      </c>
      <c r="F202" s="1" t="s">
        <v>35</v>
      </c>
      <c r="G202" s="3">
        <v>3524</v>
      </c>
      <c r="H202" s="4">
        <v>80</v>
      </c>
      <c r="I202" s="5">
        <v>11382.52</v>
      </c>
      <c r="J202" s="5">
        <v>0</v>
      </c>
      <c r="K202" s="1" t="s">
        <v>36</v>
      </c>
      <c r="L202" s="1" t="s">
        <v>37</v>
      </c>
      <c r="M202" s="1" t="s">
        <v>37</v>
      </c>
      <c r="N202" s="3">
        <v>3524</v>
      </c>
      <c r="O202" s="6">
        <f>Table1[[#This Row],[Invoice Qty]]-Table1[[#This Row],[ExFactory Qty]]</f>
        <v>0</v>
      </c>
      <c r="P202" s="1" t="s">
        <v>157</v>
      </c>
      <c r="Q202" s="2">
        <v>46277.697349536997</v>
      </c>
      <c r="S202" s="1" t="s">
        <v>39</v>
      </c>
      <c r="U202" s="1" t="s">
        <v>40</v>
      </c>
      <c r="V202" s="1" t="s">
        <v>41</v>
      </c>
      <c r="W202" s="1" t="s">
        <v>40</v>
      </c>
      <c r="X202" s="1" t="s">
        <v>40</v>
      </c>
      <c r="AA202" s="1" t="s">
        <v>783</v>
      </c>
      <c r="AB202" s="2">
        <v>46277</v>
      </c>
      <c r="AC202" s="2">
        <v>46272</v>
      </c>
      <c r="AE202" s="1" t="s">
        <v>40</v>
      </c>
      <c r="AF202" s="1" t="s">
        <v>43</v>
      </c>
    </row>
    <row r="203" spans="1:32" ht="12.75" hidden="1" customHeight="1" x14ac:dyDescent="0.2">
      <c r="A203" s="1" t="s">
        <v>86</v>
      </c>
      <c r="B203" s="1" t="s">
        <v>784</v>
      </c>
      <c r="C203" s="1" t="s">
        <v>138</v>
      </c>
      <c r="D203" s="1" t="s">
        <v>139</v>
      </c>
      <c r="E203" s="1" t="s">
        <v>785</v>
      </c>
      <c r="F203" s="1" t="s">
        <v>124</v>
      </c>
      <c r="G203" s="3">
        <v>4399</v>
      </c>
      <c r="H203" s="4">
        <v>170</v>
      </c>
      <c r="I203" s="5">
        <v>23165.01</v>
      </c>
      <c r="J203" s="5">
        <v>0</v>
      </c>
      <c r="K203" s="1" t="s">
        <v>50</v>
      </c>
      <c r="L203" s="1" t="s">
        <v>51</v>
      </c>
      <c r="M203" s="1" t="s">
        <v>51</v>
      </c>
      <c r="N203" s="3">
        <v>4399</v>
      </c>
      <c r="O203" s="6">
        <f>Table1[[#This Row],[Invoice Qty]]-Table1[[#This Row],[ExFactory Qty]]</f>
        <v>0</v>
      </c>
      <c r="P203" s="1" t="s">
        <v>786</v>
      </c>
      <c r="Q203" s="2">
        <v>46289.547708333303</v>
      </c>
      <c r="S203" s="1" t="s">
        <v>39</v>
      </c>
      <c r="U203" s="1" t="s">
        <v>40</v>
      </c>
      <c r="V203" s="1" t="s">
        <v>55</v>
      </c>
      <c r="W203" s="1" t="s">
        <v>40</v>
      </c>
      <c r="X203" s="1" t="s">
        <v>40</v>
      </c>
      <c r="AA203" s="1" t="s">
        <v>787</v>
      </c>
      <c r="AB203" s="2">
        <v>46272</v>
      </c>
      <c r="AC203" s="2">
        <v>46272</v>
      </c>
      <c r="AE203" s="1" t="s">
        <v>40</v>
      </c>
      <c r="AF203" s="1" t="s">
        <v>144</v>
      </c>
    </row>
    <row r="204" spans="1:32" ht="12.75" hidden="1" customHeight="1" x14ac:dyDescent="0.2">
      <c r="A204" s="1" t="s">
        <v>86</v>
      </c>
      <c r="B204" s="1" t="s">
        <v>788</v>
      </c>
      <c r="C204" s="1" t="s">
        <v>32</v>
      </c>
      <c r="D204" s="1" t="s">
        <v>33</v>
      </c>
      <c r="E204" s="1" t="s">
        <v>789</v>
      </c>
      <c r="F204" s="1" t="s">
        <v>35</v>
      </c>
      <c r="G204" s="3">
        <v>1986</v>
      </c>
      <c r="H204" s="4">
        <v>58</v>
      </c>
      <c r="I204" s="5">
        <v>11320.2</v>
      </c>
      <c r="J204" s="5">
        <v>0</v>
      </c>
      <c r="K204" s="1" t="s">
        <v>36</v>
      </c>
      <c r="L204" s="1" t="s">
        <v>37</v>
      </c>
      <c r="M204" s="1" t="s">
        <v>37</v>
      </c>
      <c r="N204" s="3">
        <v>1986</v>
      </c>
      <c r="O204" s="6">
        <f>Table1[[#This Row],[Invoice Qty]]-Table1[[#This Row],[ExFactory Qty]]</f>
        <v>0</v>
      </c>
      <c r="P204" s="1" t="s">
        <v>790</v>
      </c>
      <c r="Q204" s="2">
        <v>46285.722175925897</v>
      </c>
      <c r="S204" s="1" t="s">
        <v>39</v>
      </c>
      <c r="U204" s="1" t="s">
        <v>40</v>
      </c>
      <c r="V204" s="1" t="s">
        <v>41</v>
      </c>
      <c r="W204" s="1" t="s">
        <v>40</v>
      </c>
      <c r="X204" s="1" t="s">
        <v>40</v>
      </c>
      <c r="AA204" s="1" t="s">
        <v>791</v>
      </c>
      <c r="AB204" s="2">
        <v>46285</v>
      </c>
      <c r="AC204" s="2">
        <v>46272</v>
      </c>
      <c r="AE204" s="1" t="s">
        <v>40</v>
      </c>
      <c r="AF204" s="1" t="s">
        <v>43</v>
      </c>
    </row>
    <row r="205" spans="1:32" ht="12.75" hidden="1" customHeight="1" x14ac:dyDescent="0.2">
      <c r="A205" s="1" t="s">
        <v>30</v>
      </c>
      <c r="B205" s="1" t="s">
        <v>792</v>
      </c>
      <c r="C205" s="1" t="s">
        <v>32</v>
      </c>
      <c r="D205" s="1" t="s">
        <v>33</v>
      </c>
      <c r="E205" s="1" t="s">
        <v>793</v>
      </c>
      <c r="F205" s="1" t="s">
        <v>35</v>
      </c>
      <c r="G205" s="3">
        <v>1503</v>
      </c>
      <c r="H205" s="4">
        <v>43</v>
      </c>
      <c r="I205" s="5">
        <v>9363.69</v>
      </c>
      <c r="J205" s="5">
        <v>0</v>
      </c>
      <c r="K205" s="1" t="s">
        <v>36</v>
      </c>
      <c r="L205" s="1" t="s">
        <v>37</v>
      </c>
      <c r="M205" s="1" t="s">
        <v>37</v>
      </c>
      <c r="N205" s="3">
        <v>1503</v>
      </c>
      <c r="O205" s="6">
        <f>Table1[[#This Row],[Invoice Qty]]-Table1[[#This Row],[ExFactory Qty]]</f>
        <v>0</v>
      </c>
      <c r="P205" s="1" t="s">
        <v>775</v>
      </c>
      <c r="Q205" s="2">
        <v>46280.7741550926</v>
      </c>
      <c r="R205" s="2">
        <v>46288</v>
      </c>
      <c r="S205" s="1" t="s">
        <v>39</v>
      </c>
      <c r="U205" s="1" t="s">
        <v>40</v>
      </c>
      <c r="V205" s="1" t="s">
        <v>41</v>
      </c>
      <c r="W205" s="1" t="s">
        <v>40</v>
      </c>
      <c r="X205" s="1" t="s">
        <v>40</v>
      </c>
      <c r="AA205" s="1" t="s">
        <v>794</v>
      </c>
      <c r="AB205" s="2">
        <v>46280</v>
      </c>
      <c r="AC205" s="2">
        <v>46273</v>
      </c>
      <c r="AE205" s="1" t="s">
        <v>40</v>
      </c>
      <c r="AF205" s="1" t="s">
        <v>43</v>
      </c>
    </row>
    <row r="206" spans="1:32" ht="12.75" hidden="1" customHeight="1" x14ac:dyDescent="0.2">
      <c r="A206" s="1" t="s">
        <v>86</v>
      </c>
      <c r="B206" s="1" t="s">
        <v>795</v>
      </c>
      <c r="C206" s="1" t="s">
        <v>138</v>
      </c>
      <c r="D206" s="1" t="s">
        <v>796</v>
      </c>
      <c r="E206" s="1" t="s">
        <v>797</v>
      </c>
      <c r="F206" s="1" t="s">
        <v>124</v>
      </c>
      <c r="G206" s="3">
        <v>587</v>
      </c>
      <c r="H206" s="4">
        <v>48</v>
      </c>
      <c r="I206" s="5">
        <v>3056.45</v>
      </c>
      <c r="J206" s="5">
        <v>0</v>
      </c>
      <c r="K206" s="1" t="s">
        <v>50</v>
      </c>
      <c r="L206" s="1" t="s">
        <v>51</v>
      </c>
      <c r="M206" s="1" t="s">
        <v>51</v>
      </c>
      <c r="N206" s="3">
        <v>587</v>
      </c>
      <c r="O206" s="6">
        <f>Table1[[#This Row],[Invoice Qty]]-Table1[[#This Row],[ExFactory Qty]]</f>
        <v>0</v>
      </c>
      <c r="P206" s="1" t="s">
        <v>798</v>
      </c>
      <c r="Q206" s="2">
        <v>46274.669305555602</v>
      </c>
      <c r="S206" s="1" t="s">
        <v>39</v>
      </c>
      <c r="U206" s="1" t="s">
        <v>40</v>
      </c>
      <c r="V206" s="1" t="s">
        <v>55</v>
      </c>
      <c r="W206" s="1" t="s">
        <v>40</v>
      </c>
      <c r="X206" s="1" t="s">
        <v>40</v>
      </c>
      <c r="AA206" s="1" t="s">
        <v>799</v>
      </c>
      <c r="AB206" s="2">
        <v>46273</v>
      </c>
      <c r="AC206" s="2">
        <v>46273</v>
      </c>
      <c r="AE206" s="1" t="s">
        <v>40</v>
      </c>
      <c r="AF206" s="1" t="s">
        <v>800</v>
      </c>
    </row>
    <row r="207" spans="1:32" ht="12.75" hidden="1" customHeight="1" x14ac:dyDescent="0.2">
      <c r="A207" s="1" t="s">
        <v>30</v>
      </c>
      <c r="B207" s="1" t="s">
        <v>801</v>
      </c>
      <c r="C207" s="1" t="s">
        <v>180</v>
      </c>
      <c r="D207" s="1" t="s">
        <v>181</v>
      </c>
      <c r="E207" s="1" t="s">
        <v>802</v>
      </c>
      <c r="F207" s="1" t="s">
        <v>803</v>
      </c>
      <c r="G207" s="3">
        <v>5915</v>
      </c>
      <c r="H207" s="4">
        <v>425</v>
      </c>
      <c r="I207" s="5">
        <v>34780.199999999997</v>
      </c>
      <c r="J207" s="5">
        <v>709.8</v>
      </c>
      <c r="K207" s="1" t="s">
        <v>36</v>
      </c>
      <c r="L207" s="1" t="s">
        <v>51</v>
      </c>
      <c r="M207" s="1" t="s">
        <v>51</v>
      </c>
      <c r="N207" s="3">
        <v>5915</v>
      </c>
      <c r="O207" s="6">
        <f>Table1[[#This Row],[Invoice Qty]]-Table1[[#This Row],[ExFactory Qty]]</f>
        <v>0</v>
      </c>
      <c r="P207" s="1" t="s">
        <v>191</v>
      </c>
      <c r="Q207" s="2">
        <v>46272.441724536999</v>
      </c>
      <c r="R207" s="2">
        <v>46288</v>
      </c>
      <c r="S207" s="1" t="s">
        <v>39</v>
      </c>
      <c r="U207" s="1" t="s">
        <v>40</v>
      </c>
      <c r="V207" s="1" t="s">
        <v>185</v>
      </c>
      <c r="W207" s="1" t="s">
        <v>40</v>
      </c>
      <c r="X207" s="1" t="s">
        <v>40</v>
      </c>
      <c r="AA207" s="1" t="s">
        <v>804</v>
      </c>
      <c r="AB207" s="2">
        <v>46273</v>
      </c>
      <c r="AC207" s="2">
        <v>46273</v>
      </c>
      <c r="AE207" s="1" t="s">
        <v>40</v>
      </c>
      <c r="AF207" s="1" t="s">
        <v>187</v>
      </c>
    </row>
    <row r="208" spans="1:32" ht="12.75" hidden="1" customHeight="1" x14ac:dyDescent="0.2">
      <c r="A208" s="1" t="s">
        <v>30</v>
      </c>
      <c r="B208" s="1" t="s">
        <v>805</v>
      </c>
      <c r="C208" s="1" t="s">
        <v>180</v>
      </c>
      <c r="D208" s="1" t="s">
        <v>806</v>
      </c>
      <c r="E208" s="1" t="s">
        <v>807</v>
      </c>
      <c r="F208" s="1" t="s">
        <v>183</v>
      </c>
      <c r="G208" s="3">
        <v>1146</v>
      </c>
      <c r="H208" s="4">
        <v>166</v>
      </c>
      <c r="I208" s="5">
        <v>9377.7199999999993</v>
      </c>
      <c r="J208" s="5">
        <v>191.38</v>
      </c>
      <c r="K208" s="1" t="s">
        <v>36</v>
      </c>
      <c r="L208" s="1" t="s">
        <v>51</v>
      </c>
      <c r="M208" s="1" t="s">
        <v>51</v>
      </c>
      <c r="N208" s="3">
        <v>1146</v>
      </c>
      <c r="O208" s="6">
        <f>Table1[[#This Row],[Invoice Qty]]-Table1[[#This Row],[ExFactory Qty]]</f>
        <v>0</v>
      </c>
      <c r="P208" s="1" t="s">
        <v>808</v>
      </c>
      <c r="Q208" s="2">
        <v>46273.447523148097</v>
      </c>
      <c r="R208" s="2">
        <v>46288</v>
      </c>
      <c r="S208" s="1" t="s">
        <v>39</v>
      </c>
      <c r="U208" s="1" t="s">
        <v>40</v>
      </c>
      <c r="V208" s="1" t="s">
        <v>532</v>
      </c>
      <c r="W208" s="1" t="s">
        <v>40</v>
      </c>
      <c r="X208" s="1" t="s">
        <v>40</v>
      </c>
      <c r="AA208" s="1" t="s">
        <v>809</v>
      </c>
      <c r="AB208" s="2">
        <v>46273</v>
      </c>
      <c r="AC208" s="2">
        <v>46273</v>
      </c>
      <c r="AE208" s="1" t="s">
        <v>40</v>
      </c>
      <c r="AF208" s="1" t="s">
        <v>187</v>
      </c>
    </row>
    <row r="209" spans="1:32" ht="12.75" hidden="1" customHeight="1" x14ac:dyDescent="0.2">
      <c r="A209" s="1" t="s">
        <v>30</v>
      </c>
      <c r="B209" s="1" t="s">
        <v>810</v>
      </c>
      <c r="C209" s="1" t="s">
        <v>180</v>
      </c>
      <c r="D209" s="1" t="s">
        <v>806</v>
      </c>
      <c r="E209" s="1" t="s">
        <v>811</v>
      </c>
      <c r="F209" s="1" t="s">
        <v>190</v>
      </c>
      <c r="G209" s="3">
        <v>54</v>
      </c>
      <c r="H209" s="4">
        <v>8</v>
      </c>
      <c r="I209" s="5">
        <v>441.88</v>
      </c>
      <c r="J209" s="5">
        <v>9.02</v>
      </c>
      <c r="K209" s="1" t="s">
        <v>36</v>
      </c>
      <c r="L209" s="1" t="s">
        <v>51</v>
      </c>
      <c r="M209" s="1" t="s">
        <v>51</v>
      </c>
      <c r="N209" s="3">
        <v>54</v>
      </c>
      <c r="O209" s="6">
        <f>Table1[[#This Row],[Invoice Qty]]-Table1[[#This Row],[ExFactory Qty]]</f>
        <v>0</v>
      </c>
      <c r="P209" s="1" t="s">
        <v>808</v>
      </c>
      <c r="Q209" s="2">
        <v>46273.447523148097</v>
      </c>
      <c r="R209" s="2">
        <v>46277</v>
      </c>
      <c r="S209" s="1" t="s">
        <v>39</v>
      </c>
      <c r="U209" s="1" t="s">
        <v>40</v>
      </c>
      <c r="V209" s="1" t="s">
        <v>532</v>
      </c>
      <c r="W209" s="1" t="s">
        <v>40</v>
      </c>
      <c r="X209" s="1" t="s">
        <v>40</v>
      </c>
      <c r="AA209" s="1" t="s">
        <v>812</v>
      </c>
      <c r="AB209" s="2">
        <v>46273</v>
      </c>
      <c r="AC209" s="2">
        <v>46273</v>
      </c>
      <c r="AE209" s="1" t="s">
        <v>40</v>
      </c>
      <c r="AF209" s="1" t="s">
        <v>187</v>
      </c>
    </row>
    <row r="210" spans="1:32" ht="12.75" hidden="1" customHeight="1" x14ac:dyDescent="0.2">
      <c r="A210" s="1" t="s">
        <v>30</v>
      </c>
      <c r="B210" s="1" t="s">
        <v>813</v>
      </c>
      <c r="C210" s="1" t="s">
        <v>212</v>
      </c>
      <c r="D210" s="1" t="s">
        <v>213</v>
      </c>
      <c r="E210" s="1" t="s">
        <v>814</v>
      </c>
      <c r="F210" s="1" t="s">
        <v>124</v>
      </c>
      <c r="G210" s="3">
        <v>500</v>
      </c>
      <c r="H210" s="4">
        <v>500</v>
      </c>
      <c r="I210" s="5">
        <v>4770</v>
      </c>
      <c r="J210" s="5">
        <v>0</v>
      </c>
      <c r="K210" s="1" t="s">
        <v>36</v>
      </c>
      <c r="L210" s="1" t="s">
        <v>37</v>
      </c>
      <c r="M210" s="1" t="s">
        <v>37</v>
      </c>
      <c r="N210" s="3">
        <v>500</v>
      </c>
      <c r="O210" s="6">
        <f>Table1[[#This Row],[Invoice Qty]]-Table1[[#This Row],[ExFactory Qty]]</f>
        <v>0</v>
      </c>
      <c r="P210" s="1" t="s">
        <v>815</v>
      </c>
      <c r="Q210" s="2">
        <v>46277.737314814804</v>
      </c>
      <c r="R210" s="2">
        <v>46284</v>
      </c>
      <c r="S210" s="1" t="s">
        <v>39</v>
      </c>
      <c r="U210" s="1" t="s">
        <v>40</v>
      </c>
      <c r="V210" s="1" t="s">
        <v>64</v>
      </c>
      <c r="W210" s="1" t="s">
        <v>40</v>
      </c>
      <c r="X210" s="1" t="s">
        <v>40</v>
      </c>
      <c r="AA210" s="1" t="s">
        <v>816</v>
      </c>
      <c r="AB210" s="2">
        <v>46275</v>
      </c>
      <c r="AC210" s="2">
        <v>46273</v>
      </c>
      <c r="AE210" s="1" t="s">
        <v>40</v>
      </c>
      <c r="AF210" s="1" t="s">
        <v>174</v>
      </c>
    </row>
    <row r="211" spans="1:32" ht="12.75" hidden="1" customHeight="1" x14ac:dyDescent="0.2">
      <c r="A211" s="1" t="s">
        <v>30</v>
      </c>
      <c r="B211" s="1" t="s">
        <v>817</v>
      </c>
      <c r="C211" s="1" t="s">
        <v>212</v>
      </c>
      <c r="D211" s="1" t="s">
        <v>213</v>
      </c>
      <c r="E211" s="1" t="s">
        <v>818</v>
      </c>
      <c r="F211" s="1" t="s">
        <v>124</v>
      </c>
      <c r="G211" s="3">
        <v>500</v>
      </c>
      <c r="H211" s="4">
        <v>500</v>
      </c>
      <c r="I211" s="5">
        <v>4770</v>
      </c>
      <c r="J211" s="5">
        <v>0</v>
      </c>
      <c r="K211" s="1" t="s">
        <v>36</v>
      </c>
      <c r="L211" s="1" t="s">
        <v>37</v>
      </c>
      <c r="M211" s="1" t="s">
        <v>37</v>
      </c>
      <c r="N211" s="3">
        <v>500</v>
      </c>
      <c r="O211" s="6">
        <f>Table1[[#This Row],[Invoice Qty]]-Table1[[#This Row],[ExFactory Qty]]</f>
        <v>0</v>
      </c>
      <c r="P211" s="1" t="s">
        <v>819</v>
      </c>
      <c r="Q211" s="2">
        <v>46274.354027777801</v>
      </c>
      <c r="R211" s="2">
        <v>46284</v>
      </c>
      <c r="S211" s="1" t="s">
        <v>39</v>
      </c>
      <c r="U211" s="1" t="s">
        <v>40</v>
      </c>
      <c r="V211" s="1" t="s">
        <v>64</v>
      </c>
      <c r="W211" s="1" t="s">
        <v>40</v>
      </c>
      <c r="X211" s="1" t="s">
        <v>40</v>
      </c>
      <c r="AA211" s="1" t="s">
        <v>820</v>
      </c>
      <c r="AB211" s="2">
        <v>46275</v>
      </c>
      <c r="AC211" s="2">
        <v>46273</v>
      </c>
      <c r="AE211" s="1" t="s">
        <v>40</v>
      </c>
      <c r="AF211" s="1" t="s">
        <v>174</v>
      </c>
    </row>
    <row r="212" spans="1:32" ht="12.75" hidden="1" customHeight="1" x14ac:dyDescent="0.2">
      <c r="A212" s="1" t="s">
        <v>30</v>
      </c>
      <c r="B212" s="1" t="s">
        <v>821</v>
      </c>
      <c r="C212" s="1" t="s">
        <v>212</v>
      </c>
      <c r="D212" s="1" t="s">
        <v>213</v>
      </c>
      <c r="E212" s="1" t="s">
        <v>822</v>
      </c>
      <c r="F212" s="1" t="s">
        <v>124</v>
      </c>
      <c r="G212" s="3">
        <v>515</v>
      </c>
      <c r="H212" s="4">
        <v>515</v>
      </c>
      <c r="I212" s="5">
        <v>5238.5600000000004</v>
      </c>
      <c r="J212" s="5">
        <v>0</v>
      </c>
      <c r="K212" s="1" t="s">
        <v>36</v>
      </c>
      <c r="L212" s="1" t="s">
        <v>37</v>
      </c>
      <c r="M212" s="1" t="s">
        <v>37</v>
      </c>
      <c r="N212" s="3">
        <v>515</v>
      </c>
      <c r="O212" s="6">
        <f>Table1[[#This Row],[Invoice Qty]]-Table1[[#This Row],[ExFactory Qty]]</f>
        <v>0</v>
      </c>
      <c r="P212" s="1" t="s">
        <v>823</v>
      </c>
      <c r="Q212" s="2">
        <v>46273.498773148101</v>
      </c>
      <c r="R212" s="2">
        <v>46284</v>
      </c>
      <c r="S212" s="1" t="s">
        <v>39</v>
      </c>
      <c r="U212" s="1" t="s">
        <v>40</v>
      </c>
      <c r="V212" s="1" t="s">
        <v>64</v>
      </c>
      <c r="W212" s="1" t="s">
        <v>40</v>
      </c>
      <c r="X212" s="1" t="s">
        <v>40</v>
      </c>
      <c r="AA212" s="1" t="s">
        <v>824</v>
      </c>
      <c r="AB212" s="2">
        <v>46274</v>
      </c>
      <c r="AC212" s="2">
        <v>46273</v>
      </c>
      <c r="AE212" s="1" t="s">
        <v>40</v>
      </c>
      <c r="AF212" s="1" t="s">
        <v>174</v>
      </c>
    </row>
    <row r="213" spans="1:32" ht="12.75" hidden="1" customHeight="1" x14ac:dyDescent="0.2">
      <c r="A213" s="1" t="s">
        <v>30</v>
      </c>
      <c r="B213" s="1" t="s">
        <v>825</v>
      </c>
      <c r="C213" s="1" t="s">
        <v>138</v>
      </c>
      <c r="D213" s="1" t="s">
        <v>139</v>
      </c>
      <c r="E213" s="1" t="s">
        <v>826</v>
      </c>
      <c r="F213" s="1" t="s">
        <v>124</v>
      </c>
      <c r="G213" s="3">
        <v>276</v>
      </c>
      <c r="H213" s="4">
        <v>6</v>
      </c>
      <c r="I213" s="5">
        <v>1104</v>
      </c>
      <c r="J213" s="5">
        <v>0</v>
      </c>
      <c r="K213" s="1" t="s">
        <v>50</v>
      </c>
      <c r="L213" s="1" t="s">
        <v>51</v>
      </c>
      <c r="M213" s="1" t="s">
        <v>247</v>
      </c>
      <c r="N213" s="3">
        <v>276</v>
      </c>
      <c r="O213" s="6">
        <f>Table1[[#This Row],[Invoice Qty]]-Table1[[#This Row],[ExFactory Qty]]</f>
        <v>0</v>
      </c>
      <c r="P213" s="1" t="s">
        <v>827</v>
      </c>
      <c r="Q213" s="2">
        <v>46277.468541666698</v>
      </c>
      <c r="R213" s="2">
        <v>46282</v>
      </c>
      <c r="S213" s="1" t="s">
        <v>39</v>
      </c>
      <c r="U213" s="1" t="s">
        <v>40</v>
      </c>
      <c r="V213" s="1" t="s">
        <v>55</v>
      </c>
      <c r="W213" s="1" t="s">
        <v>40</v>
      </c>
      <c r="X213" s="1" t="s">
        <v>40</v>
      </c>
      <c r="AA213" s="1" t="s">
        <v>828</v>
      </c>
      <c r="AB213" s="2">
        <v>46274</v>
      </c>
      <c r="AC213" s="2">
        <v>46273</v>
      </c>
      <c r="AE213" s="1" t="s">
        <v>40</v>
      </c>
      <c r="AF213" s="1" t="s">
        <v>144</v>
      </c>
    </row>
    <row r="214" spans="1:32" ht="12.75" hidden="1" customHeight="1" x14ac:dyDescent="0.2">
      <c r="A214" s="1" t="s">
        <v>30</v>
      </c>
      <c r="B214" s="1" t="s">
        <v>829</v>
      </c>
      <c r="C214" s="1" t="s">
        <v>46</v>
      </c>
      <c r="D214" s="1" t="s">
        <v>830</v>
      </c>
      <c r="E214" s="1" t="s">
        <v>831</v>
      </c>
      <c r="F214" s="1" t="s">
        <v>49</v>
      </c>
      <c r="G214" s="3">
        <v>12216</v>
      </c>
      <c r="H214" s="4">
        <v>185</v>
      </c>
      <c r="I214" s="5">
        <v>35072.839999999997</v>
      </c>
      <c r="J214" s="5">
        <v>0</v>
      </c>
      <c r="K214" s="1" t="s">
        <v>36</v>
      </c>
      <c r="L214" s="1" t="s">
        <v>51</v>
      </c>
      <c r="M214" s="1" t="s">
        <v>51</v>
      </c>
      <c r="N214" s="3">
        <v>12216</v>
      </c>
      <c r="O214" s="6">
        <f>Table1[[#This Row],[Invoice Qty]]-Table1[[#This Row],[ExFactory Qty]]</f>
        <v>0</v>
      </c>
      <c r="P214" s="1" t="s">
        <v>832</v>
      </c>
      <c r="Q214" s="2">
        <v>46273.446192129602</v>
      </c>
      <c r="R214" s="2">
        <v>46283</v>
      </c>
      <c r="S214" s="1" t="s">
        <v>39</v>
      </c>
      <c r="U214" s="1" t="s">
        <v>40</v>
      </c>
      <c r="V214" s="1" t="s">
        <v>55</v>
      </c>
      <c r="W214" s="1" t="s">
        <v>40</v>
      </c>
      <c r="X214" s="1" t="s">
        <v>40</v>
      </c>
      <c r="AA214" s="1" t="s">
        <v>833</v>
      </c>
      <c r="AB214" s="2">
        <v>46274</v>
      </c>
      <c r="AC214" s="2">
        <v>46274</v>
      </c>
      <c r="AD214" s="2">
        <v>46274</v>
      </c>
      <c r="AE214" s="1" t="s">
        <v>834</v>
      </c>
      <c r="AF214" s="1" t="s">
        <v>43</v>
      </c>
    </row>
    <row r="215" spans="1:32" ht="12.75" hidden="1" customHeight="1" x14ac:dyDescent="0.2">
      <c r="A215" s="1" t="s">
        <v>30</v>
      </c>
      <c r="B215" s="1" t="s">
        <v>835</v>
      </c>
      <c r="C215" s="1" t="s">
        <v>199</v>
      </c>
      <c r="D215" s="1" t="s">
        <v>836</v>
      </c>
      <c r="E215" s="1" t="s">
        <v>837</v>
      </c>
      <c r="F215" s="1" t="s">
        <v>183</v>
      </c>
      <c r="G215" s="3">
        <v>6795</v>
      </c>
      <c r="H215" s="4">
        <v>260</v>
      </c>
      <c r="I215" s="5">
        <v>32616</v>
      </c>
      <c r="J215" s="5">
        <v>0</v>
      </c>
      <c r="K215" s="1" t="s">
        <v>36</v>
      </c>
      <c r="L215" s="1" t="s">
        <v>51</v>
      </c>
      <c r="M215" s="1" t="s">
        <v>247</v>
      </c>
      <c r="N215" s="3">
        <v>6795</v>
      </c>
      <c r="O215" s="6">
        <f>Table1[[#This Row],[Invoice Qty]]-Table1[[#This Row],[ExFactory Qty]]</f>
        <v>0</v>
      </c>
      <c r="P215" s="1" t="s">
        <v>838</v>
      </c>
      <c r="Q215" s="2">
        <v>46274.825821759303</v>
      </c>
      <c r="R215" s="2">
        <v>46279</v>
      </c>
      <c r="S215" s="1" t="s">
        <v>39</v>
      </c>
      <c r="U215" s="1" t="s">
        <v>40</v>
      </c>
      <c r="V215" s="1" t="s">
        <v>532</v>
      </c>
      <c r="W215" s="1" t="s">
        <v>40</v>
      </c>
      <c r="X215" s="1" t="s">
        <v>40</v>
      </c>
      <c r="AA215" s="1" t="s">
        <v>839</v>
      </c>
      <c r="AB215" s="2">
        <v>46275</v>
      </c>
      <c r="AC215" s="2">
        <v>46274</v>
      </c>
      <c r="AE215" s="1" t="s">
        <v>40</v>
      </c>
      <c r="AF215" s="1" t="s">
        <v>167</v>
      </c>
    </row>
    <row r="216" spans="1:32" ht="12.75" hidden="1" customHeight="1" x14ac:dyDescent="0.2">
      <c r="A216" s="1" t="s">
        <v>30</v>
      </c>
      <c r="B216" s="1" t="s">
        <v>840</v>
      </c>
      <c r="C216" s="1" t="s">
        <v>199</v>
      </c>
      <c r="D216" s="1" t="s">
        <v>836</v>
      </c>
      <c r="E216" s="1" t="s">
        <v>841</v>
      </c>
      <c r="F216" s="1" t="s">
        <v>206</v>
      </c>
      <c r="G216" s="3">
        <v>2393</v>
      </c>
      <c r="H216" s="4">
        <v>97</v>
      </c>
      <c r="I216" s="5">
        <v>11486.4</v>
      </c>
      <c r="J216" s="5">
        <v>0</v>
      </c>
      <c r="K216" s="1" t="s">
        <v>36</v>
      </c>
      <c r="L216" s="1" t="s">
        <v>51</v>
      </c>
      <c r="M216" s="1" t="s">
        <v>247</v>
      </c>
      <c r="N216" s="3">
        <v>2393</v>
      </c>
      <c r="O216" s="6">
        <f>Table1[[#This Row],[Invoice Qty]]-Table1[[#This Row],[ExFactory Qty]]</f>
        <v>0</v>
      </c>
      <c r="P216" s="1" t="s">
        <v>838</v>
      </c>
      <c r="Q216" s="2">
        <v>46274.825821759303</v>
      </c>
      <c r="R216" s="2">
        <v>46282</v>
      </c>
      <c r="S216" s="1" t="s">
        <v>39</v>
      </c>
      <c r="U216" s="1" t="s">
        <v>40</v>
      </c>
      <c r="V216" s="1" t="s">
        <v>532</v>
      </c>
      <c r="W216" s="1" t="s">
        <v>40</v>
      </c>
      <c r="X216" s="1" t="s">
        <v>40</v>
      </c>
      <c r="AA216" s="1" t="s">
        <v>842</v>
      </c>
      <c r="AB216" s="2">
        <v>46275</v>
      </c>
      <c r="AC216" s="2">
        <v>46274</v>
      </c>
      <c r="AE216" s="1" t="s">
        <v>40</v>
      </c>
      <c r="AF216" s="1" t="s">
        <v>167</v>
      </c>
    </row>
    <row r="217" spans="1:32" ht="12.75" hidden="1" customHeight="1" x14ac:dyDescent="0.2">
      <c r="A217" s="1" t="s">
        <v>30</v>
      </c>
      <c r="B217" s="1" t="s">
        <v>843</v>
      </c>
      <c r="C217" s="1" t="s">
        <v>199</v>
      </c>
      <c r="D217" s="1" t="s">
        <v>836</v>
      </c>
      <c r="E217" s="1" t="s">
        <v>844</v>
      </c>
      <c r="F217" s="1" t="s">
        <v>183</v>
      </c>
      <c r="G217" s="3">
        <v>7708</v>
      </c>
      <c r="H217" s="4">
        <v>277</v>
      </c>
      <c r="I217" s="5">
        <v>36998.400000000001</v>
      </c>
      <c r="J217" s="5">
        <v>0</v>
      </c>
      <c r="K217" s="1" t="s">
        <v>36</v>
      </c>
      <c r="L217" s="1" t="s">
        <v>51</v>
      </c>
      <c r="M217" s="1" t="s">
        <v>247</v>
      </c>
      <c r="N217" s="3">
        <v>7708</v>
      </c>
      <c r="O217" s="6">
        <f>Table1[[#This Row],[Invoice Qty]]-Table1[[#This Row],[ExFactory Qty]]</f>
        <v>0</v>
      </c>
      <c r="P217" s="1" t="s">
        <v>838</v>
      </c>
      <c r="Q217" s="2">
        <v>46274.825821759303</v>
      </c>
      <c r="R217" s="2">
        <v>46279</v>
      </c>
      <c r="S217" s="1" t="s">
        <v>39</v>
      </c>
      <c r="U217" s="1" t="s">
        <v>40</v>
      </c>
      <c r="V217" s="1" t="s">
        <v>532</v>
      </c>
      <c r="W217" s="1" t="s">
        <v>40</v>
      </c>
      <c r="X217" s="1" t="s">
        <v>40</v>
      </c>
      <c r="AA217" s="1" t="s">
        <v>845</v>
      </c>
      <c r="AB217" s="2">
        <v>46275</v>
      </c>
      <c r="AC217" s="2">
        <v>46274</v>
      </c>
      <c r="AE217" s="1" t="s">
        <v>40</v>
      </c>
      <c r="AF217" s="1" t="s">
        <v>167</v>
      </c>
    </row>
    <row r="218" spans="1:32" ht="12.75" hidden="1" customHeight="1" x14ac:dyDescent="0.2">
      <c r="A218" s="1" t="s">
        <v>30</v>
      </c>
      <c r="B218" s="1" t="s">
        <v>846</v>
      </c>
      <c r="C218" s="1" t="s">
        <v>199</v>
      </c>
      <c r="D218" s="1" t="s">
        <v>836</v>
      </c>
      <c r="E218" s="1" t="s">
        <v>847</v>
      </c>
      <c r="F218" s="1" t="s">
        <v>206</v>
      </c>
      <c r="G218" s="3">
        <v>2704</v>
      </c>
      <c r="H218" s="4">
        <v>103</v>
      </c>
      <c r="I218" s="5">
        <v>12979.2</v>
      </c>
      <c r="J218" s="5">
        <v>0</v>
      </c>
      <c r="K218" s="1" t="s">
        <v>36</v>
      </c>
      <c r="L218" s="1" t="s">
        <v>51</v>
      </c>
      <c r="M218" s="1" t="s">
        <v>247</v>
      </c>
      <c r="N218" s="3">
        <v>2704</v>
      </c>
      <c r="O218" s="6">
        <f>Table1[[#This Row],[Invoice Qty]]-Table1[[#This Row],[ExFactory Qty]]</f>
        <v>0</v>
      </c>
      <c r="P218" s="1" t="s">
        <v>838</v>
      </c>
      <c r="Q218" s="2">
        <v>46274.825821759303</v>
      </c>
      <c r="R218" s="2">
        <v>46282</v>
      </c>
      <c r="S218" s="1" t="s">
        <v>39</v>
      </c>
      <c r="U218" s="1" t="s">
        <v>40</v>
      </c>
      <c r="V218" s="1" t="s">
        <v>532</v>
      </c>
      <c r="W218" s="1" t="s">
        <v>40</v>
      </c>
      <c r="X218" s="1" t="s">
        <v>40</v>
      </c>
      <c r="AA218" s="1" t="s">
        <v>848</v>
      </c>
      <c r="AB218" s="2">
        <v>46275</v>
      </c>
      <c r="AC218" s="2">
        <v>46274</v>
      </c>
      <c r="AE218" s="1" t="s">
        <v>40</v>
      </c>
      <c r="AF218" s="1" t="s">
        <v>167</v>
      </c>
    </row>
    <row r="219" spans="1:32" ht="12.75" hidden="1" customHeight="1" x14ac:dyDescent="0.2">
      <c r="A219" s="1" t="s">
        <v>30</v>
      </c>
      <c r="B219" s="1" t="s">
        <v>849</v>
      </c>
      <c r="C219" s="1" t="s">
        <v>199</v>
      </c>
      <c r="D219" s="1" t="s">
        <v>850</v>
      </c>
      <c r="E219" s="1" t="s">
        <v>851</v>
      </c>
      <c r="F219" s="1" t="s">
        <v>183</v>
      </c>
      <c r="G219" s="3">
        <v>3880</v>
      </c>
      <c r="H219" s="4">
        <v>149</v>
      </c>
      <c r="I219" s="5">
        <v>23280</v>
      </c>
      <c r="J219" s="5">
        <v>0</v>
      </c>
      <c r="K219" s="1" t="s">
        <v>36</v>
      </c>
      <c r="L219" s="1" t="s">
        <v>51</v>
      </c>
      <c r="M219" s="1" t="s">
        <v>247</v>
      </c>
      <c r="N219" s="3">
        <v>3880</v>
      </c>
      <c r="O219" s="6">
        <f>Table1[[#This Row],[Invoice Qty]]-Table1[[#This Row],[ExFactory Qty]]</f>
        <v>0</v>
      </c>
      <c r="P219" s="1" t="s">
        <v>852</v>
      </c>
      <c r="Q219" s="2">
        <v>46275.7800810185</v>
      </c>
      <c r="R219" s="2">
        <v>46282</v>
      </c>
      <c r="S219" s="1" t="s">
        <v>39</v>
      </c>
      <c r="U219" s="1" t="s">
        <v>40</v>
      </c>
      <c r="V219" s="1" t="s">
        <v>532</v>
      </c>
      <c r="W219" s="1" t="s">
        <v>40</v>
      </c>
      <c r="X219" s="1" t="s">
        <v>40</v>
      </c>
      <c r="AA219" s="1" t="s">
        <v>853</v>
      </c>
      <c r="AB219" s="2">
        <v>46275</v>
      </c>
      <c r="AC219" s="2">
        <v>46274</v>
      </c>
      <c r="AD219" s="2">
        <v>46276</v>
      </c>
      <c r="AE219" s="1" t="s">
        <v>854</v>
      </c>
      <c r="AF219" s="1" t="s">
        <v>167</v>
      </c>
    </row>
    <row r="220" spans="1:32" ht="12.75" hidden="1" customHeight="1" x14ac:dyDescent="0.2">
      <c r="A220" s="1" t="s">
        <v>30</v>
      </c>
      <c r="B220" s="1" t="s">
        <v>855</v>
      </c>
      <c r="C220" s="1" t="s">
        <v>199</v>
      </c>
      <c r="D220" s="1" t="s">
        <v>850</v>
      </c>
      <c r="E220" s="1" t="s">
        <v>856</v>
      </c>
      <c r="F220" s="1" t="s">
        <v>206</v>
      </c>
      <c r="G220" s="3">
        <v>1404</v>
      </c>
      <c r="H220" s="4">
        <v>56</v>
      </c>
      <c r="I220" s="5">
        <v>8424</v>
      </c>
      <c r="J220" s="5">
        <v>0</v>
      </c>
      <c r="K220" s="1" t="s">
        <v>36</v>
      </c>
      <c r="L220" s="1" t="s">
        <v>51</v>
      </c>
      <c r="M220" s="1" t="s">
        <v>247</v>
      </c>
      <c r="N220" s="3">
        <v>1404</v>
      </c>
      <c r="O220" s="6">
        <f>Table1[[#This Row],[Invoice Qty]]-Table1[[#This Row],[ExFactory Qty]]</f>
        <v>0</v>
      </c>
      <c r="P220" s="1" t="s">
        <v>852</v>
      </c>
      <c r="Q220" s="2">
        <v>46275.7800810185</v>
      </c>
      <c r="R220" s="2">
        <v>46282</v>
      </c>
      <c r="S220" s="1" t="s">
        <v>39</v>
      </c>
      <c r="U220" s="1" t="s">
        <v>40</v>
      </c>
      <c r="V220" s="1" t="s">
        <v>532</v>
      </c>
      <c r="W220" s="1" t="s">
        <v>40</v>
      </c>
      <c r="X220" s="1" t="s">
        <v>40</v>
      </c>
      <c r="AA220" s="1" t="s">
        <v>857</v>
      </c>
      <c r="AB220" s="2">
        <v>46275</v>
      </c>
      <c r="AC220" s="2">
        <v>46274</v>
      </c>
      <c r="AD220" s="2">
        <v>46276</v>
      </c>
      <c r="AE220" s="1" t="s">
        <v>858</v>
      </c>
      <c r="AF220" s="1" t="s">
        <v>167</v>
      </c>
    </row>
    <row r="221" spans="1:32" ht="12.75" hidden="1" customHeight="1" x14ac:dyDescent="0.2">
      <c r="A221" s="1" t="s">
        <v>30</v>
      </c>
      <c r="B221" s="1" t="s">
        <v>859</v>
      </c>
      <c r="C221" s="1" t="s">
        <v>199</v>
      </c>
      <c r="D221" s="1" t="s">
        <v>850</v>
      </c>
      <c r="E221" s="1" t="s">
        <v>860</v>
      </c>
      <c r="F221" s="1" t="s">
        <v>183</v>
      </c>
      <c r="G221" s="3">
        <v>6906</v>
      </c>
      <c r="H221" s="4">
        <v>261</v>
      </c>
      <c r="I221" s="5">
        <v>41436</v>
      </c>
      <c r="J221" s="5">
        <v>0</v>
      </c>
      <c r="K221" s="1" t="s">
        <v>36</v>
      </c>
      <c r="L221" s="1" t="s">
        <v>51</v>
      </c>
      <c r="M221" s="1" t="s">
        <v>247</v>
      </c>
      <c r="N221" s="3">
        <v>6906</v>
      </c>
      <c r="O221" s="6">
        <f>Table1[[#This Row],[Invoice Qty]]-Table1[[#This Row],[ExFactory Qty]]</f>
        <v>0</v>
      </c>
      <c r="P221" s="1" t="s">
        <v>852</v>
      </c>
      <c r="Q221" s="2">
        <v>46275.7800810185</v>
      </c>
      <c r="R221" s="2">
        <v>46284</v>
      </c>
      <c r="S221" s="1" t="s">
        <v>39</v>
      </c>
      <c r="U221" s="1" t="s">
        <v>40</v>
      </c>
      <c r="V221" s="1" t="s">
        <v>532</v>
      </c>
      <c r="W221" s="1" t="s">
        <v>40</v>
      </c>
      <c r="X221" s="1" t="s">
        <v>40</v>
      </c>
      <c r="AA221" s="1" t="s">
        <v>861</v>
      </c>
      <c r="AB221" s="2">
        <v>46275</v>
      </c>
      <c r="AC221" s="2">
        <v>46274</v>
      </c>
      <c r="AD221" s="2">
        <v>46276</v>
      </c>
      <c r="AE221" s="1" t="s">
        <v>862</v>
      </c>
      <c r="AF221" s="1" t="s">
        <v>167</v>
      </c>
    </row>
    <row r="222" spans="1:32" ht="12.75" hidden="1" customHeight="1" x14ac:dyDescent="0.2">
      <c r="A222" s="1" t="s">
        <v>30</v>
      </c>
      <c r="B222" s="1" t="s">
        <v>863</v>
      </c>
      <c r="C222" s="1" t="s">
        <v>199</v>
      </c>
      <c r="D222" s="1" t="s">
        <v>850</v>
      </c>
      <c r="E222" s="1" t="s">
        <v>864</v>
      </c>
      <c r="F222" s="1" t="s">
        <v>206</v>
      </c>
      <c r="G222" s="3">
        <v>2600</v>
      </c>
      <c r="H222" s="4">
        <v>100</v>
      </c>
      <c r="I222" s="5">
        <v>15600</v>
      </c>
      <c r="J222" s="5">
        <v>0</v>
      </c>
      <c r="K222" s="1" t="s">
        <v>36</v>
      </c>
      <c r="L222" s="1" t="s">
        <v>51</v>
      </c>
      <c r="M222" s="1" t="s">
        <v>247</v>
      </c>
      <c r="N222" s="3">
        <v>2600</v>
      </c>
      <c r="O222" s="6">
        <f>Table1[[#This Row],[Invoice Qty]]-Table1[[#This Row],[ExFactory Qty]]</f>
        <v>0</v>
      </c>
      <c r="P222" s="1" t="s">
        <v>852</v>
      </c>
      <c r="Q222" s="2">
        <v>46275.7800810185</v>
      </c>
      <c r="R222" s="2">
        <v>46282</v>
      </c>
      <c r="S222" s="1" t="s">
        <v>39</v>
      </c>
      <c r="U222" s="1" t="s">
        <v>40</v>
      </c>
      <c r="V222" s="1" t="s">
        <v>532</v>
      </c>
      <c r="W222" s="1" t="s">
        <v>40</v>
      </c>
      <c r="X222" s="1" t="s">
        <v>40</v>
      </c>
      <c r="AA222" s="1" t="s">
        <v>865</v>
      </c>
      <c r="AB222" s="2">
        <v>46275</v>
      </c>
      <c r="AC222" s="2">
        <v>46274</v>
      </c>
      <c r="AD222" s="2">
        <v>46276</v>
      </c>
      <c r="AE222" s="1" t="s">
        <v>866</v>
      </c>
      <c r="AF222" s="1" t="s">
        <v>167</v>
      </c>
    </row>
    <row r="223" spans="1:32" ht="12.75" hidden="1" customHeight="1" x14ac:dyDescent="0.2">
      <c r="A223" s="1" t="s">
        <v>30</v>
      </c>
      <c r="B223" s="1" t="s">
        <v>867</v>
      </c>
      <c r="C223" s="1" t="s">
        <v>244</v>
      </c>
      <c r="D223" s="1" t="s">
        <v>245</v>
      </c>
      <c r="E223" s="1" t="s">
        <v>868</v>
      </c>
      <c r="F223" s="1" t="s">
        <v>183</v>
      </c>
      <c r="G223" s="3">
        <v>2000</v>
      </c>
      <c r="H223" s="4">
        <v>50</v>
      </c>
      <c r="I223" s="5">
        <v>6207.5</v>
      </c>
      <c r="J223" s="5">
        <v>292.5</v>
      </c>
      <c r="K223" s="1" t="s">
        <v>36</v>
      </c>
      <c r="L223" s="1" t="s">
        <v>51</v>
      </c>
      <c r="M223" s="1" t="s">
        <v>247</v>
      </c>
      <c r="N223" s="3">
        <v>2000</v>
      </c>
      <c r="O223" s="6">
        <f>Table1[[#This Row],[Invoice Qty]]-Table1[[#This Row],[ExFactory Qty]]</f>
        <v>0</v>
      </c>
      <c r="P223" s="1" t="s">
        <v>869</v>
      </c>
      <c r="Q223" s="2">
        <v>46285.707604166702</v>
      </c>
      <c r="R223" s="2">
        <v>46294</v>
      </c>
      <c r="S223" s="1" t="s">
        <v>39</v>
      </c>
      <c r="U223" s="1" t="s">
        <v>40</v>
      </c>
      <c r="V223" s="1" t="s">
        <v>55</v>
      </c>
      <c r="W223" s="1" t="s">
        <v>40</v>
      </c>
      <c r="X223" s="1" t="s">
        <v>40</v>
      </c>
      <c r="AA223" s="1" t="s">
        <v>870</v>
      </c>
      <c r="AB223" s="2">
        <v>46275</v>
      </c>
      <c r="AC223" s="2">
        <v>46275</v>
      </c>
      <c r="AD223" s="2">
        <v>46287</v>
      </c>
      <c r="AE223" s="1" t="s">
        <v>871</v>
      </c>
      <c r="AF223" s="1" t="s">
        <v>174</v>
      </c>
    </row>
    <row r="224" spans="1:32" ht="12.75" hidden="1" customHeight="1" x14ac:dyDescent="0.2">
      <c r="A224" s="1" t="s">
        <v>30</v>
      </c>
      <c r="B224" s="1" t="s">
        <v>872</v>
      </c>
      <c r="C224" s="1" t="s">
        <v>244</v>
      </c>
      <c r="D224" s="1" t="s">
        <v>245</v>
      </c>
      <c r="E224" s="1" t="s">
        <v>868</v>
      </c>
      <c r="F224" s="1" t="s">
        <v>252</v>
      </c>
      <c r="G224" s="3">
        <v>3000</v>
      </c>
      <c r="H224" s="4">
        <v>75</v>
      </c>
      <c r="I224" s="5">
        <v>9311.25</v>
      </c>
      <c r="J224" s="5">
        <v>438.75</v>
      </c>
      <c r="K224" s="1" t="s">
        <v>36</v>
      </c>
      <c r="L224" s="1" t="s">
        <v>51</v>
      </c>
      <c r="M224" s="1" t="s">
        <v>247</v>
      </c>
      <c r="N224" s="3">
        <v>3000</v>
      </c>
      <c r="O224" s="6">
        <f>Table1[[#This Row],[Invoice Qty]]-Table1[[#This Row],[ExFactory Qty]]</f>
        <v>0</v>
      </c>
      <c r="P224" s="1" t="s">
        <v>869</v>
      </c>
      <c r="Q224" s="2">
        <v>46285.707604166702</v>
      </c>
      <c r="R224" s="2">
        <v>46294</v>
      </c>
      <c r="S224" s="1" t="s">
        <v>39</v>
      </c>
      <c r="U224" s="1" t="s">
        <v>40</v>
      </c>
      <c r="V224" s="1" t="s">
        <v>55</v>
      </c>
      <c r="W224" s="1" t="s">
        <v>40</v>
      </c>
      <c r="X224" s="1" t="s">
        <v>40</v>
      </c>
      <c r="AA224" s="1" t="s">
        <v>873</v>
      </c>
      <c r="AB224" s="2">
        <v>46275</v>
      </c>
      <c r="AC224" s="2">
        <v>46275</v>
      </c>
      <c r="AD224" s="2">
        <v>46287</v>
      </c>
      <c r="AE224" s="1" t="s">
        <v>874</v>
      </c>
      <c r="AF224" s="1" t="s">
        <v>174</v>
      </c>
    </row>
    <row r="225" spans="1:32" ht="12.75" hidden="1" customHeight="1" x14ac:dyDescent="0.2">
      <c r="A225" s="1" t="s">
        <v>30</v>
      </c>
      <c r="B225" s="1" t="s">
        <v>875</v>
      </c>
      <c r="C225" s="1" t="s">
        <v>244</v>
      </c>
      <c r="D225" s="1" t="s">
        <v>245</v>
      </c>
      <c r="E225" s="1" t="s">
        <v>868</v>
      </c>
      <c r="F225" s="1" t="s">
        <v>258</v>
      </c>
      <c r="G225" s="3">
        <v>5000</v>
      </c>
      <c r="H225" s="4">
        <v>125</v>
      </c>
      <c r="I225" s="5">
        <v>15518.75</v>
      </c>
      <c r="J225" s="5">
        <v>731.25</v>
      </c>
      <c r="K225" s="1" t="s">
        <v>36</v>
      </c>
      <c r="L225" s="1" t="s">
        <v>51</v>
      </c>
      <c r="M225" s="1" t="s">
        <v>247</v>
      </c>
      <c r="N225" s="3">
        <v>5000</v>
      </c>
      <c r="O225" s="6">
        <f>Table1[[#This Row],[Invoice Qty]]-Table1[[#This Row],[ExFactory Qty]]</f>
        <v>0</v>
      </c>
      <c r="P225" s="1" t="s">
        <v>869</v>
      </c>
      <c r="Q225" s="2">
        <v>46285.707604166702</v>
      </c>
      <c r="R225" s="2">
        <v>46294</v>
      </c>
      <c r="S225" s="1" t="s">
        <v>39</v>
      </c>
      <c r="U225" s="1" t="s">
        <v>40</v>
      </c>
      <c r="V225" s="1" t="s">
        <v>55</v>
      </c>
      <c r="W225" s="1" t="s">
        <v>40</v>
      </c>
      <c r="X225" s="1" t="s">
        <v>40</v>
      </c>
      <c r="AA225" s="1" t="s">
        <v>876</v>
      </c>
      <c r="AB225" s="2">
        <v>46275</v>
      </c>
      <c r="AC225" s="2">
        <v>46275</v>
      </c>
      <c r="AD225" s="2">
        <v>46287</v>
      </c>
      <c r="AE225" s="1" t="s">
        <v>877</v>
      </c>
      <c r="AF225" s="1" t="s">
        <v>174</v>
      </c>
    </row>
    <row r="226" spans="1:32" ht="12.75" hidden="1" customHeight="1" x14ac:dyDescent="0.2">
      <c r="A226" s="1" t="s">
        <v>30</v>
      </c>
      <c r="B226" s="1" t="s">
        <v>878</v>
      </c>
      <c r="C226" s="1" t="s">
        <v>244</v>
      </c>
      <c r="D226" s="1" t="s">
        <v>245</v>
      </c>
      <c r="E226" s="1" t="s">
        <v>868</v>
      </c>
      <c r="F226" s="1" t="s">
        <v>262</v>
      </c>
      <c r="G226" s="3">
        <v>1480</v>
      </c>
      <c r="H226" s="4">
        <v>37</v>
      </c>
      <c r="I226" s="5">
        <v>4593.55</v>
      </c>
      <c r="J226" s="5">
        <v>216.45</v>
      </c>
      <c r="K226" s="1" t="s">
        <v>36</v>
      </c>
      <c r="L226" s="1" t="s">
        <v>51</v>
      </c>
      <c r="M226" s="1" t="s">
        <v>247</v>
      </c>
      <c r="N226" s="3">
        <v>1480</v>
      </c>
      <c r="O226" s="6">
        <f>Table1[[#This Row],[Invoice Qty]]-Table1[[#This Row],[ExFactory Qty]]</f>
        <v>0</v>
      </c>
      <c r="P226" s="1" t="s">
        <v>879</v>
      </c>
      <c r="Q226" s="2">
        <v>46275.371979166703</v>
      </c>
      <c r="R226" s="2">
        <v>46283</v>
      </c>
      <c r="S226" s="1" t="s">
        <v>39</v>
      </c>
      <c r="U226" s="1" t="s">
        <v>40</v>
      </c>
      <c r="V226" s="1" t="s">
        <v>55</v>
      </c>
      <c r="W226" s="1" t="s">
        <v>40</v>
      </c>
      <c r="X226" s="1" t="s">
        <v>40</v>
      </c>
      <c r="AA226" s="1" t="s">
        <v>880</v>
      </c>
      <c r="AB226" s="2">
        <v>46275</v>
      </c>
      <c r="AC226" s="2">
        <v>46275</v>
      </c>
      <c r="AD226" s="2">
        <v>46277</v>
      </c>
      <c r="AE226" s="1" t="s">
        <v>881</v>
      </c>
      <c r="AF226" s="1" t="s">
        <v>174</v>
      </c>
    </row>
    <row r="227" spans="1:32" ht="12.75" hidden="1" customHeight="1" x14ac:dyDescent="0.2">
      <c r="A227" s="1" t="s">
        <v>30</v>
      </c>
      <c r="B227" s="1" t="s">
        <v>882</v>
      </c>
      <c r="C227" s="1" t="s">
        <v>199</v>
      </c>
      <c r="D227" s="1" t="s">
        <v>200</v>
      </c>
      <c r="E227" s="1" t="s">
        <v>883</v>
      </c>
      <c r="F227" s="1" t="s">
        <v>183</v>
      </c>
      <c r="G227" s="3">
        <v>665</v>
      </c>
      <c r="H227" s="4">
        <v>26</v>
      </c>
      <c r="I227" s="5">
        <v>4422.25</v>
      </c>
      <c r="J227" s="5">
        <v>0</v>
      </c>
      <c r="K227" s="1" t="s">
        <v>36</v>
      </c>
      <c r="L227" s="1" t="s">
        <v>51</v>
      </c>
      <c r="M227" s="1" t="s">
        <v>247</v>
      </c>
      <c r="N227" s="3">
        <v>665</v>
      </c>
      <c r="O227" s="6">
        <f>Table1[[#This Row],[Invoice Qty]]-Table1[[#This Row],[ExFactory Qty]]</f>
        <v>0</v>
      </c>
      <c r="P227" s="1" t="s">
        <v>884</v>
      </c>
      <c r="Q227" s="2">
        <v>46275.373958333301</v>
      </c>
      <c r="R227" s="2">
        <v>46279</v>
      </c>
      <c r="S227" s="1" t="s">
        <v>39</v>
      </c>
      <c r="U227" s="1" t="s">
        <v>40</v>
      </c>
      <c r="V227" s="1" t="s">
        <v>185</v>
      </c>
      <c r="W227" s="1" t="s">
        <v>40</v>
      </c>
      <c r="X227" s="1" t="s">
        <v>40</v>
      </c>
      <c r="AA227" s="1" t="s">
        <v>885</v>
      </c>
      <c r="AB227" s="2">
        <v>46275</v>
      </c>
      <c r="AC227" s="2">
        <v>46275</v>
      </c>
      <c r="AE227" s="1" t="s">
        <v>40</v>
      </c>
      <c r="AF227" s="1" t="s">
        <v>43</v>
      </c>
    </row>
    <row r="228" spans="1:32" ht="12.75" hidden="1" customHeight="1" x14ac:dyDescent="0.2">
      <c r="A228" s="1" t="s">
        <v>30</v>
      </c>
      <c r="B228" s="1" t="s">
        <v>886</v>
      </c>
      <c r="C228" s="1" t="s">
        <v>199</v>
      </c>
      <c r="D228" s="1" t="s">
        <v>200</v>
      </c>
      <c r="E228" s="1" t="s">
        <v>887</v>
      </c>
      <c r="F228" s="1" t="s">
        <v>206</v>
      </c>
      <c r="G228" s="3">
        <v>247</v>
      </c>
      <c r="H228" s="4">
        <v>10</v>
      </c>
      <c r="I228" s="5">
        <v>1642.55</v>
      </c>
      <c r="J228" s="5">
        <v>0</v>
      </c>
      <c r="K228" s="1" t="s">
        <v>36</v>
      </c>
      <c r="L228" s="1" t="s">
        <v>51</v>
      </c>
      <c r="M228" s="1" t="s">
        <v>247</v>
      </c>
      <c r="N228" s="3">
        <v>247</v>
      </c>
      <c r="O228" s="6">
        <f>Table1[[#This Row],[Invoice Qty]]-Table1[[#This Row],[ExFactory Qty]]</f>
        <v>0</v>
      </c>
      <c r="P228" s="1" t="s">
        <v>884</v>
      </c>
      <c r="Q228" s="2">
        <v>46275.373958333301</v>
      </c>
      <c r="R228" s="2">
        <v>46282</v>
      </c>
      <c r="S228" s="1" t="s">
        <v>39</v>
      </c>
      <c r="U228" s="1" t="s">
        <v>40</v>
      </c>
      <c r="V228" s="1" t="s">
        <v>185</v>
      </c>
      <c r="W228" s="1" t="s">
        <v>40</v>
      </c>
      <c r="X228" s="1" t="s">
        <v>40</v>
      </c>
      <c r="AA228" s="1" t="s">
        <v>888</v>
      </c>
      <c r="AB228" s="2">
        <v>46275</v>
      </c>
      <c r="AC228" s="2">
        <v>46275</v>
      </c>
      <c r="AE228" s="1" t="s">
        <v>40</v>
      </c>
      <c r="AF228" s="1" t="s">
        <v>43</v>
      </c>
    </row>
    <row r="229" spans="1:32" ht="12.75" hidden="1" customHeight="1" x14ac:dyDescent="0.2">
      <c r="A229" s="1" t="s">
        <v>86</v>
      </c>
      <c r="B229" s="1" t="s">
        <v>889</v>
      </c>
      <c r="C229" s="1" t="s">
        <v>32</v>
      </c>
      <c r="D229" s="1" t="s">
        <v>33</v>
      </c>
      <c r="E229" s="1" t="s">
        <v>890</v>
      </c>
      <c r="F229" s="1" t="s">
        <v>35</v>
      </c>
      <c r="G229" s="3">
        <v>1198</v>
      </c>
      <c r="H229" s="4">
        <v>43</v>
      </c>
      <c r="I229" s="5">
        <v>5510.8</v>
      </c>
      <c r="J229" s="5">
        <v>0</v>
      </c>
      <c r="K229" s="1" t="s">
        <v>36</v>
      </c>
      <c r="L229" s="1" t="s">
        <v>37</v>
      </c>
      <c r="M229" s="1" t="s">
        <v>37</v>
      </c>
      <c r="N229" s="3">
        <v>1198</v>
      </c>
      <c r="O229" s="6">
        <f>Table1[[#This Row],[Invoice Qty]]-Table1[[#This Row],[ExFactory Qty]]</f>
        <v>0</v>
      </c>
      <c r="P229" s="1" t="s">
        <v>891</v>
      </c>
      <c r="Q229" s="2">
        <v>46281.6567939815</v>
      </c>
      <c r="S229" s="1" t="s">
        <v>39</v>
      </c>
      <c r="U229" s="1" t="s">
        <v>40</v>
      </c>
      <c r="V229" s="1" t="s">
        <v>41</v>
      </c>
      <c r="W229" s="1" t="s">
        <v>40</v>
      </c>
      <c r="X229" s="1" t="s">
        <v>40</v>
      </c>
      <c r="AA229" s="1" t="s">
        <v>892</v>
      </c>
      <c r="AB229" s="2">
        <v>46281</v>
      </c>
      <c r="AC229" s="2">
        <v>46275</v>
      </c>
      <c r="AE229" s="1" t="s">
        <v>40</v>
      </c>
      <c r="AF229" s="1" t="s">
        <v>43</v>
      </c>
    </row>
    <row r="230" spans="1:32" ht="12.75" hidden="1" customHeight="1" x14ac:dyDescent="0.2">
      <c r="A230" s="1" t="s">
        <v>30</v>
      </c>
      <c r="B230" s="1" t="s">
        <v>893</v>
      </c>
      <c r="C230" s="1" t="s">
        <v>71</v>
      </c>
      <c r="D230" s="1" t="s">
        <v>72</v>
      </c>
      <c r="E230" s="1" t="s">
        <v>623</v>
      </c>
      <c r="F230" s="1" t="s">
        <v>350</v>
      </c>
      <c r="G230" s="3">
        <v>1000</v>
      </c>
      <c r="H230" s="4">
        <v>11</v>
      </c>
      <c r="I230" s="5">
        <v>3060</v>
      </c>
      <c r="J230" s="5">
        <v>0</v>
      </c>
      <c r="K230" s="1" t="s">
        <v>36</v>
      </c>
      <c r="L230" s="1" t="s">
        <v>75</v>
      </c>
      <c r="M230" s="1" t="s">
        <v>75</v>
      </c>
      <c r="N230" s="3">
        <v>1000</v>
      </c>
      <c r="O230" s="6">
        <f>Table1[[#This Row],[Invoice Qty]]-Table1[[#This Row],[ExFactory Qty]]</f>
        <v>0</v>
      </c>
      <c r="P230" s="1" t="s">
        <v>894</v>
      </c>
      <c r="Q230" s="2">
        <v>46275.524780092601</v>
      </c>
      <c r="R230" s="2">
        <v>46284</v>
      </c>
      <c r="S230" s="1" t="s">
        <v>39</v>
      </c>
      <c r="U230" s="1" t="s">
        <v>40</v>
      </c>
      <c r="V230" s="1" t="s">
        <v>77</v>
      </c>
      <c r="W230" s="1" t="s">
        <v>40</v>
      </c>
      <c r="X230" s="1" t="s">
        <v>40</v>
      </c>
      <c r="Z230" s="2">
        <v>46283</v>
      </c>
      <c r="AA230" s="1" t="s">
        <v>895</v>
      </c>
      <c r="AB230" s="2">
        <v>46271</v>
      </c>
      <c r="AC230" s="2">
        <v>46271</v>
      </c>
      <c r="AE230" s="1" t="s">
        <v>40</v>
      </c>
      <c r="AF230" s="1" t="s">
        <v>79</v>
      </c>
    </row>
    <row r="231" spans="1:32" ht="12.75" hidden="1" customHeight="1" x14ac:dyDescent="0.2">
      <c r="A231" s="1" t="s">
        <v>30</v>
      </c>
      <c r="B231" s="1" t="s">
        <v>896</v>
      </c>
      <c r="C231" s="1" t="s">
        <v>71</v>
      </c>
      <c r="D231" s="1" t="s">
        <v>72</v>
      </c>
      <c r="E231" s="1" t="s">
        <v>628</v>
      </c>
      <c r="F231" s="1" t="s">
        <v>350</v>
      </c>
      <c r="G231" s="3">
        <v>1000</v>
      </c>
      <c r="H231" s="4">
        <v>11</v>
      </c>
      <c r="I231" s="5">
        <v>2570</v>
      </c>
      <c r="J231" s="5">
        <v>0</v>
      </c>
      <c r="K231" s="1" t="s">
        <v>36</v>
      </c>
      <c r="L231" s="1" t="s">
        <v>75</v>
      </c>
      <c r="M231" s="1" t="s">
        <v>75</v>
      </c>
      <c r="N231" s="3">
        <v>1000</v>
      </c>
      <c r="O231" s="6">
        <f>Table1[[#This Row],[Invoice Qty]]-Table1[[#This Row],[ExFactory Qty]]</f>
        <v>0</v>
      </c>
      <c r="P231" s="1" t="s">
        <v>894</v>
      </c>
      <c r="Q231" s="2">
        <v>46275.524780092601</v>
      </c>
      <c r="R231" s="2">
        <v>46284</v>
      </c>
      <c r="S231" s="1" t="s">
        <v>39</v>
      </c>
      <c r="U231" s="1" t="s">
        <v>40</v>
      </c>
      <c r="V231" s="1" t="s">
        <v>77</v>
      </c>
      <c r="W231" s="1" t="s">
        <v>40</v>
      </c>
      <c r="X231" s="1" t="s">
        <v>40</v>
      </c>
      <c r="Z231" s="2">
        <v>46283</v>
      </c>
      <c r="AA231" s="1" t="s">
        <v>897</v>
      </c>
      <c r="AB231" s="2">
        <v>46271</v>
      </c>
      <c r="AC231" s="2">
        <v>46271</v>
      </c>
      <c r="AE231" s="1" t="s">
        <v>40</v>
      </c>
      <c r="AF231" s="1" t="s">
        <v>79</v>
      </c>
    </row>
    <row r="232" spans="1:32" ht="12.75" hidden="1" customHeight="1" x14ac:dyDescent="0.2">
      <c r="A232" s="1" t="s">
        <v>30</v>
      </c>
      <c r="B232" s="1" t="s">
        <v>898</v>
      </c>
      <c r="C232" s="1" t="s">
        <v>71</v>
      </c>
      <c r="D232" s="1" t="s">
        <v>899</v>
      </c>
      <c r="E232" s="1" t="s">
        <v>900</v>
      </c>
      <c r="F232" s="1" t="s">
        <v>361</v>
      </c>
      <c r="G232" s="3">
        <v>15</v>
      </c>
      <c r="H232" s="4">
        <v>1</v>
      </c>
      <c r="I232" s="5">
        <v>33.75</v>
      </c>
      <c r="J232" s="5">
        <v>0</v>
      </c>
      <c r="K232" s="1" t="s">
        <v>36</v>
      </c>
      <c r="L232" s="1" t="s">
        <v>75</v>
      </c>
      <c r="M232" s="1" t="s">
        <v>75</v>
      </c>
      <c r="N232" s="3">
        <v>15</v>
      </c>
      <c r="O232" s="6">
        <f>Table1[[#This Row],[Invoice Qty]]-Table1[[#This Row],[ExFactory Qty]]</f>
        <v>0</v>
      </c>
      <c r="P232" s="1" t="s">
        <v>901</v>
      </c>
      <c r="Q232" s="2">
        <v>46275.773333333302</v>
      </c>
      <c r="R232" s="2">
        <v>46286</v>
      </c>
      <c r="S232" s="1" t="s">
        <v>39</v>
      </c>
      <c r="U232" s="1" t="s">
        <v>40</v>
      </c>
      <c r="V232" s="1" t="s">
        <v>77</v>
      </c>
      <c r="W232" s="1" t="s">
        <v>40</v>
      </c>
      <c r="X232" s="1" t="s">
        <v>40</v>
      </c>
      <c r="Z232" s="2">
        <v>46283</v>
      </c>
      <c r="AA232" s="1" t="s">
        <v>902</v>
      </c>
      <c r="AB232" s="2">
        <v>46271</v>
      </c>
      <c r="AC232" s="2">
        <v>46271</v>
      </c>
      <c r="AE232" s="1" t="s">
        <v>40</v>
      </c>
      <c r="AF232" s="1" t="s">
        <v>326</v>
      </c>
    </row>
    <row r="233" spans="1:32" ht="12.75" hidden="1" customHeight="1" x14ac:dyDescent="0.2">
      <c r="A233" s="1" t="s">
        <v>30</v>
      </c>
      <c r="B233" s="1" t="s">
        <v>903</v>
      </c>
      <c r="C233" s="1" t="s">
        <v>71</v>
      </c>
      <c r="D233" s="1" t="s">
        <v>899</v>
      </c>
      <c r="E233" s="1" t="s">
        <v>904</v>
      </c>
      <c r="F233" s="1" t="s">
        <v>74</v>
      </c>
      <c r="G233" s="3">
        <v>59</v>
      </c>
      <c r="H233" s="4">
        <v>1</v>
      </c>
      <c r="I233" s="5">
        <v>132.75</v>
      </c>
      <c r="J233" s="5">
        <v>0</v>
      </c>
      <c r="K233" s="1" t="s">
        <v>36</v>
      </c>
      <c r="L233" s="1" t="s">
        <v>75</v>
      </c>
      <c r="M233" s="1" t="s">
        <v>75</v>
      </c>
      <c r="N233" s="3">
        <v>59</v>
      </c>
      <c r="O233" s="6">
        <f>Table1[[#This Row],[Invoice Qty]]-Table1[[#This Row],[ExFactory Qty]]</f>
        <v>0</v>
      </c>
      <c r="P233" s="1" t="s">
        <v>901</v>
      </c>
      <c r="Q233" s="2">
        <v>46275.773333333302</v>
      </c>
      <c r="R233" s="2">
        <v>46280</v>
      </c>
      <c r="S233" s="1" t="s">
        <v>39</v>
      </c>
      <c r="U233" s="1" t="s">
        <v>40</v>
      </c>
      <c r="V233" s="1" t="s">
        <v>77</v>
      </c>
      <c r="W233" s="1" t="s">
        <v>40</v>
      </c>
      <c r="X233" s="1" t="s">
        <v>40</v>
      </c>
      <c r="Z233" s="2">
        <v>46281</v>
      </c>
      <c r="AA233" s="1" t="s">
        <v>905</v>
      </c>
      <c r="AB233" s="2">
        <v>46271</v>
      </c>
      <c r="AC233" s="2">
        <v>46271</v>
      </c>
      <c r="AE233" s="1" t="s">
        <v>40</v>
      </c>
      <c r="AF233" s="1" t="s">
        <v>326</v>
      </c>
    </row>
    <row r="234" spans="1:32" ht="12.75" hidden="1" customHeight="1" x14ac:dyDescent="0.2">
      <c r="A234" s="1" t="s">
        <v>30</v>
      </c>
      <c r="B234" s="1" t="s">
        <v>906</v>
      </c>
      <c r="C234" s="1" t="s">
        <v>71</v>
      </c>
      <c r="D234" s="1" t="s">
        <v>899</v>
      </c>
      <c r="E234" s="1" t="s">
        <v>904</v>
      </c>
      <c r="F234" s="1" t="s">
        <v>74</v>
      </c>
      <c r="G234" s="3">
        <v>49</v>
      </c>
      <c r="H234" s="4">
        <v>1</v>
      </c>
      <c r="I234" s="5">
        <v>110.25</v>
      </c>
      <c r="J234" s="5">
        <v>0</v>
      </c>
      <c r="K234" s="1" t="s">
        <v>36</v>
      </c>
      <c r="L234" s="1" t="s">
        <v>75</v>
      </c>
      <c r="M234" s="1" t="s">
        <v>75</v>
      </c>
      <c r="N234" s="3">
        <v>49</v>
      </c>
      <c r="O234" s="6">
        <f>Table1[[#This Row],[Invoice Qty]]-Table1[[#This Row],[ExFactory Qty]]</f>
        <v>0</v>
      </c>
      <c r="P234" s="1" t="s">
        <v>901</v>
      </c>
      <c r="Q234" s="2">
        <v>46275.773333333302</v>
      </c>
      <c r="R234" s="2">
        <v>46280</v>
      </c>
      <c r="S234" s="1" t="s">
        <v>39</v>
      </c>
      <c r="U234" s="1" t="s">
        <v>40</v>
      </c>
      <c r="V234" s="1" t="s">
        <v>77</v>
      </c>
      <c r="W234" s="1" t="s">
        <v>40</v>
      </c>
      <c r="X234" s="1" t="s">
        <v>40</v>
      </c>
      <c r="Z234" s="2">
        <v>46283</v>
      </c>
      <c r="AA234" s="1" t="s">
        <v>907</v>
      </c>
      <c r="AB234" s="2">
        <v>46271</v>
      </c>
      <c r="AC234" s="2">
        <v>46271</v>
      </c>
      <c r="AE234" s="1" t="s">
        <v>40</v>
      </c>
      <c r="AF234" s="1" t="s">
        <v>326</v>
      </c>
    </row>
    <row r="235" spans="1:32" ht="12.75" hidden="1" customHeight="1" x14ac:dyDescent="0.2">
      <c r="A235" s="1" t="s">
        <v>30</v>
      </c>
      <c r="B235" s="1" t="s">
        <v>908</v>
      </c>
      <c r="C235" s="1" t="s">
        <v>71</v>
      </c>
      <c r="D235" s="1" t="s">
        <v>72</v>
      </c>
      <c r="E235" s="1" t="s">
        <v>909</v>
      </c>
      <c r="F235" s="1" t="s">
        <v>361</v>
      </c>
      <c r="G235" s="3">
        <v>89</v>
      </c>
      <c r="H235" s="4">
        <v>1</v>
      </c>
      <c r="I235" s="5">
        <v>283.02</v>
      </c>
      <c r="J235" s="5">
        <v>0</v>
      </c>
      <c r="K235" s="1" t="s">
        <v>36</v>
      </c>
      <c r="L235" s="1" t="s">
        <v>75</v>
      </c>
      <c r="M235" s="1" t="s">
        <v>75</v>
      </c>
      <c r="N235" s="3">
        <v>89</v>
      </c>
      <c r="O235" s="6">
        <f>Table1[[#This Row],[Invoice Qty]]-Table1[[#This Row],[ExFactory Qty]]</f>
        <v>0</v>
      </c>
      <c r="P235" s="1" t="s">
        <v>901</v>
      </c>
      <c r="Q235" s="2">
        <v>46275.773333333302</v>
      </c>
      <c r="R235" s="2">
        <v>46286</v>
      </c>
      <c r="S235" s="1" t="s">
        <v>39</v>
      </c>
      <c r="U235" s="1" t="s">
        <v>40</v>
      </c>
      <c r="V235" s="1" t="s">
        <v>77</v>
      </c>
      <c r="W235" s="1" t="s">
        <v>40</v>
      </c>
      <c r="X235" s="1" t="s">
        <v>40</v>
      </c>
      <c r="Z235" s="2">
        <v>46283</v>
      </c>
      <c r="AA235" s="1" t="s">
        <v>910</v>
      </c>
      <c r="AB235" s="2">
        <v>46271</v>
      </c>
      <c r="AC235" s="2">
        <v>46271</v>
      </c>
      <c r="AE235" s="1" t="s">
        <v>40</v>
      </c>
      <c r="AF235" s="1" t="s">
        <v>79</v>
      </c>
    </row>
    <row r="236" spans="1:32" ht="12.75" hidden="1" customHeight="1" x14ac:dyDescent="0.2">
      <c r="A236" s="1" t="s">
        <v>30</v>
      </c>
      <c r="B236" s="1" t="s">
        <v>911</v>
      </c>
      <c r="C236" s="1" t="s">
        <v>71</v>
      </c>
      <c r="D236" s="1" t="s">
        <v>72</v>
      </c>
      <c r="E236" s="1" t="s">
        <v>912</v>
      </c>
      <c r="F236" s="1" t="s">
        <v>337</v>
      </c>
      <c r="G236" s="3">
        <v>466</v>
      </c>
      <c r="H236" s="4">
        <v>7</v>
      </c>
      <c r="I236" s="5">
        <v>1342.08</v>
      </c>
      <c r="J236" s="5">
        <v>0</v>
      </c>
      <c r="K236" s="1" t="s">
        <v>36</v>
      </c>
      <c r="L236" s="1" t="s">
        <v>75</v>
      </c>
      <c r="M236" s="1" t="s">
        <v>75</v>
      </c>
      <c r="N236" s="3">
        <v>466</v>
      </c>
      <c r="O236" s="6">
        <f>Table1[[#This Row],[Invoice Qty]]-Table1[[#This Row],[ExFactory Qty]]</f>
        <v>0</v>
      </c>
      <c r="P236" s="1" t="s">
        <v>901</v>
      </c>
      <c r="Q236" s="2">
        <v>46275.773333333302</v>
      </c>
      <c r="R236" s="2">
        <v>46280</v>
      </c>
      <c r="S236" s="1" t="s">
        <v>39</v>
      </c>
      <c r="U236" s="1" t="s">
        <v>40</v>
      </c>
      <c r="V236" s="1" t="s">
        <v>77</v>
      </c>
      <c r="W236" s="1" t="s">
        <v>40</v>
      </c>
      <c r="X236" s="1" t="s">
        <v>40</v>
      </c>
      <c r="Z236" s="2">
        <v>46281</v>
      </c>
      <c r="AA236" s="1" t="s">
        <v>913</v>
      </c>
      <c r="AB236" s="2">
        <v>46271</v>
      </c>
      <c r="AC236" s="2">
        <v>46271</v>
      </c>
      <c r="AE236" s="1" t="s">
        <v>40</v>
      </c>
      <c r="AF236" s="1" t="s">
        <v>79</v>
      </c>
    </row>
    <row r="237" spans="1:32" ht="12.75" hidden="1" customHeight="1" x14ac:dyDescent="0.2">
      <c r="A237" s="1" t="s">
        <v>30</v>
      </c>
      <c r="B237" s="1" t="s">
        <v>914</v>
      </c>
      <c r="C237" s="1" t="s">
        <v>71</v>
      </c>
      <c r="D237" s="1" t="s">
        <v>72</v>
      </c>
      <c r="E237" s="1" t="s">
        <v>633</v>
      </c>
      <c r="F237" s="1" t="s">
        <v>350</v>
      </c>
      <c r="G237" s="3">
        <v>270</v>
      </c>
      <c r="H237" s="4">
        <v>5</v>
      </c>
      <c r="I237" s="5">
        <v>796.5</v>
      </c>
      <c r="J237" s="5">
        <v>0</v>
      </c>
      <c r="K237" s="1" t="s">
        <v>36</v>
      </c>
      <c r="L237" s="1" t="s">
        <v>75</v>
      </c>
      <c r="M237" s="1" t="s">
        <v>75</v>
      </c>
      <c r="N237" s="3">
        <v>270</v>
      </c>
      <c r="O237" s="6">
        <f>Table1[[#This Row],[Invoice Qty]]-Table1[[#This Row],[ExFactory Qty]]</f>
        <v>0</v>
      </c>
      <c r="P237" s="1" t="s">
        <v>894</v>
      </c>
      <c r="Q237" s="2">
        <v>46275.524780092601</v>
      </c>
      <c r="R237" s="2">
        <v>46284</v>
      </c>
      <c r="S237" s="1" t="s">
        <v>39</v>
      </c>
      <c r="U237" s="1" t="s">
        <v>40</v>
      </c>
      <c r="V237" s="1" t="s">
        <v>77</v>
      </c>
      <c r="W237" s="1" t="s">
        <v>40</v>
      </c>
      <c r="X237" s="1" t="s">
        <v>40</v>
      </c>
      <c r="Z237" s="2">
        <v>46283</v>
      </c>
      <c r="AA237" s="1" t="s">
        <v>915</v>
      </c>
      <c r="AB237" s="2">
        <v>46271</v>
      </c>
      <c r="AC237" s="2">
        <v>46271</v>
      </c>
      <c r="AE237" s="1" t="s">
        <v>40</v>
      </c>
      <c r="AF237" s="1" t="s">
        <v>79</v>
      </c>
    </row>
    <row r="238" spans="1:32" ht="12.75" hidden="1" customHeight="1" x14ac:dyDescent="0.2">
      <c r="A238" s="1" t="s">
        <v>30</v>
      </c>
      <c r="B238" s="1" t="s">
        <v>916</v>
      </c>
      <c r="C238" s="1" t="s">
        <v>71</v>
      </c>
      <c r="D238" s="1" t="s">
        <v>72</v>
      </c>
      <c r="E238" s="1" t="s">
        <v>360</v>
      </c>
      <c r="F238" s="1" t="s">
        <v>398</v>
      </c>
      <c r="G238" s="3">
        <v>619</v>
      </c>
      <c r="H238" s="4">
        <v>10</v>
      </c>
      <c r="I238" s="5">
        <v>2240.7800000000002</v>
      </c>
      <c r="J238" s="5">
        <v>0</v>
      </c>
      <c r="K238" s="1" t="s">
        <v>36</v>
      </c>
      <c r="L238" s="1" t="s">
        <v>75</v>
      </c>
      <c r="M238" s="1" t="s">
        <v>75</v>
      </c>
      <c r="N238" s="3">
        <v>619</v>
      </c>
      <c r="O238" s="6">
        <f>Table1[[#This Row],[Invoice Qty]]-Table1[[#This Row],[ExFactory Qty]]</f>
        <v>0</v>
      </c>
      <c r="P238" s="1" t="s">
        <v>894</v>
      </c>
      <c r="Q238" s="2">
        <v>46275.524780092601</v>
      </c>
      <c r="R238" s="2">
        <v>46286</v>
      </c>
      <c r="S238" s="1" t="s">
        <v>39</v>
      </c>
      <c r="U238" s="1" t="s">
        <v>40</v>
      </c>
      <c r="V238" s="1" t="s">
        <v>77</v>
      </c>
      <c r="W238" s="1" t="s">
        <v>40</v>
      </c>
      <c r="X238" s="1" t="s">
        <v>40</v>
      </c>
      <c r="Z238" s="2">
        <v>46281</v>
      </c>
      <c r="AA238" s="1" t="s">
        <v>917</v>
      </c>
      <c r="AB238" s="2">
        <v>46271</v>
      </c>
      <c r="AC238" s="2">
        <v>46271</v>
      </c>
      <c r="AE238" s="1" t="s">
        <v>40</v>
      </c>
      <c r="AF238" s="1" t="s">
        <v>79</v>
      </c>
    </row>
    <row r="239" spans="1:32" ht="12.75" hidden="1" customHeight="1" x14ac:dyDescent="0.2">
      <c r="A239" s="1" t="s">
        <v>30</v>
      </c>
      <c r="B239" s="1" t="s">
        <v>918</v>
      </c>
      <c r="C239" s="1" t="s">
        <v>71</v>
      </c>
      <c r="D239" s="1" t="s">
        <v>72</v>
      </c>
      <c r="E239" s="1" t="s">
        <v>360</v>
      </c>
      <c r="F239" s="1" t="s">
        <v>403</v>
      </c>
      <c r="G239" s="3">
        <v>86</v>
      </c>
      <c r="H239" s="4">
        <v>1</v>
      </c>
      <c r="I239" s="5">
        <v>311.32</v>
      </c>
      <c r="J239" s="5">
        <v>0</v>
      </c>
      <c r="K239" s="1" t="s">
        <v>36</v>
      </c>
      <c r="L239" s="1" t="s">
        <v>75</v>
      </c>
      <c r="M239" s="1" t="s">
        <v>75</v>
      </c>
      <c r="N239" s="3">
        <v>86</v>
      </c>
      <c r="O239" s="6">
        <f>Table1[[#This Row],[Invoice Qty]]-Table1[[#This Row],[ExFactory Qty]]</f>
        <v>0</v>
      </c>
      <c r="P239" s="1" t="s">
        <v>901</v>
      </c>
      <c r="Q239" s="2">
        <v>46275.773333333302</v>
      </c>
      <c r="R239" s="2">
        <v>46281</v>
      </c>
      <c r="S239" s="1" t="s">
        <v>39</v>
      </c>
      <c r="U239" s="1" t="s">
        <v>40</v>
      </c>
      <c r="V239" s="1" t="s">
        <v>77</v>
      </c>
      <c r="W239" s="1" t="s">
        <v>40</v>
      </c>
      <c r="X239" s="1" t="s">
        <v>40</v>
      </c>
      <c r="Z239" s="2">
        <v>46283</v>
      </c>
      <c r="AA239" s="1" t="s">
        <v>919</v>
      </c>
      <c r="AB239" s="2">
        <v>46271</v>
      </c>
      <c r="AC239" s="2">
        <v>46271</v>
      </c>
      <c r="AE239" s="1" t="s">
        <v>40</v>
      </c>
      <c r="AF239" s="1" t="s">
        <v>79</v>
      </c>
    </row>
    <row r="240" spans="1:32" ht="12.75" hidden="1" customHeight="1" x14ac:dyDescent="0.2">
      <c r="A240" s="1" t="s">
        <v>30</v>
      </c>
      <c r="B240" s="1" t="s">
        <v>920</v>
      </c>
      <c r="C240" s="1" t="s">
        <v>71</v>
      </c>
      <c r="D240" s="1" t="s">
        <v>365</v>
      </c>
      <c r="E240" s="1" t="s">
        <v>639</v>
      </c>
      <c r="F240" s="1" t="s">
        <v>445</v>
      </c>
      <c r="G240" s="3">
        <v>20</v>
      </c>
      <c r="H240" s="4">
        <v>1</v>
      </c>
      <c r="I240" s="5">
        <v>115.2</v>
      </c>
      <c r="J240" s="5">
        <v>0</v>
      </c>
      <c r="K240" s="1" t="s">
        <v>36</v>
      </c>
      <c r="L240" s="1" t="s">
        <v>75</v>
      </c>
      <c r="M240" s="1" t="s">
        <v>75</v>
      </c>
      <c r="N240" s="3">
        <v>20</v>
      </c>
      <c r="O240" s="6">
        <f>Table1[[#This Row],[Invoice Qty]]-Table1[[#This Row],[ExFactory Qty]]</f>
        <v>0</v>
      </c>
      <c r="P240" s="1" t="s">
        <v>894</v>
      </c>
      <c r="Q240" s="2">
        <v>46275.524780092601</v>
      </c>
      <c r="R240" s="2">
        <v>46281</v>
      </c>
      <c r="S240" s="1" t="s">
        <v>39</v>
      </c>
      <c r="U240" s="1" t="s">
        <v>40</v>
      </c>
      <c r="V240" s="1" t="s">
        <v>77</v>
      </c>
      <c r="W240" s="1" t="s">
        <v>40</v>
      </c>
      <c r="X240" s="1" t="s">
        <v>40</v>
      </c>
      <c r="Z240" s="2">
        <v>46283</v>
      </c>
      <c r="AA240" s="1" t="s">
        <v>921</v>
      </c>
      <c r="AB240" s="2">
        <v>46271</v>
      </c>
      <c r="AC240" s="2">
        <v>46271</v>
      </c>
      <c r="AE240" s="1" t="s">
        <v>40</v>
      </c>
      <c r="AF240" s="1" t="s">
        <v>40</v>
      </c>
    </row>
    <row r="241" spans="1:32" ht="12.75" hidden="1" customHeight="1" x14ac:dyDescent="0.2">
      <c r="A241" s="1" t="s">
        <v>30</v>
      </c>
      <c r="B241" s="1" t="s">
        <v>922</v>
      </c>
      <c r="C241" s="1" t="s">
        <v>71</v>
      </c>
      <c r="D241" s="1" t="s">
        <v>323</v>
      </c>
      <c r="E241" s="1" t="s">
        <v>923</v>
      </c>
      <c r="F241" s="1" t="s">
        <v>350</v>
      </c>
      <c r="G241" s="3">
        <v>189</v>
      </c>
      <c r="H241" s="4">
        <v>5</v>
      </c>
      <c r="I241" s="5">
        <v>886.41</v>
      </c>
      <c r="J241" s="5">
        <v>0</v>
      </c>
      <c r="K241" s="1" t="s">
        <v>36</v>
      </c>
      <c r="L241" s="1" t="s">
        <v>75</v>
      </c>
      <c r="M241" s="1" t="s">
        <v>75</v>
      </c>
      <c r="N241" s="3">
        <v>189</v>
      </c>
      <c r="O241" s="6">
        <f>Table1[[#This Row],[Invoice Qty]]-Table1[[#This Row],[ExFactory Qty]]</f>
        <v>0</v>
      </c>
      <c r="P241" s="1" t="s">
        <v>894</v>
      </c>
      <c r="Q241" s="2">
        <v>46275.524780092601</v>
      </c>
      <c r="R241" s="2">
        <v>46284</v>
      </c>
      <c r="S241" s="1" t="s">
        <v>39</v>
      </c>
      <c r="U241" s="1" t="s">
        <v>40</v>
      </c>
      <c r="V241" s="1" t="s">
        <v>77</v>
      </c>
      <c r="W241" s="1" t="s">
        <v>40</v>
      </c>
      <c r="X241" s="1" t="s">
        <v>40</v>
      </c>
      <c r="Z241" s="2">
        <v>46283</v>
      </c>
      <c r="AA241" s="1" t="s">
        <v>924</v>
      </c>
      <c r="AB241" s="2">
        <v>46271</v>
      </c>
      <c r="AC241" s="2">
        <v>46271</v>
      </c>
      <c r="AE241" s="1" t="s">
        <v>40</v>
      </c>
      <c r="AF241" s="1" t="s">
        <v>326</v>
      </c>
    </row>
    <row r="242" spans="1:32" ht="12.75" hidden="1" customHeight="1" x14ac:dyDescent="0.2">
      <c r="A242" s="1" t="s">
        <v>30</v>
      </c>
      <c r="B242" s="1" t="s">
        <v>925</v>
      </c>
      <c r="C242" s="1" t="s">
        <v>71</v>
      </c>
      <c r="D242" s="1" t="s">
        <v>323</v>
      </c>
      <c r="E242" s="1" t="s">
        <v>926</v>
      </c>
      <c r="F242" s="1" t="s">
        <v>445</v>
      </c>
      <c r="G242" s="3">
        <v>107</v>
      </c>
      <c r="H242" s="4">
        <v>2</v>
      </c>
      <c r="I242" s="5">
        <v>365.94</v>
      </c>
      <c r="J242" s="5">
        <v>0</v>
      </c>
      <c r="K242" s="1" t="s">
        <v>36</v>
      </c>
      <c r="L242" s="1" t="s">
        <v>75</v>
      </c>
      <c r="M242" s="1" t="s">
        <v>75</v>
      </c>
      <c r="N242" s="3">
        <v>107</v>
      </c>
      <c r="O242" s="6">
        <f>Table1[[#This Row],[Invoice Qty]]-Table1[[#This Row],[ExFactory Qty]]</f>
        <v>0</v>
      </c>
      <c r="P242" s="1" t="s">
        <v>894</v>
      </c>
      <c r="Q242" s="2">
        <v>46275.524780092601</v>
      </c>
      <c r="R242" s="2">
        <v>46281</v>
      </c>
      <c r="S242" s="1" t="s">
        <v>39</v>
      </c>
      <c r="U242" s="1" t="s">
        <v>40</v>
      </c>
      <c r="V242" s="1" t="s">
        <v>77</v>
      </c>
      <c r="W242" s="1" t="s">
        <v>40</v>
      </c>
      <c r="X242" s="1" t="s">
        <v>40</v>
      </c>
      <c r="Z242" s="2">
        <v>46283</v>
      </c>
      <c r="AA242" s="1" t="s">
        <v>927</v>
      </c>
      <c r="AB242" s="2">
        <v>46271</v>
      </c>
      <c r="AC242" s="2">
        <v>46271</v>
      </c>
      <c r="AE242" s="1" t="s">
        <v>40</v>
      </c>
      <c r="AF242" s="1" t="s">
        <v>326</v>
      </c>
    </row>
    <row r="243" spans="1:32" ht="12.75" hidden="1" customHeight="1" x14ac:dyDescent="0.2">
      <c r="A243" s="1" t="s">
        <v>30</v>
      </c>
      <c r="B243" s="1" t="s">
        <v>928</v>
      </c>
      <c r="C243" s="1" t="s">
        <v>71</v>
      </c>
      <c r="D243" s="1" t="s">
        <v>348</v>
      </c>
      <c r="E243" s="1" t="s">
        <v>929</v>
      </c>
      <c r="F243" s="1" t="s">
        <v>445</v>
      </c>
      <c r="G243" s="3">
        <v>67</v>
      </c>
      <c r="H243" s="4">
        <v>2</v>
      </c>
      <c r="I243" s="5">
        <v>409.37</v>
      </c>
      <c r="J243" s="5">
        <v>0</v>
      </c>
      <c r="K243" s="1" t="s">
        <v>36</v>
      </c>
      <c r="L243" s="1" t="s">
        <v>75</v>
      </c>
      <c r="M243" s="1" t="s">
        <v>75</v>
      </c>
      <c r="N243" s="3">
        <v>67</v>
      </c>
      <c r="O243" s="6">
        <f>Table1[[#This Row],[Invoice Qty]]-Table1[[#This Row],[ExFactory Qty]]</f>
        <v>0</v>
      </c>
      <c r="P243" s="1" t="s">
        <v>894</v>
      </c>
      <c r="Q243" s="2">
        <v>46275.524780092601</v>
      </c>
      <c r="R243" s="2">
        <v>46281</v>
      </c>
      <c r="S243" s="1" t="s">
        <v>39</v>
      </c>
      <c r="U243" s="1" t="s">
        <v>40</v>
      </c>
      <c r="V243" s="1" t="s">
        <v>77</v>
      </c>
      <c r="W243" s="1" t="s">
        <v>40</v>
      </c>
      <c r="X243" s="1" t="s">
        <v>40</v>
      </c>
      <c r="Z243" s="2">
        <v>46283</v>
      </c>
      <c r="AA243" s="1" t="s">
        <v>930</v>
      </c>
      <c r="AB243" s="2">
        <v>46271</v>
      </c>
      <c r="AC243" s="2">
        <v>46271</v>
      </c>
      <c r="AE243" s="1" t="s">
        <v>40</v>
      </c>
      <c r="AF243" s="1" t="s">
        <v>326</v>
      </c>
    </row>
    <row r="244" spans="1:32" ht="12.75" hidden="1" customHeight="1" x14ac:dyDescent="0.2">
      <c r="A244" s="1" t="s">
        <v>30</v>
      </c>
      <c r="B244" s="1" t="s">
        <v>931</v>
      </c>
      <c r="C244" s="1" t="s">
        <v>71</v>
      </c>
      <c r="D244" s="1" t="s">
        <v>323</v>
      </c>
      <c r="E244" s="1" t="s">
        <v>932</v>
      </c>
      <c r="F244" s="1" t="s">
        <v>445</v>
      </c>
      <c r="G244" s="3">
        <v>119</v>
      </c>
      <c r="H244" s="4">
        <v>2</v>
      </c>
      <c r="I244" s="5">
        <v>384.37</v>
      </c>
      <c r="J244" s="5">
        <v>0</v>
      </c>
      <c r="K244" s="1" t="s">
        <v>36</v>
      </c>
      <c r="L244" s="1" t="s">
        <v>75</v>
      </c>
      <c r="M244" s="1" t="s">
        <v>75</v>
      </c>
      <c r="N244" s="3">
        <v>119</v>
      </c>
      <c r="O244" s="6">
        <f>Table1[[#This Row],[Invoice Qty]]-Table1[[#This Row],[ExFactory Qty]]</f>
        <v>0</v>
      </c>
      <c r="P244" s="1" t="s">
        <v>894</v>
      </c>
      <c r="Q244" s="2">
        <v>46275.524780092601</v>
      </c>
      <c r="R244" s="2">
        <v>46281</v>
      </c>
      <c r="S244" s="1" t="s">
        <v>39</v>
      </c>
      <c r="U244" s="1" t="s">
        <v>40</v>
      </c>
      <c r="V244" s="1" t="s">
        <v>77</v>
      </c>
      <c r="W244" s="1" t="s">
        <v>40</v>
      </c>
      <c r="X244" s="1" t="s">
        <v>40</v>
      </c>
      <c r="Z244" s="2">
        <v>46283</v>
      </c>
      <c r="AA244" s="1" t="s">
        <v>933</v>
      </c>
      <c r="AB244" s="2">
        <v>46271</v>
      </c>
      <c r="AC244" s="2">
        <v>46271</v>
      </c>
      <c r="AE244" s="1" t="s">
        <v>40</v>
      </c>
      <c r="AF244" s="1" t="s">
        <v>326</v>
      </c>
    </row>
    <row r="245" spans="1:32" ht="12.75" hidden="1" customHeight="1" x14ac:dyDescent="0.2">
      <c r="A245" s="1" t="s">
        <v>30</v>
      </c>
      <c r="B245" s="1" t="s">
        <v>934</v>
      </c>
      <c r="C245" s="1" t="s">
        <v>71</v>
      </c>
      <c r="D245" s="1" t="s">
        <v>323</v>
      </c>
      <c r="E245" s="1" t="s">
        <v>935</v>
      </c>
      <c r="F245" s="1" t="s">
        <v>74</v>
      </c>
      <c r="G245" s="3">
        <v>200</v>
      </c>
      <c r="H245" s="4">
        <v>4</v>
      </c>
      <c r="I245" s="5">
        <v>684</v>
      </c>
      <c r="J245" s="5">
        <v>0</v>
      </c>
      <c r="K245" s="1" t="s">
        <v>36</v>
      </c>
      <c r="L245" s="1" t="s">
        <v>75</v>
      </c>
      <c r="M245" s="1" t="s">
        <v>75</v>
      </c>
      <c r="N245" s="3">
        <v>200</v>
      </c>
      <c r="O245" s="6">
        <f>Table1[[#This Row],[Invoice Qty]]-Table1[[#This Row],[ExFactory Qty]]</f>
        <v>0</v>
      </c>
      <c r="P245" s="1" t="s">
        <v>901</v>
      </c>
      <c r="Q245" s="2">
        <v>46275.773333333302</v>
      </c>
      <c r="R245" s="2">
        <v>46280</v>
      </c>
      <c r="S245" s="1" t="s">
        <v>39</v>
      </c>
      <c r="U245" s="1" t="s">
        <v>40</v>
      </c>
      <c r="V245" s="1" t="s">
        <v>77</v>
      </c>
      <c r="W245" s="1" t="s">
        <v>40</v>
      </c>
      <c r="X245" s="1" t="s">
        <v>40</v>
      </c>
      <c r="Z245" s="2">
        <v>46283</v>
      </c>
      <c r="AA245" s="1" t="s">
        <v>936</v>
      </c>
      <c r="AB245" s="2">
        <v>46271</v>
      </c>
      <c r="AC245" s="2">
        <v>46271</v>
      </c>
      <c r="AE245" s="1" t="s">
        <v>40</v>
      </c>
      <c r="AF245" s="1" t="s">
        <v>326</v>
      </c>
    </row>
    <row r="246" spans="1:32" ht="12.75" hidden="1" customHeight="1" x14ac:dyDescent="0.2">
      <c r="A246" s="1" t="s">
        <v>30</v>
      </c>
      <c r="B246" s="1" t="s">
        <v>937</v>
      </c>
      <c r="C246" s="1" t="s">
        <v>71</v>
      </c>
      <c r="D246" s="1" t="s">
        <v>365</v>
      </c>
      <c r="E246" s="1" t="s">
        <v>381</v>
      </c>
      <c r="F246" s="1" t="s">
        <v>367</v>
      </c>
      <c r="G246" s="3">
        <v>91</v>
      </c>
      <c r="H246" s="4">
        <v>1</v>
      </c>
      <c r="I246" s="5">
        <v>524.16</v>
      </c>
      <c r="J246" s="5">
        <v>0</v>
      </c>
      <c r="K246" s="1" t="s">
        <v>36</v>
      </c>
      <c r="L246" s="1" t="s">
        <v>75</v>
      </c>
      <c r="M246" s="1" t="s">
        <v>75</v>
      </c>
      <c r="N246" s="3">
        <v>91</v>
      </c>
      <c r="O246" s="6">
        <f>Table1[[#This Row],[Invoice Qty]]-Table1[[#This Row],[ExFactory Qty]]</f>
        <v>0</v>
      </c>
      <c r="P246" s="1" t="s">
        <v>938</v>
      </c>
      <c r="Q246" s="2">
        <v>46275.676249999997</v>
      </c>
      <c r="R246" s="2">
        <v>46280</v>
      </c>
      <c r="S246" s="1" t="s">
        <v>39</v>
      </c>
      <c r="U246" s="1" t="s">
        <v>40</v>
      </c>
      <c r="V246" s="1" t="s">
        <v>77</v>
      </c>
      <c r="W246" s="1" t="s">
        <v>40</v>
      </c>
      <c r="X246" s="1" t="s">
        <v>40</v>
      </c>
      <c r="Z246" s="2">
        <v>46282</v>
      </c>
      <c r="AA246" s="1" t="s">
        <v>939</v>
      </c>
      <c r="AB246" s="2">
        <v>46271</v>
      </c>
      <c r="AC246" s="2">
        <v>46271</v>
      </c>
      <c r="AE246" s="1" t="s">
        <v>40</v>
      </c>
      <c r="AF246" s="1" t="s">
        <v>40</v>
      </c>
    </row>
    <row r="247" spans="1:32" ht="12.75" hidden="1" customHeight="1" x14ac:dyDescent="0.2">
      <c r="A247" s="1" t="s">
        <v>30</v>
      </c>
      <c r="B247" s="1" t="s">
        <v>940</v>
      </c>
      <c r="C247" s="1" t="s">
        <v>71</v>
      </c>
      <c r="D247" s="1" t="s">
        <v>72</v>
      </c>
      <c r="E247" s="1" t="s">
        <v>657</v>
      </c>
      <c r="F247" s="1" t="s">
        <v>341</v>
      </c>
      <c r="G247" s="3">
        <v>125</v>
      </c>
      <c r="H247" s="4">
        <v>2</v>
      </c>
      <c r="I247" s="5">
        <v>348.75</v>
      </c>
      <c r="J247" s="5">
        <v>0</v>
      </c>
      <c r="K247" s="1" t="s">
        <v>36</v>
      </c>
      <c r="L247" s="1" t="s">
        <v>75</v>
      </c>
      <c r="M247" s="1" t="s">
        <v>75</v>
      </c>
      <c r="N247" s="3">
        <v>125</v>
      </c>
      <c r="O247" s="6">
        <f>Table1[[#This Row],[Invoice Qty]]-Table1[[#This Row],[ExFactory Qty]]</f>
        <v>0</v>
      </c>
      <c r="P247" s="1" t="s">
        <v>894</v>
      </c>
      <c r="Q247" s="2">
        <v>46275.524780092601</v>
      </c>
      <c r="R247" s="2">
        <v>46283</v>
      </c>
      <c r="S247" s="1" t="s">
        <v>39</v>
      </c>
      <c r="U247" s="1" t="s">
        <v>40</v>
      </c>
      <c r="V247" s="1" t="s">
        <v>77</v>
      </c>
      <c r="W247" s="1" t="s">
        <v>40</v>
      </c>
      <c r="X247" s="1" t="s">
        <v>40</v>
      </c>
      <c r="Z247" s="2">
        <v>46283</v>
      </c>
      <c r="AA247" s="1" t="s">
        <v>941</v>
      </c>
      <c r="AB247" s="2">
        <v>46271</v>
      </c>
      <c r="AC247" s="2">
        <v>46271</v>
      </c>
      <c r="AE247" s="1" t="s">
        <v>40</v>
      </c>
      <c r="AF247" s="1" t="s">
        <v>79</v>
      </c>
    </row>
    <row r="248" spans="1:32" ht="12.75" hidden="1" customHeight="1" x14ac:dyDescent="0.2">
      <c r="A248" s="1" t="s">
        <v>30</v>
      </c>
      <c r="B248" s="1" t="s">
        <v>942</v>
      </c>
      <c r="C248" s="1" t="s">
        <v>71</v>
      </c>
      <c r="D248" s="1" t="s">
        <v>72</v>
      </c>
      <c r="E248" s="1" t="s">
        <v>657</v>
      </c>
      <c r="F248" s="1" t="s">
        <v>367</v>
      </c>
      <c r="G248" s="3">
        <v>133</v>
      </c>
      <c r="H248" s="4">
        <v>2</v>
      </c>
      <c r="I248" s="5">
        <v>367.08</v>
      </c>
      <c r="J248" s="5">
        <v>0</v>
      </c>
      <c r="K248" s="1" t="s">
        <v>36</v>
      </c>
      <c r="L248" s="1" t="s">
        <v>75</v>
      </c>
      <c r="M248" s="1" t="s">
        <v>75</v>
      </c>
      <c r="N248" s="3">
        <v>133</v>
      </c>
      <c r="O248" s="6">
        <f>Table1[[#This Row],[Invoice Qty]]-Table1[[#This Row],[ExFactory Qty]]</f>
        <v>0</v>
      </c>
      <c r="P248" s="1" t="s">
        <v>938</v>
      </c>
      <c r="Q248" s="2">
        <v>46275.676249999997</v>
      </c>
      <c r="R248" s="2">
        <v>46280</v>
      </c>
      <c r="S248" s="1" t="s">
        <v>39</v>
      </c>
      <c r="U248" s="1" t="s">
        <v>40</v>
      </c>
      <c r="V248" s="1" t="s">
        <v>77</v>
      </c>
      <c r="W248" s="1" t="s">
        <v>40</v>
      </c>
      <c r="X248" s="1" t="s">
        <v>40</v>
      </c>
      <c r="Z248" s="2">
        <v>46282</v>
      </c>
      <c r="AA248" s="1" t="s">
        <v>943</v>
      </c>
      <c r="AB248" s="2">
        <v>46271</v>
      </c>
      <c r="AC248" s="2">
        <v>46271</v>
      </c>
      <c r="AE248" s="1" t="s">
        <v>40</v>
      </c>
      <c r="AF248" s="1" t="s">
        <v>79</v>
      </c>
    </row>
    <row r="249" spans="1:32" ht="12.75" hidden="1" customHeight="1" x14ac:dyDescent="0.2">
      <c r="A249" s="1" t="s">
        <v>30</v>
      </c>
      <c r="B249" s="1" t="s">
        <v>944</v>
      </c>
      <c r="C249" s="1" t="s">
        <v>71</v>
      </c>
      <c r="D249" s="1" t="s">
        <v>72</v>
      </c>
      <c r="E249" s="1" t="s">
        <v>657</v>
      </c>
      <c r="F249" s="1" t="s">
        <v>345</v>
      </c>
      <c r="G249" s="3">
        <v>997</v>
      </c>
      <c r="H249" s="4">
        <v>13</v>
      </c>
      <c r="I249" s="5">
        <v>2781.63</v>
      </c>
      <c r="J249" s="5">
        <v>0</v>
      </c>
      <c r="K249" s="1" t="s">
        <v>36</v>
      </c>
      <c r="L249" s="1" t="s">
        <v>75</v>
      </c>
      <c r="M249" s="1" t="s">
        <v>75</v>
      </c>
      <c r="N249" s="3">
        <v>997</v>
      </c>
      <c r="O249" s="6">
        <f>Table1[[#This Row],[Invoice Qty]]-Table1[[#This Row],[ExFactory Qty]]</f>
        <v>0</v>
      </c>
      <c r="P249" s="1" t="s">
        <v>894</v>
      </c>
      <c r="Q249" s="2">
        <v>46275.524780092601</v>
      </c>
      <c r="R249" s="2">
        <v>46280</v>
      </c>
      <c r="S249" s="1" t="s">
        <v>39</v>
      </c>
      <c r="U249" s="1" t="s">
        <v>40</v>
      </c>
      <c r="V249" s="1" t="s">
        <v>77</v>
      </c>
      <c r="W249" s="1" t="s">
        <v>40</v>
      </c>
      <c r="X249" s="1" t="s">
        <v>40</v>
      </c>
      <c r="Z249" s="2">
        <v>46281</v>
      </c>
      <c r="AA249" s="1" t="s">
        <v>945</v>
      </c>
      <c r="AB249" s="2">
        <v>46271</v>
      </c>
      <c r="AC249" s="2">
        <v>46271</v>
      </c>
      <c r="AE249" s="1" t="s">
        <v>40</v>
      </c>
      <c r="AF249" s="1" t="s">
        <v>79</v>
      </c>
    </row>
    <row r="250" spans="1:32" ht="12.75" hidden="1" customHeight="1" x14ac:dyDescent="0.2">
      <c r="A250" s="1" t="s">
        <v>30</v>
      </c>
      <c r="B250" s="1" t="s">
        <v>946</v>
      </c>
      <c r="C250" s="1" t="s">
        <v>71</v>
      </c>
      <c r="D250" s="1" t="s">
        <v>72</v>
      </c>
      <c r="E250" s="1" t="s">
        <v>947</v>
      </c>
      <c r="F250" s="1" t="s">
        <v>445</v>
      </c>
      <c r="G250" s="3">
        <v>309</v>
      </c>
      <c r="H250" s="4">
        <v>3</v>
      </c>
      <c r="I250" s="5">
        <v>862.11</v>
      </c>
      <c r="J250" s="5">
        <v>0</v>
      </c>
      <c r="K250" s="1" t="s">
        <v>36</v>
      </c>
      <c r="L250" s="1" t="s">
        <v>75</v>
      </c>
      <c r="M250" s="1" t="s">
        <v>75</v>
      </c>
      <c r="N250" s="3">
        <v>309</v>
      </c>
      <c r="O250" s="6">
        <f>Table1[[#This Row],[Invoice Qty]]-Table1[[#This Row],[ExFactory Qty]]</f>
        <v>0</v>
      </c>
      <c r="P250" s="1" t="s">
        <v>894</v>
      </c>
      <c r="Q250" s="2">
        <v>46275.524780092601</v>
      </c>
      <c r="R250" s="2">
        <v>46281</v>
      </c>
      <c r="S250" s="1" t="s">
        <v>39</v>
      </c>
      <c r="U250" s="1" t="s">
        <v>40</v>
      </c>
      <c r="V250" s="1" t="s">
        <v>77</v>
      </c>
      <c r="W250" s="1" t="s">
        <v>40</v>
      </c>
      <c r="X250" s="1" t="s">
        <v>40</v>
      </c>
      <c r="Z250" s="2">
        <v>46283</v>
      </c>
      <c r="AA250" s="1" t="s">
        <v>948</v>
      </c>
      <c r="AB250" s="2">
        <v>46271</v>
      </c>
      <c r="AC250" s="2">
        <v>46271</v>
      </c>
      <c r="AE250" s="1" t="s">
        <v>40</v>
      </c>
      <c r="AF250" s="1" t="s">
        <v>79</v>
      </c>
    </row>
    <row r="251" spans="1:32" ht="12.75" hidden="1" customHeight="1" x14ac:dyDescent="0.2">
      <c r="A251" s="1" t="s">
        <v>30</v>
      </c>
      <c r="B251" s="1" t="s">
        <v>949</v>
      </c>
      <c r="C251" s="1" t="s">
        <v>71</v>
      </c>
      <c r="D251" s="1" t="s">
        <v>72</v>
      </c>
      <c r="E251" s="1" t="s">
        <v>950</v>
      </c>
      <c r="F251" s="1" t="s">
        <v>445</v>
      </c>
      <c r="G251" s="3">
        <v>362</v>
      </c>
      <c r="H251" s="4">
        <v>5</v>
      </c>
      <c r="I251" s="5">
        <v>1009.98</v>
      </c>
      <c r="J251" s="5">
        <v>0</v>
      </c>
      <c r="K251" s="1" t="s">
        <v>36</v>
      </c>
      <c r="L251" s="1" t="s">
        <v>75</v>
      </c>
      <c r="M251" s="1" t="s">
        <v>75</v>
      </c>
      <c r="N251" s="3">
        <v>362</v>
      </c>
      <c r="O251" s="6">
        <f>Table1[[#This Row],[Invoice Qty]]-Table1[[#This Row],[ExFactory Qty]]</f>
        <v>0</v>
      </c>
      <c r="P251" s="1" t="s">
        <v>894</v>
      </c>
      <c r="Q251" s="2">
        <v>46275.524780092601</v>
      </c>
      <c r="R251" s="2">
        <v>46281</v>
      </c>
      <c r="S251" s="1" t="s">
        <v>39</v>
      </c>
      <c r="U251" s="1" t="s">
        <v>40</v>
      </c>
      <c r="V251" s="1" t="s">
        <v>77</v>
      </c>
      <c r="W251" s="1" t="s">
        <v>40</v>
      </c>
      <c r="X251" s="1" t="s">
        <v>40</v>
      </c>
      <c r="Z251" s="2">
        <v>46283</v>
      </c>
      <c r="AA251" s="1" t="s">
        <v>951</v>
      </c>
      <c r="AB251" s="2">
        <v>46271</v>
      </c>
      <c r="AC251" s="2">
        <v>46271</v>
      </c>
      <c r="AE251" s="1" t="s">
        <v>40</v>
      </c>
      <c r="AF251" s="1" t="s">
        <v>79</v>
      </c>
    </row>
    <row r="252" spans="1:32" ht="12.75" hidden="1" customHeight="1" x14ac:dyDescent="0.2">
      <c r="A252" s="1" t="s">
        <v>30</v>
      </c>
      <c r="B252" s="1" t="s">
        <v>952</v>
      </c>
      <c r="C252" s="1" t="s">
        <v>71</v>
      </c>
      <c r="D252" s="1" t="s">
        <v>72</v>
      </c>
      <c r="E252" s="1" t="s">
        <v>448</v>
      </c>
      <c r="F252" s="1" t="s">
        <v>445</v>
      </c>
      <c r="G252" s="3">
        <v>496</v>
      </c>
      <c r="H252" s="4">
        <v>5</v>
      </c>
      <c r="I252" s="5">
        <v>1383.84</v>
      </c>
      <c r="J252" s="5">
        <v>0</v>
      </c>
      <c r="K252" s="1" t="s">
        <v>36</v>
      </c>
      <c r="L252" s="1" t="s">
        <v>75</v>
      </c>
      <c r="M252" s="1" t="s">
        <v>75</v>
      </c>
      <c r="N252" s="3">
        <v>496</v>
      </c>
      <c r="O252" s="6">
        <f>Table1[[#This Row],[Invoice Qty]]-Table1[[#This Row],[ExFactory Qty]]</f>
        <v>0</v>
      </c>
      <c r="P252" s="1" t="s">
        <v>894</v>
      </c>
      <c r="Q252" s="2">
        <v>46275.524780092601</v>
      </c>
      <c r="R252" s="2">
        <v>46281</v>
      </c>
      <c r="S252" s="1" t="s">
        <v>39</v>
      </c>
      <c r="U252" s="1" t="s">
        <v>40</v>
      </c>
      <c r="V252" s="1" t="s">
        <v>77</v>
      </c>
      <c r="W252" s="1" t="s">
        <v>40</v>
      </c>
      <c r="X252" s="1" t="s">
        <v>40</v>
      </c>
      <c r="Z252" s="2">
        <v>46283</v>
      </c>
      <c r="AA252" s="1" t="s">
        <v>953</v>
      </c>
      <c r="AB252" s="2">
        <v>46271</v>
      </c>
      <c r="AC252" s="2">
        <v>46271</v>
      </c>
      <c r="AE252" s="1" t="s">
        <v>40</v>
      </c>
      <c r="AF252" s="1" t="s">
        <v>79</v>
      </c>
    </row>
    <row r="253" spans="1:32" ht="12.75" hidden="1" customHeight="1" x14ac:dyDescent="0.2">
      <c r="A253" s="1" t="s">
        <v>30</v>
      </c>
      <c r="B253" s="1" t="s">
        <v>954</v>
      </c>
      <c r="C253" s="1" t="s">
        <v>71</v>
      </c>
      <c r="D253" s="1" t="s">
        <v>72</v>
      </c>
      <c r="E253" s="1" t="s">
        <v>391</v>
      </c>
      <c r="F253" s="1" t="s">
        <v>445</v>
      </c>
      <c r="G253" s="3">
        <v>277</v>
      </c>
      <c r="H253" s="4">
        <v>4</v>
      </c>
      <c r="I253" s="5">
        <v>659.26</v>
      </c>
      <c r="J253" s="5">
        <v>0</v>
      </c>
      <c r="K253" s="1" t="s">
        <v>36</v>
      </c>
      <c r="L253" s="1" t="s">
        <v>75</v>
      </c>
      <c r="M253" s="1" t="s">
        <v>75</v>
      </c>
      <c r="N253" s="3">
        <v>277</v>
      </c>
      <c r="O253" s="6">
        <f>Table1[[#This Row],[Invoice Qty]]-Table1[[#This Row],[ExFactory Qty]]</f>
        <v>0</v>
      </c>
      <c r="P253" s="1" t="s">
        <v>894</v>
      </c>
      <c r="Q253" s="2">
        <v>46275.524780092601</v>
      </c>
      <c r="R253" s="2">
        <v>46281</v>
      </c>
      <c r="S253" s="1" t="s">
        <v>39</v>
      </c>
      <c r="U253" s="1" t="s">
        <v>40</v>
      </c>
      <c r="V253" s="1" t="s">
        <v>77</v>
      </c>
      <c r="W253" s="1" t="s">
        <v>40</v>
      </c>
      <c r="X253" s="1" t="s">
        <v>40</v>
      </c>
      <c r="Z253" s="2">
        <v>46283</v>
      </c>
      <c r="AA253" s="1" t="s">
        <v>955</v>
      </c>
      <c r="AB253" s="2">
        <v>46271</v>
      </c>
      <c r="AC253" s="2">
        <v>46271</v>
      </c>
      <c r="AE253" s="1" t="s">
        <v>40</v>
      </c>
      <c r="AF253" s="1" t="s">
        <v>79</v>
      </c>
    </row>
    <row r="254" spans="1:32" ht="12.75" hidden="1" customHeight="1" x14ac:dyDescent="0.2">
      <c r="A254" s="1" t="s">
        <v>30</v>
      </c>
      <c r="B254" s="1" t="s">
        <v>956</v>
      </c>
      <c r="C254" s="1" t="s">
        <v>71</v>
      </c>
      <c r="D254" s="1" t="s">
        <v>72</v>
      </c>
      <c r="E254" s="1" t="s">
        <v>391</v>
      </c>
      <c r="F254" s="1" t="s">
        <v>350</v>
      </c>
      <c r="G254" s="3">
        <v>400</v>
      </c>
      <c r="H254" s="4">
        <v>5</v>
      </c>
      <c r="I254" s="5">
        <v>952</v>
      </c>
      <c r="J254" s="5">
        <v>0</v>
      </c>
      <c r="K254" s="1" t="s">
        <v>36</v>
      </c>
      <c r="L254" s="1" t="s">
        <v>75</v>
      </c>
      <c r="M254" s="1" t="s">
        <v>75</v>
      </c>
      <c r="N254" s="3">
        <v>400</v>
      </c>
      <c r="O254" s="6">
        <f>Table1[[#This Row],[Invoice Qty]]-Table1[[#This Row],[ExFactory Qty]]</f>
        <v>0</v>
      </c>
      <c r="P254" s="1" t="s">
        <v>894</v>
      </c>
      <c r="Q254" s="2">
        <v>46275.524780092601</v>
      </c>
      <c r="R254" s="2">
        <v>46284</v>
      </c>
      <c r="S254" s="1" t="s">
        <v>39</v>
      </c>
      <c r="U254" s="1" t="s">
        <v>40</v>
      </c>
      <c r="V254" s="1" t="s">
        <v>77</v>
      </c>
      <c r="W254" s="1" t="s">
        <v>40</v>
      </c>
      <c r="X254" s="1" t="s">
        <v>40</v>
      </c>
      <c r="Z254" s="2">
        <v>46283</v>
      </c>
      <c r="AA254" s="1" t="s">
        <v>957</v>
      </c>
      <c r="AB254" s="2">
        <v>46271</v>
      </c>
      <c r="AC254" s="2">
        <v>46271</v>
      </c>
      <c r="AE254" s="1" t="s">
        <v>40</v>
      </c>
      <c r="AF254" s="1" t="s">
        <v>79</v>
      </c>
    </row>
    <row r="255" spans="1:32" ht="12.75" hidden="1" customHeight="1" x14ac:dyDescent="0.2">
      <c r="A255" s="1" t="s">
        <v>30</v>
      </c>
      <c r="B255" s="1" t="s">
        <v>958</v>
      </c>
      <c r="C255" s="1" t="s">
        <v>71</v>
      </c>
      <c r="D255" s="1" t="s">
        <v>72</v>
      </c>
      <c r="E255" s="1" t="s">
        <v>391</v>
      </c>
      <c r="F255" s="1" t="s">
        <v>337</v>
      </c>
      <c r="G255" s="3">
        <v>779</v>
      </c>
      <c r="H255" s="4">
        <v>12</v>
      </c>
      <c r="I255" s="5">
        <v>1854.02</v>
      </c>
      <c r="J255" s="5">
        <v>0</v>
      </c>
      <c r="K255" s="1" t="s">
        <v>36</v>
      </c>
      <c r="L255" s="1" t="s">
        <v>75</v>
      </c>
      <c r="M255" s="1" t="s">
        <v>75</v>
      </c>
      <c r="N255" s="3">
        <v>779</v>
      </c>
      <c r="O255" s="6">
        <f>Table1[[#This Row],[Invoice Qty]]-Table1[[#This Row],[ExFactory Qty]]</f>
        <v>0</v>
      </c>
      <c r="P255" s="1" t="s">
        <v>901</v>
      </c>
      <c r="Q255" s="2">
        <v>46275.773333333302</v>
      </c>
      <c r="R255" s="2">
        <v>46280</v>
      </c>
      <c r="S255" s="1" t="s">
        <v>39</v>
      </c>
      <c r="U255" s="1" t="s">
        <v>40</v>
      </c>
      <c r="V255" s="1" t="s">
        <v>77</v>
      </c>
      <c r="W255" s="1" t="s">
        <v>40</v>
      </c>
      <c r="X255" s="1" t="s">
        <v>40</v>
      </c>
      <c r="Z255" s="2">
        <v>46281</v>
      </c>
      <c r="AA255" s="1" t="s">
        <v>959</v>
      </c>
      <c r="AB255" s="2">
        <v>46271</v>
      </c>
      <c r="AC255" s="2">
        <v>46271</v>
      </c>
      <c r="AE255" s="1" t="s">
        <v>40</v>
      </c>
      <c r="AF255" s="1" t="s">
        <v>79</v>
      </c>
    </row>
    <row r="256" spans="1:32" ht="12.75" hidden="1" customHeight="1" x14ac:dyDescent="0.2">
      <c r="A256" s="1" t="s">
        <v>30</v>
      </c>
      <c r="B256" s="1" t="s">
        <v>960</v>
      </c>
      <c r="C256" s="1" t="s">
        <v>71</v>
      </c>
      <c r="D256" s="1" t="s">
        <v>72</v>
      </c>
      <c r="E256" s="1" t="s">
        <v>411</v>
      </c>
      <c r="F256" s="1" t="s">
        <v>445</v>
      </c>
      <c r="G256" s="3">
        <v>177</v>
      </c>
      <c r="H256" s="4">
        <v>3</v>
      </c>
      <c r="I256" s="5">
        <v>421.26</v>
      </c>
      <c r="J256" s="5">
        <v>0</v>
      </c>
      <c r="K256" s="1" t="s">
        <v>36</v>
      </c>
      <c r="L256" s="1" t="s">
        <v>75</v>
      </c>
      <c r="M256" s="1" t="s">
        <v>75</v>
      </c>
      <c r="N256" s="3">
        <v>177</v>
      </c>
      <c r="O256" s="6">
        <f>Table1[[#This Row],[Invoice Qty]]-Table1[[#This Row],[ExFactory Qty]]</f>
        <v>0</v>
      </c>
      <c r="P256" s="1" t="s">
        <v>894</v>
      </c>
      <c r="Q256" s="2">
        <v>46275.524780092601</v>
      </c>
      <c r="R256" s="2">
        <v>46281</v>
      </c>
      <c r="S256" s="1" t="s">
        <v>39</v>
      </c>
      <c r="U256" s="1" t="s">
        <v>40</v>
      </c>
      <c r="V256" s="1" t="s">
        <v>77</v>
      </c>
      <c r="W256" s="1" t="s">
        <v>40</v>
      </c>
      <c r="X256" s="1" t="s">
        <v>40</v>
      </c>
      <c r="Z256" s="2">
        <v>46283</v>
      </c>
      <c r="AA256" s="1" t="s">
        <v>961</v>
      </c>
      <c r="AB256" s="2">
        <v>46271</v>
      </c>
      <c r="AC256" s="2">
        <v>46271</v>
      </c>
      <c r="AE256" s="1" t="s">
        <v>40</v>
      </c>
      <c r="AF256" s="1" t="s">
        <v>79</v>
      </c>
    </row>
    <row r="257" spans="1:32" ht="12.75" hidden="1" customHeight="1" x14ac:dyDescent="0.2">
      <c r="A257" s="1" t="s">
        <v>30</v>
      </c>
      <c r="B257" s="1" t="s">
        <v>962</v>
      </c>
      <c r="C257" s="1" t="s">
        <v>71</v>
      </c>
      <c r="D257" s="1" t="s">
        <v>72</v>
      </c>
      <c r="E257" s="1" t="s">
        <v>424</v>
      </c>
      <c r="F257" s="1" t="s">
        <v>367</v>
      </c>
      <c r="G257" s="3">
        <v>40</v>
      </c>
      <c r="H257" s="4">
        <v>1</v>
      </c>
      <c r="I257" s="5">
        <v>94</v>
      </c>
      <c r="J257" s="5">
        <v>0</v>
      </c>
      <c r="K257" s="1" t="s">
        <v>36</v>
      </c>
      <c r="L257" s="1" t="s">
        <v>75</v>
      </c>
      <c r="M257" s="1" t="s">
        <v>75</v>
      </c>
      <c r="N257" s="3">
        <v>40</v>
      </c>
      <c r="O257" s="6">
        <f>Table1[[#This Row],[Invoice Qty]]-Table1[[#This Row],[ExFactory Qty]]</f>
        <v>0</v>
      </c>
      <c r="P257" s="1" t="s">
        <v>938</v>
      </c>
      <c r="Q257" s="2">
        <v>46275.676249999997</v>
      </c>
      <c r="R257" s="2">
        <v>46280</v>
      </c>
      <c r="S257" s="1" t="s">
        <v>39</v>
      </c>
      <c r="U257" s="1" t="s">
        <v>40</v>
      </c>
      <c r="V257" s="1" t="s">
        <v>77</v>
      </c>
      <c r="W257" s="1" t="s">
        <v>40</v>
      </c>
      <c r="X257" s="1" t="s">
        <v>40</v>
      </c>
      <c r="Z257" s="2">
        <v>46282</v>
      </c>
      <c r="AA257" s="1" t="s">
        <v>963</v>
      </c>
      <c r="AB257" s="2">
        <v>46271</v>
      </c>
      <c r="AC257" s="2">
        <v>46271</v>
      </c>
      <c r="AE257" s="1" t="s">
        <v>40</v>
      </c>
      <c r="AF257" s="1" t="s">
        <v>79</v>
      </c>
    </row>
    <row r="258" spans="1:32" ht="12.75" hidden="1" customHeight="1" x14ac:dyDescent="0.2">
      <c r="A258" s="1" t="s">
        <v>30</v>
      </c>
      <c r="B258" s="1" t="s">
        <v>964</v>
      </c>
      <c r="C258" s="1" t="s">
        <v>71</v>
      </c>
      <c r="D258" s="1" t="s">
        <v>72</v>
      </c>
      <c r="E258" s="1" t="s">
        <v>439</v>
      </c>
      <c r="F258" s="1" t="s">
        <v>74</v>
      </c>
      <c r="G258" s="3">
        <v>67</v>
      </c>
      <c r="H258" s="4">
        <v>1</v>
      </c>
      <c r="I258" s="5">
        <v>140.69999999999999</v>
      </c>
      <c r="J258" s="5">
        <v>0</v>
      </c>
      <c r="K258" s="1" t="s">
        <v>36</v>
      </c>
      <c r="L258" s="1" t="s">
        <v>75</v>
      </c>
      <c r="M258" s="1" t="s">
        <v>75</v>
      </c>
      <c r="N258" s="3">
        <v>67</v>
      </c>
      <c r="O258" s="6">
        <f>Table1[[#This Row],[Invoice Qty]]-Table1[[#This Row],[ExFactory Qty]]</f>
        <v>0</v>
      </c>
      <c r="P258" s="1" t="s">
        <v>901</v>
      </c>
      <c r="Q258" s="2">
        <v>46275.773333333302</v>
      </c>
      <c r="R258" s="2">
        <v>46280</v>
      </c>
      <c r="S258" s="1" t="s">
        <v>39</v>
      </c>
      <c r="U258" s="1" t="s">
        <v>40</v>
      </c>
      <c r="V258" s="1" t="s">
        <v>77</v>
      </c>
      <c r="W258" s="1" t="s">
        <v>40</v>
      </c>
      <c r="X258" s="1" t="s">
        <v>40</v>
      </c>
      <c r="Z258" s="2">
        <v>46281</v>
      </c>
      <c r="AA258" s="1" t="s">
        <v>965</v>
      </c>
      <c r="AB258" s="2">
        <v>46271</v>
      </c>
      <c r="AC258" s="2">
        <v>46271</v>
      </c>
      <c r="AE258" s="1" t="s">
        <v>40</v>
      </c>
      <c r="AF258" s="1" t="s">
        <v>79</v>
      </c>
    </row>
    <row r="259" spans="1:32" ht="12.75" hidden="1" customHeight="1" x14ac:dyDescent="0.2">
      <c r="A259" s="1" t="s">
        <v>30</v>
      </c>
      <c r="B259" s="1" t="s">
        <v>966</v>
      </c>
      <c r="C259" s="1" t="s">
        <v>71</v>
      </c>
      <c r="D259" s="1" t="s">
        <v>72</v>
      </c>
      <c r="E259" s="1" t="s">
        <v>439</v>
      </c>
      <c r="F259" s="1" t="s">
        <v>74</v>
      </c>
      <c r="G259" s="3">
        <v>125</v>
      </c>
      <c r="H259" s="4">
        <v>1</v>
      </c>
      <c r="I259" s="5">
        <v>262.5</v>
      </c>
      <c r="J259" s="5">
        <v>0</v>
      </c>
      <c r="K259" s="1" t="s">
        <v>36</v>
      </c>
      <c r="L259" s="1" t="s">
        <v>75</v>
      </c>
      <c r="M259" s="1" t="s">
        <v>75</v>
      </c>
      <c r="N259" s="3">
        <v>125</v>
      </c>
      <c r="O259" s="6">
        <f>Table1[[#This Row],[Invoice Qty]]-Table1[[#This Row],[ExFactory Qty]]</f>
        <v>0</v>
      </c>
      <c r="P259" s="1" t="s">
        <v>901</v>
      </c>
      <c r="Q259" s="2">
        <v>46275.773333333302</v>
      </c>
      <c r="R259" s="2">
        <v>46280</v>
      </c>
      <c r="S259" s="1" t="s">
        <v>39</v>
      </c>
      <c r="U259" s="1" t="s">
        <v>40</v>
      </c>
      <c r="V259" s="1" t="s">
        <v>77</v>
      </c>
      <c r="W259" s="1" t="s">
        <v>40</v>
      </c>
      <c r="X259" s="1" t="s">
        <v>40</v>
      </c>
      <c r="Z259" s="2">
        <v>46283</v>
      </c>
      <c r="AA259" s="1" t="s">
        <v>967</v>
      </c>
      <c r="AB259" s="2">
        <v>46271</v>
      </c>
      <c r="AC259" s="2">
        <v>46271</v>
      </c>
      <c r="AE259" s="1" t="s">
        <v>40</v>
      </c>
      <c r="AF259" s="1" t="s">
        <v>79</v>
      </c>
    </row>
    <row r="260" spans="1:32" ht="12.75" hidden="1" customHeight="1" x14ac:dyDescent="0.2">
      <c r="A260" s="1" t="s">
        <v>30</v>
      </c>
      <c r="B260" s="1" t="s">
        <v>968</v>
      </c>
      <c r="C260" s="1" t="s">
        <v>71</v>
      </c>
      <c r="D260" s="1" t="s">
        <v>72</v>
      </c>
      <c r="E260" s="1" t="s">
        <v>969</v>
      </c>
      <c r="F260" s="1" t="s">
        <v>445</v>
      </c>
      <c r="G260" s="3">
        <v>800</v>
      </c>
      <c r="H260" s="4">
        <v>9</v>
      </c>
      <c r="I260" s="5">
        <v>1704</v>
      </c>
      <c r="J260" s="5">
        <v>0</v>
      </c>
      <c r="K260" s="1" t="s">
        <v>36</v>
      </c>
      <c r="L260" s="1" t="s">
        <v>75</v>
      </c>
      <c r="M260" s="1" t="s">
        <v>75</v>
      </c>
      <c r="N260" s="3">
        <v>800</v>
      </c>
      <c r="O260" s="6">
        <f>Table1[[#This Row],[Invoice Qty]]-Table1[[#This Row],[ExFactory Qty]]</f>
        <v>0</v>
      </c>
      <c r="P260" s="1" t="s">
        <v>894</v>
      </c>
      <c r="Q260" s="2">
        <v>46275.524780092601</v>
      </c>
      <c r="R260" s="2">
        <v>46281</v>
      </c>
      <c r="S260" s="1" t="s">
        <v>39</v>
      </c>
      <c r="U260" s="1" t="s">
        <v>40</v>
      </c>
      <c r="V260" s="1" t="s">
        <v>77</v>
      </c>
      <c r="W260" s="1" t="s">
        <v>40</v>
      </c>
      <c r="X260" s="1" t="s">
        <v>40</v>
      </c>
      <c r="Z260" s="2">
        <v>46283</v>
      </c>
      <c r="AA260" s="1" t="s">
        <v>970</v>
      </c>
      <c r="AB260" s="2">
        <v>46271</v>
      </c>
      <c r="AC260" s="2">
        <v>46271</v>
      </c>
      <c r="AE260" s="1" t="s">
        <v>40</v>
      </c>
      <c r="AF260" s="1" t="s">
        <v>79</v>
      </c>
    </row>
    <row r="261" spans="1:32" ht="12.75" hidden="1" customHeight="1" x14ac:dyDescent="0.2">
      <c r="A261" s="1" t="s">
        <v>30</v>
      </c>
      <c r="B261" s="1" t="s">
        <v>971</v>
      </c>
      <c r="C261" s="1" t="s">
        <v>71</v>
      </c>
      <c r="D261" s="1" t="s">
        <v>72</v>
      </c>
      <c r="E261" s="1" t="s">
        <v>972</v>
      </c>
      <c r="F261" s="1" t="s">
        <v>350</v>
      </c>
      <c r="G261" s="3">
        <v>227</v>
      </c>
      <c r="H261" s="4">
        <v>4</v>
      </c>
      <c r="I261" s="5">
        <v>592.47</v>
      </c>
      <c r="J261" s="5">
        <v>0</v>
      </c>
      <c r="K261" s="1" t="s">
        <v>36</v>
      </c>
      <c r="L261" s="1" t="s">
        <v>75</v>
      </c>
      <c r="M261" s="1" t="s">
        <v>37</v>
      </c>
      <c r="N261" s="3">
        <v>227</v>
      </c>
      <c r="O261" s="6">
        <f>Table1[[#This Row],[Invoice Qty]]-Table1[[#This Row],[ExFactory Qty]]</f>
        <v>0</v>
      </c>
      <c r="P261" s="1" t="s">
        <v>973</v>
      </c>
      <c r="Q261" s="2">
        <v>46275.782476851899</v>
      </c>
      <c r="R261" s="2">
        <v>46284</v>
      </c>
      <c r="S261" s="1" t="s">
        <v>39</v>
      </c>
      <c r="U261" s="1" t="s">
        <v>40</v>
      </c>
      <c r="V261" s="1" t="s">
        <v>77</v>
      </c>
      <c r="W261" s="1" t="s">
        <v>40</v>
      </c>
      <c r="X261" s="1" t="s">
        <v>40</v>
      </c>
      <c r="Z261" s="2">
        <v>46283</v>
      </c>
      <c r="AA261" s="1" t="s">
        <v>974</v>
      </c>
      <c r="AB261" s="2">
        <v>46271</v>
      </c>
      <c r="AC261" s="2">
        <v>46271</v>
      </c>
      <c r="AE261" s="1" t="s">
        <v>40</v>
      </c>
      <c r="AF261" s="1" t="s">
        <v>79</v>
      </c>
    </row>
    <row r="262" spans="1:32" ht="12.75" hidden="1" customHeight="1" x14ac:dyDescent="0.2">
      <c r="A262" s="1" t="s">
        <v>30</v>
      </c>
      <c r="B262" s="1" t="s">
        <v>975</v>
      </c>
      <c r="C262" s="1" t="s">
        <v>71</v>
      </c>
      <c r="D262" s="1" t="s">
        <v>72</v>
      </c>
      <c r="E262" s="1" t="s">
        <v>976</v>
      </c>
      <c r="F262" s="1" t="s">
        <v>350</v>
      </c>
      <c r="G262" s="3">
        <v>208</v>
      </c>
      <c r="H262" s="4">
        <v>5</v>
      </c>
      <c r="I262" s="5">
        <v>576.16</v>
      </c>
      <c r="J262" s="5">
        <v>0</v>
      </c>
      <c r="K262" s="1" t="s">
        <v>36</v>
      </c>
      <c r="L262" s="1" t="s">
        <v>75</v>
      </c>
      <c r="M262" s="1" t="s">
        <v>37</v>
      </c>
      <c r="N262" s="3">
        <v>208</v>
      </c>
      <c r="O262" s="6">
        <f>Table1[[#This Row],[Invoice Qty]]-Table1[[#This Row],[ExFactory Qty]]</f>
        <v>0</v>
      </c>
      <c r="P262" s="1" t="s">
        <v>973</v>
      </c>
      <c r="Q262" s="2">
        <v>46275.782476851899</v>
      </c>
      <c r="R262" s="2">
        <v>46284</v>
      </c>
      <c r="S262" s="1" t="s">
        <v>39</v>
      </c>
      <c r="U262" s="1" t="s">
        <v>40</v>
      </c>
      <c r="V262" s="1" t="s">
        <v>77</v>
      </c>
      <c r="W262" s="1" t="s">
        <v>40</v>
      </c>
      <c r="X262" s="1" t="s">
        <v>40</v>
      </c>
      <c r="Z262" s="2">
        <v>46283</v>
      </c>
      <c r="AA262" s="1" t="s">
        <v>977</v>
      </c>
      <c r="AB262" s="2">
        <v>46271</v>
      </c>
      <c r="AC262" s="2">
        <v>46271</v>
      </c>
      <c r="AE262" s="1" t="s">
        <v>40</v>
      </c>
      <c r="AF262" s="1" t="s">
        <v>79</v>
      </c>
    </row>
    <row r="263" spans="1:32" ht="12.75" hidden="1" customHeight="1" x14ac:dyDescent="0.2">
      <c r="A263" s="1" t="s">
        <v>30</v>
      </c>
      <c r="B263" s="1" t="s">
        <v>978</v>
      </c>
      <c r="C263" s="1" t="s">
        <v>71</v>
      </c>
      <c r="D263" s="1" t="s">
        <v>72</v>
      </c>
      <c r="E263" s="1" t="s">
        <v>979</v>
      </c>
      <c r="F263" s="1" t="s">
        <v>350</v>
      </c>
      <c r="G263" s="3">
        <v>397</v>
      </c>
      <c r="H263" s="4">
        <v>7</v>
      </c>
      <c r="I263" s="5">
        <v>1008.38</v>
      </c>
      <c r="J263" s="5">
        <v>0</v>
      </c>
      <c r="K263" s="1" t="s">
        <v>36</v>
      </c>
      <c r="L263" s="1" t="s">
        <v>75</v>
      </c>
      <c r="M263" s="1" t="s">
        <v>37</v>
      </c>
      <c r="N263" s="3">
        <v>397</v>
      </c>
      <c r="O263" s="6">
        <f>Table1[[#This Row],[Invoice Qty]]-Table1[[#This Row],[ExFactory Qty]]</f>
        <v>0</v>
      </c>
      <c r="P263" s="1" t="s">
        <v>973</v>
      </c>
      <c r="Q263" s="2">
        <v>46275.782476851899</v>
      </c>
      <c r="R263" s="2">
        <v>46284</v>
      </c>
      <c r="S263" s="1" t="s">
        <v>39</v>
      </c>
      <c r="U263" s="1" t="s">
        <v>40</v>
      </c>
      <c r="V263" s="1" t="s">
        <v>77</v>
      </c>
      <c r="W263" s="1" t="s">
        <v>40</v>
      </c>
      <c r="X263" s="1" t="s">
        <v>40</v>
      </c>
      <c r="Z263" s="2">
        <v>46283</v>
      </c>
      <c r="AA263" s="1" t="s">
        <v>980</v>
      </c>
      <c r="AB263" s="2">
        <v>46271</v>
      </c>
      <c r="AC263" s="2">
        <v>46271</v>
      </c>
      <c r="AE263" s="1" t="s">
        <v>40</v>
      </c>
      <c r="AF263" s="1" t="s">
        <v>79</v>
      </c>
    </row>
    <row r="264" spans="1:32" ht="12.75" hidden="1" customHeight="1" x14ac:dyDescent="0.2">
      <c r="A264" s="1" t="s">
        <v>30</v>
      </c>
      <c r="B264" s="1" t="s">
        <v>981</v>
      </c>
      <c r="C264" s="1" t="s">
        <v>71</v>
      </c>
      <c r="D264" s="1" t="s">
        <v>72</v>
      </c>
      <c r="E264" s="1" t="s">
        <v>982</v>
      </c>
      <c r="F264" s="1" t="s">
        <v>367</v>
      </c>
      <c r="G264" s="3">
        <v>56</v>
      </c>
      <c r="H264" s="4">
        <v>1</v>
      </c>
      <c r="I264" s="5">
        <v>108.08</v>
      </c>
      <c r="J264" s="5">
        <v>0</v>
      </c>
      <c r="K264" s="1" t="s">
        <v>36</v>
      </c>
      <c r="L264" s="1" t="s">
        <v>75</v>
      </c>
      <c r="M264" s="1" t="s">
        <v>37</v>
      </c>
      <c r="N264" s="3">
        <v>56</v>
      </c>
      <c r="O264" s="6">
        <f>Table1[[#This Row],[Invoice Qty]]-Table1[[#This Row],[ExFactory Qty]]</f>
        <v>0</v>
      </c>
      <c r="P264" s="1" t="s">
        <v>983</v>
      </c>
      <c r="Q264" s="2">
        <v>46275.760590277801</v>
      </c>
      <c r="R264" s="2">
        <v>46280</v>
      </c>
      <c r="S264" s="1" t="s">
        <v>39</v>
      </c>
      <c r="U264" s="1" t="s">
        <v>40</v>
      </c>
      <c r="V264" s="1" t="s">
        <v>77</v>
      </c>
      <c r="W264" s="1" t="s">
        <v>40</v>
      </c>
      <c r="X264" s="1" t="s">
        <v>40</v>
      </c>
      <c r="Z264" s="2">
        <v>46282</v>
      </c>
      <c r="AA264" s="1" t="s">
        <v>984</v>
      </c>
      <c r="AB264" s="2">
        <v>46271</v>
      </c>
      <c r="AC264" s="2">
        <v>46271</v>
      </c>
      <c r="AE264" s="1" t="s">
        <v>40</v>
      </c>
      <c r="AF264" s="1" t="s">
        <v>79</v>
      </c>
    </row>
    <row r="265" spans="1:32" ht="12.75" hidden="1" customHeight="1" x14ac:dyDescent="0.2">
      <c r="A265" s="1" t="s">
        <v>30</v>
      </c>
      <c r="B265" s="1" t="s">
        <v>985</v>
      </c>
      <c r="C265" s="1" t="s">
        <v>71</v>
      </c>
      <c r="D265" s="1" t="s">
        <v>72</v>
      </c>
      <c r="E265" s="1" t="s">
        <v>982</v>
      </c>
      <c r="F265" s="1" t="s">
        <v>986</v>
      </c>
      <c r="G265" s="3">
        <v>24</v>
      </c>
      <c r="H265" s="4">
        <v>1</v>
      </c>
      <c r="I265" s="5">
        <v>46.32</v>
      </c>
      <c r="J265" s="5">
        <v>0</v>
      </c>
      <c r="K265" s="1" t="s">
        <v>36</v>
      </c>
      <c r="L265" s="1" t="s">
        <v>75</v>
      </c>
      <c r="M265" s="1" t="s">
        <v>37</v>
      </c>
      <c r="N265" s="3">
        <v>24</v>
      </c>
      <c r="O265" s="6">
        <f>Table1[[#This Row],[Invoice Qty]]-Table1[[#This Row],[ExFactory Qty]]</f>
        <v>0</v>
      </c>
      <c r="P265" s="1" t="s">
        <v>987</v>
      </c>
      <c r="Q265" s="2">
        <v>46275.518842592603</v>
      </c>
      <c r="R265" s="2">
        <v>46286</v>
      </c>
      <c r="S265" s="1" t="s">
        <v>39</v>
      </c>
      <c r="U265" s="1" t="s">
        <v>40</v>
      </c>
      <c r="V265" s="1" t="s">
        <v>77</v>
      </c>
      <c r="W265" s="1" t="s">
        <v>40</v>
      </c>
      <c r="X265" s="1" t="s">
        <v>40</v>
      </c>
      <c r="AA265" s="1" t="s">
        <v>988</v>
      </c>
      <c r="AB265" s="2">
        <v>46271</v>
      </c>
      <c r="AC265" s="2">
        <v>46271</v>
      </c>
      <c r="AE265" s="1" t="s">
        <v>40</v>
      </c>
      <c r="AF265" s="1" t="s">
        <v>79</v>
      </c>
    </row>
    <row r="266" spans="1:32" ht="12.75" hidden="1" customHeight="1" x14ac:dyDescent="0.2">
      <c r="A266" s="1" t="s">
        <v>30</v>
      </c>
      <c r="B266" s="1" t="s">
        <v>989</v>
      </c>
      <c r="C266" s="1" t="s">
        <v>71</v>
      </c>
      <c r="D266" s="1" t="s">
        <v>323</v>
      </c>
      <c r="E266" s="1" t="s">
        <v>990</v>
      </c>
      <c r="F266" s="1" t="s">
        <v>445</v>
      </c>
      <c r="G266" s="3">
        <v>113</v>
      </c>
      <c r="H266" s="4">
        <v>2</v>
      </c>
      <c r="I266" s="5">
        <v>257.64</v>
      </c>
      <c r="J266" s="5">
        <v>0</v>
      </c>
      <c r="K266" s="1" t="s">
        <v>36</v>
      </c>
      <c r="L266" s="1" t="s">
        <v>75</v>
      </c>
      <c r="M266" s="1" t="s">
        <v>37</v>
      </c>
      <c r="N266" s="3">
        <v>113</v>
      </c>
      <c r="O266" s="6">
        <f>Table1[[#This Row],[Invoice Qty]]-Table1[[#This Row],[ExFactory Qty]]</f>
        <v>0</v>
      </c>
      <c r="P266" s="1" t="s">
        <v>973</v>
      </c>
      <c r="Q266" s="2">
        <v>46275.782476851899</v>
      </c>
      <c r="R266" s="2">
        <v>46281</v>
      </c>
      <c r="S266" s="1" t="s">
        <v>39</v>
      </c>
      <c r="U266" s="1" t="s">
        <v>40</v>
      </c>
      <c r="V266" s="1" t="s">
        <v>77</v>
      </c>
      <c r="W266" s="1" t="s">
        <v>40</v>
      </c>
      <c r="X266" s="1" t="s">
        <v>40</v>
      </c>
      <c r="Z266" s="2">
        <v>46283</v>
      </c>
      <c r="AA266" s="1" t="s">
        <v>991</v>
      </c>
      <c r="AB266" s="2">
        <v>46271</v>
      </c>
      <c r="AC266" s="2">
        <v>46271</v>
      </c>
      <c r="AE266" s="1" t="s">
        <v>40</v>
      </c>
      <c r="AF266" s="1" t="s">
        <v>326</v>
      </c>
    </row>
    <row r="267" spans="1:32" ht="12.75" hidden="1" customHeight="1" x14ac:dyDescent="0.2">
      <c r="A267" s="1" t="s">
        <v>30</v>
      </c>
      <c r="B267" s="1" t="s">
        <v>992</v>
      </c>
      <c r="C267" s="1" t="s">
        <v>71</v>
      </c>
      <c r="D267" s="1" t="s">
        <v>72</v>
      </c>
      <c r="E267" s="1" t="s">
        <v>698</v>
      </c>
      <c r="F267" s="1" t="s">
        <v>372</v>
      </c>
      <c r="G267" s="3">
        <v>151</v>
      </c>
      <c r="H267" s="4">
        <v>2</v>
      </c>
      <c r="I267" s="5">
        <v>291.43</v>
      </c>
      <c r="J267" s="5">
        <v>0</v>
      </c>
      <c r="K267" s="1" t="s">
        <v>36</v>
      </c>
      <c r="L267" s="1" t="s">
        <v>75</v>
      </c>
      <c r="M267" s="1" t="s">
        <v>37</v>
      </c>
      <c r="N267" s="3">
        <v>151</v>
      </c>
      <c r="O267" s="6">
        <f>Table1[[#This Row],[Invoice Qty]]-Table1[[#This Row],[ExFactory Qty]]</f>
        <v>0</v>
      </c>
      <c r="P267" s="1" t="s">
        <v>983</v>
      </c>
      <c r="Q267" s="2">
        <v>46275.760590277801</v>
      </c>
      <c r="R267" s="2">
        <v>46280</v>
      </c>
      <c r="S267" s="1" t="s">
        <v>39</v>
      </c>
      <c r="U267" s="1" t="s">
        <v>40</v>
      </c>
      <c r="V267" s="1" t="s">
        <v>77</v>
      </c>
      <c r="W267" s="1" t="s">
        <v>40</v>
      </c>
      <c r="X267" s="1" t="s">
        <v>40</v>
      </c>
      <c r="Z267" s="2">
        <v>46282</v>
      </c>
      <c r="AA267" s="1" t="s">
        <v>993</v>
      </c>
      <c r="AB267" s="2">
        <v>36160</v>
      </c>
      <c r="AC267" s="2">
        <v>46271</v>
      </c>
      <c r="AE267" s="1" t="s">
        <v>40</v>
      </c>
      <c r="AF267" s="1" t="s">
        <v>79</v>
      </c>
    </row>
    <row r="268" spans="1:32" ht="12.75" hidden="1" customHeight="1" x14ac:dyDescent="0.2">
      <c r="A268" s="1" t="s">
        <v>30</v>
      </c>
      <c r="B268" s="1" t="s">
        <v>994</v>
      </c>
      <c r="C268" s="1" t="s">
        <v>71</v>
      </c>
      <c r="D268" s="1" t="s">
        <v>72</v>
      </c>
      <c r="E268" s="1" t="s">
        <v>698</v>
      </c>
      <c r="F268" s="1" t="s">
        <v>74</v>
      </c>
      <c r="G268" s="3">
        <v>155</v>
      </c>
      <c r="H268" s="4">
        <v>2</v>
      </c>
      <c r="I268" s="5">
        <v>299.14999999999998</v>
      </c>
      <c r="J268" s="5">
        <v>0</v>
      </c>
      <c r="K268" s="1" t="s">
        <v>36</v>
      </c>
      <c r="L268" s="1" t="s">
        <v>75</v>
      </c>
      <c r="M268" s="1" t="s">
        <v>37</v>
      </c>
      <c r="N268" s="3">
        <v>155</v>
      </c>
      <c r="O268" s="6">
        <f>Table1[[#This Row],[Invoice Qty]]-Table1[[#This Row],[ExFactory Qty]]</f>
        <v>0</v>
      </c>
      <c r="P268" s="1" t="s">
        <v>987</v>
      </c>
      <c r="Q268" s="2">
        <v>46275.518842592603</v>
      </c>
      <c r="R268" s="2">
        <v>46280</v>
      </c>
      <c r="S268" s="1" t="s">
        <v>39</v>
      </c>
      <c r="U268" s="1" t="s">
        <v>40</v>
      </c>
      <c r="V268" s="1" t="s">
        <v>77</v>
      </c>
      <c r="W268" s="1" t="s">
        <v>40</v>
      </c>
      <c r="X268" s="1" t="s">
        <v>40</v>
      </c>
      <c r="Z268" s="2">
        <v>46281</v>
      </c>
      <c r="AA268" s="1" t="s">
        <v>995</v>
      </c>
      <c r="AB268" s="2">
        <v>46271</v>
      </c>
      <c r="AC268" s="2">
        <v>46271</v>
      </c>
      <c r="AE268" s="1" t="s">
        <v>40</v>
      </c>
      <c r="AF268" s="1" t="s">
        <v>79</v>
      </c>
    </row>
    <row r="269" spans="1:32" ht="12.75" hidden="1" customHeight="1" x14ac:dyDescent="0.2">
      <c r="A269" s="1" t="s">
        <v>30</v>
      </c>
      <c r="B269" s="1" t="s">
        <v>996</v>
      </c>
      <c r="C269" s="1" t="s">
        <v>71</v>
      </c>
      <c r="D269" s="1" t="s">
        <v>72</v>
      </c>
      <c r="E269" s="1" t="s">
        <v>698</v>
      </c>
      <c r="F269" s="1" t="s">
        <v>74</v>
      </c>
      <c r="G269" s="3">
        <v>178</v>
      </c>
      <c r="H269" s="4">
        <v>2</v>
      </c>
      <c r="I269" s="5">
        <v>343.54</v>
      </c>
      <c r="J269" s="5">
        <v>0</v>
      </c>
      <c r="K269" s="1" t="s">
        <v>36</v>
      </c>
      <c r="L269" s="1" t="s">
        <v>75</v>
      </c>
      <c r="M269" s="1" t="s">
        <v>37</v>
      </c>
      <c r="N269" s="3">
        <v>178</v>
      </c>
      <c r="O269" s="6">
        <f>Table1[[#This Row],[Invoice Qty]]-Table1[[#This Row],[ExFactory Qty]]</f>
        <v>0</v>
      </c>
      <c r="P269" s="1" t="s">
        <v>987</v>
      </c>
      <c r="Q269" s="2">
        <v>46275.518842592603</v>
      </c>
      <c r="R269" s="2">
        <v>46280</v>
      </c>
      <c r="S269" s="1" t="s">
        <v>39</v>
      </c>
      <c r="U269" s="1" t="s">
        <v>40</v>
      </c>
      <c r="V269" s="1" t="s">
        <v>77</v>
      </c>
      <c r="W269" s="1" t="s">
        <v>40</v>
      </c>
      <c r="X269" s="1" t="s">
        <v>40</v>
      </c>
      <c r="Z269" s="2">
        <v>46283</v>
      </c>
      <c r="AA269" s="1" t="s">
        <v>997</v>
      </c>
      <c r="AB269" s="2">
        <v>46271</v>
      </c>
      <c r="AC269" s="2">
        <v>46271</v>
      </c>
      <c r="AE269" s="1" t="s">
        <v>40</v>
      </c>
      <c r="AF269" s="1" t="s">
        <v>79</v>
      </c>
    </row>
    <row r="270" spans="1:32" ht="12.75" hidden="1" customHeight="1" x14ac:dyDescent="0.2">
      <c r="A270" s="1" t="s">
        <v>30</v>
      </c>
      <c r="B270" s="1" t="s">
        <v>998</v>
      </c>
      <c r="C270" s="1" t="s">
        <v>71</v>
      </c>
      <c r="D270" s="1" t="s">
        <v>72</v>
      </c>
      <c r="E270" s="1" t="s">
        <v>710</v>
      </c>
      <c r="F270" s="1" t="s">
        <v>376</v>
      </c>
      <c r="G270" s="3">
        <v>281</v>
      </c>
      <c r="H270" s="4">
        <v>4</v>
      </c>
      <c r="I270" s="5">
        <v>550.76</v>
      </c>
      <c r="J270" s="5">
        <v>0</v>
      </c>
      <c r="K270" s="1" t="s">
        <v>36</v>
      </c>
      <c r="L270" s="1" t="s">
        <v>75</v>
      </c>
      <c r="M270" s="1" t="s">
        <v>37</v>
      </c>
      <c r="N270" s="3">
        <v>281</v>
      </c>
      <c r="O270" s="6">
        <f>Table1[[#This Row],[Invoice Qty]]-Table1[[#This Row],[ExFactory Qty]]</f>
        <v>0</v>
      </c>
      <c r="P270" s="1" t="s">
        <v>973</v>
      </c>
      <c r="Q270" s="2">
        <v>46275.782476851899</v>
      </c>
      <c r="R270" s="2">
        <v>46284</v>
      </c>
      <c r="S270" s="1" t="s">
        <v>39</v>
      </c>
      <c r="U270" s="1" t="s">
        <v>40</v>
      </c>
      <c r="V270" s="1" t="s">
        <v>77</v>
      </c>
      <c r="W270" s="1" t="s">
        <v>40</v>
      </c>
      <c r="X270" s="1" t="s">
        <v>40</v>
      </c>
      <c r="Z270" s="2">
        <v>46284</v>
      </c>
      <c r="AA270" s="1" t="s">
        <v>999</v>
      </c>
      <c r="AB270" s="2">
        <v>46271</v>
      </c>
      <c r="AC270" s="2">
        <v>46271</v>
      </c>
      <c r="AE270" s="1" t="s">
        <v>40</v>
      </c>
      <c r="AF270" s="1" t="s">
        <v>79</v>
      </c>
    </row>
    <row r="271" spans="1:32" ht="12.75" hidden="1" customHeight="1" x14ac:dyDescent="0.2">
      <c r="A271" s="1" t="s">
        <v>30</v>
      </c>
      <c r="B271" s="1" t="s">
        <v>1000</v>
      </c>
      <c r="C271" s="1" t="s">
        <v>71</v>
      </c>
      <c r="D271" s="1" t="s">
        <v>323</v>
      </c>
      <c r="E271" s="1" t="s">
        <v>491</v>
      </c>
      <c r="F271" s="1" t="s">
        <v>361</v>
      </c>
      <c r="G271" s="3">
        <v>61</v>
      </c>
      <c r="H271" s="4">
        <v>1</v>
      </c>
      <c r="I271" s="5">
        <v>137.25</v>
      </c>
      <c r="J271" s="5">
        <v>0</v>
      </c>
      <c r="K271" s="1" t="s">
        <v>36</v>
      </c>
      <c r="L271" s="1" t="s">
        <v>75</v>
      </c>
      <c r="M271" s="1" t="s">
        <v>37</v>
      </c>
      <c r="N271" s="3">
        <v>61</v>
      </c>
      <c r="O271" s="6">
        <f>Table1[[#This Row],[Invoice Qty]]-Table1[[#This Row],[ExFactory Qty]]</f>
        <v>0</v>
      </c>
      <c r="P271" s="1" t="s">
        <v>987</v>
      </c>
      <c r="Q271" s="2">
        <v>46275.518842592603</v>
      </c>
      <c r="R271" s="2">
        <v>46286</v>
      </c>
      <c r="S271" s="1" t="s">
        <v>39</v>
      </c>
      <c r="U271" s="1" t="s">
        <v>40</v>
      </c>
      <c r="V271" s="1" t="s">
        <v>77</v>
      </c>
      <c r="W271" s="1" t="s">
        <v>40</v>
      </c>
      <c r="X271" s="1" t="s">
        <v>40</v>
      </c>
      <c r="Z271" s="2">
        <v>46283</v>
      </c>
      <c r="AA271" s="1" t="s">
        <v>1001</v>
      </c>
      <c r="AB271" s="2">
        <v>46271</v>
      </c>
      <c r="AC271" s="2">
        <v>46271</v>
      </c>
      <c r="AE271" s="1" t="s">
        <v>40</v>
      </c>
      <c r="AF271" s="1" t="s">
        <v>326</v>
      </c>
    </row>
    <row r="272" spans="1:32" ht="12.75" hidden="1" customHeight="1" x14ac:dyDescent="0.2">
      <c r="A272" s="1" t="s">
        <v>30</v>
      </c>
      <c r="B272" s="1" t="s">
        <v>1002</v>
      </c>
      <c r="C272" s="1" t="s">
        <v>71</v>
      </c>
      <c r="D272" s="1" t="s">
        <v>323</v>
      </c>
      <c r="E272" s="1" t="s">
        <v>1003</v>
      </c>
      <c r="F272" s="1" t="s">
        <v>372</v>
      </c>
      <c r="G272" s="3">
        <v>786</v>
      </c>
      <c r="H272" s="4">
        <v>9</v>
      </c>
      <c r="I272" s="5">
        <v>1737.06</v>
      </c>
      <c r="J272" s="5">
        <v>0</v>
      </c>
      <c r="K272" s="1" t="s">
        <v>36</v>
      </c>
      <c r="L272" s="1" t="s">
        <v>75</v>
      </c>
      <c r="M272" s="1" t="s">
        <v>37</v>
      </c>
      <c r="N272" s="3">
        <v>786</v>
      </c>
      <c r="O272" s="6">
        <f>Table1[[#This Row],[Invoice Qty]]-Table1[[#This Row],[ExFactory Qty]]</f>
        <v>0</v>
      </c>
      <c r="P272" s="1" t="s">
        <v>983</v>
      </c>
      <c r="Q272" s="2">
        <v>46275.760590277801</v>
      </c>
      <c r="R272" s="2">
        <v>46280</v>
      </c>
      <c r="S272" s="1" t="s">
        <v>39</v>
      </c>
      <c r="U272" s="1" t="s">
        <v>40</v>
      </c>
      <c r="V272" s="1" t="s">
        <v>77</v>
      </c>
      <c r="W272" s="1" t="s">
        <v>40</v>
      </c>
      <c r="X272" s="1" t="s">
        <v>40</v>
      </c>
      <c r="Z272" s="2">
        <v>46282</v>
      </c>
      <c r="AA272" s="1" t="s">
        <v>1004</v>
      </c>
      <c r="AB272" s="2">
        <v>46271</v>
      </c>
      <c r="AC272" s="2">
        <v>46271</v>
      </c>
      <c r="AE272" s="1" t="s">
        <v>40</v>
      </c>
      <c r="AF272" s="1" t="s">
        <v>326</v>
      </c>
    </row>
    <row r="273" spans="1:32" ht="12.75" hidden="1" customHeight="1" x14ac:dyDescent="0.2">
      <c r="A273" s="1" t="s">
        <v>30</v>
      </c>
      <c r="B273" s="1" t="s">
        <v>1005</v>
      </c>
      <c r="C273" s="1" t="s">
        <v>71</v>
      </c>
      <c r="D273" s="1" t="s">
        <v>72</v>
      </c>
      <c r="E273" s="1" t="s">
        <v>685</v>
      </c>
      <c r="F273" s="1" t="s">
        <v>376</v>
      </c>
      <c r="G273" s="3">
        <v>1315</v>
      </c>
      <c r="H273" s="4">
        <v>14</v>
      </c>
      <c r="I273" s="5">
        <v>3471.6</v>
      </c>
      <c r="J273" s="5">
        <v>0</v>
      </c>
      <c r="K273" s="1" t="s">
        <v>36</v>
      </c>
      <c r="L273" s="1" t="s">
        <v>75</v>
      </c>
      <c r="M273" s="1" t="s">
        <v>37</v>
      </c>
      <c r="N273" s="3">
        <v>1315</v>
      </c>
      <c r="O273" s="6">
        <f>Table1[[#This Row],[Invoice Qty]]-Table1[[#This Row],[ExFactory Qty]]</f>
        <v>0</v>
      </c>
      <c r="P273" s="1" t="s">
        <v>973</v>
      </c>
      <c r="Q273" s="2">
        <v>46275.782476851899</v>
      </c>
      <c r="R273" s="2">
        <v>46284</v>
      </c>
      <c r="S273" s="1" t="s">
        <v>39</v>
      </c>
      <c r="U273" s="1" t="s">
        <v>40</v>
      </c>
      <c r="V273" s="1" t="s">
        <v>77</v>
      </c>
      <c r="W273" s="1" t="s">
        <v>40</v>
      </c>
      <c r="X273" s="1" t="s">
        <v>40</v>
      </c>
      <c r="AA273" s="1" t="s">
        <v>1006</v>
      </c>
      <c r="AB273" s="2">
        <v>46271</v>
      </c>
      <c r="AC273" s="2">
        <v>46271</v>
      </c>
      <c r="AE273" s="1" t="s">
        <v>40</v>
      </c>
      <c r="AF273" s="1" t="s">
        <v>79</v>
      </c>
    </row>
    <row r="274" spans="1:32" ht="12.75" hidden="1" customHeight="1" x14ac:dyDescent="0.2">
      <c r="A274" s="1" t="s">
        <v>30</v>
      </c>
      <c r="B274" s="1" t="s">
        <v>1007</v>
      </c>
      <c r="C274" s="1" t="s">
        <v>71</v>
      </c>
      <c r="D274" s="1" t="s">
        <v>72</v>
      </c>
      <c r="E274" s="1" t="s">
        <v>685</v>
      </c>
      <c r="F274" s="1" t="s">
        <v>252</v>
      </c>
      <c r="G274" s="3">
        <v>1254</v>
      </c>
      <c r="H274" s="4">
        <v>13</v>
      </c>
      <c r="I274" s="5">
        <v>3310.56</v>
      </c>
      <c r="J274" s="5">
        <v>0</v>
      </c>
      <c r="K274" s="1" t="s">
        <v>36</v>
      </c>
      <c r="L274" s="1" t="s">
        <v>75</v>
      </c>
      <c r="M274" s="1" t="s">
        <v>37</v>
      </c>
      <c r="N274" s="3">
        <v>1254</v>
      </c>
      <c r="O274" s="6">
        <f>Table1[[#This Row],[Invoice Qty]]-Table1[[#This Row],[ExFactory Qty]]</f>
        <v>0</v>
      </c>
      <c r="P274" s="1" t="s">
        <v>987</v>
      </c>
      <c r="Q274" s="2">
        <v>46275.518842592603</v>
      </c>
      <c r="R274" s="2">
        <v>46280</v>
      </c>
      <c r="S274" s="1" t="s">
        <v>39</v>
      </c>
      <c r="U274" s="1" t="s">
        <v>40</v>
      </c>
      <c r="V274" s="1" t="s">
        <v>77</v>
      </c>
      <c r="W274" s="1" t="s">
        <v>40</v>
      </c>
      <c r="X274" s="1" t="s">
        <v>40</v>
      </c>
      <c r="Z274" s="2">
        <v>46282</v>
      </c>
      <c r="AA274" s="1" t="s">
        <v>1008</v>
      </c>
      <c r="AB274" s="2">
        <v>46271</v>
      </c>
      <c r="AC274" s="2">
        <v>46271</v>
      </c>
      <c r="AE274" s="1" t="s">
        <v>40</v>
      </c>
      <c r="AF274" s="1" t="s">
        <v>79</v>
      </c>
    </row>
    <row r="275" spans="1:32" ht="12.75" hidden="1" customHeight="1" x14ac:dyDescent="0.2">
      <c r="A275" s="1" t="s">
        <v>30</v>
      </c>
      <c r="B275" s="1" t="s">
        <v>1009</v>
      </c>
      <c r="C275" s="1" t="s">
        <v>71</v>
      </c>
      <c r="D275" s="1" t="s">
        <v>72</v>
      </c>
      <c r="E275" s="1" t="s">
        <v>685</v>
      </c>
      <c r="F275" s="1" t="s">
        <v>341</v>
      </c>
      <c r="G275" s="3">
        <v>261</v>
      </c>
      <c r="H275" s="4">
        <v>3</v>
      </c>
      <c r="I275" s="5">
        <v>689.04</v>
      </c>
      <c r="J275" s="5">
        <v>0</v>
      </c>
      <c r="K275" s="1" t="s">
        <v>36</v>
      </c>
      <c r="L275" s="1" t="s">
        <v>75</v>
      </c>
      <c r="M275" s="1" t="s">
        <v>37</v>
      </c>
      <c r="N275" s="3">
        <v>261</v>
      </c>
      <c r="O275" s="6">
        <f>Table1[[#This Row],[Invoice Qty]]-Table1[[#This Row],[ExFactory Qty]]</f>
        <v>0</v>
      </c>
      <c r="P275" s="1" t="s">
        <v>973</v>
      </c>
      <c r="Q275" s="2">
        <v>46275.782476851899</v>
      </c>
      <c r="R275" s="2">
        <v>46283</v>
      </c>
      <c r="S275" s="1" t="s">
        <v>39</v>
      </c>
      <c r="U275" s="1" t="s">
        <v>40</v>
      </c>
      <c r="V275" s="1" t="s">
        <v>77</v>
      </c>
      <c r="W275" s="1" t="s">
        <v>40</v>
      </c>
      <c r="X275" s="1" t="s">
        <v>40</v>
      </c>
      <c r="Z275" s="2">
        <v>46283</v>
      </c>
      <c r="AA275" s="1" t="s">
        <v>1010</v>
      </c>
      <c r="AB275" s="2">
        <v>46271</v>
      </c>
      <c r="AC275" s="2">
        <v>46271</v>
      </c>
      <c r="AE275" s="1" t="s">
        <v>40</v>
      </c>
      <c r="AF275" s="1" t="s">
        <v>79</v>
      </c>
    </row>
    <row r="276" spans="1:32" ht="12.75" hidden="1" customHeight="1" x14ac:dyDescent="0.2">
      <c r="A276" s="1" t="s">
        <v>30</v>
      </c>
      <c r="B276" s="1" t="s">
        <v>1011</v>
      </c>
      <c r="C276" s="1" t="s">
        <v>71</v>
      </c>
      <c r="D276" s="1" t="s">
        <v>72</v>
      </c>
      <c r="E276" s="1" t="s">
        <v>685</v>
      </c>
      <c r="F276" s="1" t="s">
        <v>466</v>
      </c>
      <c r="G276" s="3">
        <v>471</v>
      </c>
      <c r="H276" s="4">
        <v>7</v>
      </c>
      <c r="I276" s="5">
        <v>1243.44</v>
      </c>
      <c r="J276" s="5">
        <v>0</v>
      </c>
      <c r="K276" s="1" t="s">
        <v>36</v>
      </c>
      <c r="L276" s="1" t="s">
        <v>75</v>
      </c>
      <c r="M276" s="1" t="s">
        <v>37</v>
      </c>
      <c r="N276" s="3">
        <v>471</v>
      </c>
      <c r="O276" s="6">
        <f>Table1[[#This Row],[Invoice Qty]]-Table1[[#This Row],[ExFactory Qty]]</f>
        <v>0</v>
      </c>
      <c r="P276" s="1" t="s">
        <v>983</v>
      </c>
      <c r="Q276" s="2">
        <v>46275.760590277801</v>
      </c>
      <c r="R276" s="2">
        <v>46287</v>
      </c>
      <c r="S276" s="1" t="s">
        <v>39</v>
      </c>
      <c r="U276" s="1" t="s">
        <v>40</v>
      </c>
      <c r="V276" s="1" t="s">
        <v>77</v>
      </c>
      <c r="W276" s="1" t="s">
        <v>40</v>
      </c>
      <c r="X276" s="1" t="s">
        <v>40</v>
      </c>
      <c r="Z276" s="2">
        <v>46288</v>
      </c>
      <c r="AA276" s="1" t="s">
        <v>1012</v>
      </c>
      <c r="AB276" s="2">
        <v>46271</v>
      </c>
      <c r="AC276" s="2">
        <v>46271</v>
      </c>
      <c r="AE276" s="1" t="s">
        <v>40</v>
      </c>
      <c r="AF276" s="1" t="s">
        <v>79</v>
      </c>
    </row>
    <row r="277" spans="1:32" ht="12.75" hidden="1" customHeight="1" x14ac:dyDescent="0.2">
      <c r="A277" s="1" t="s">
        <v>30</v>
      </c>
      <c r="B277" s="1" t="s">
        <v>1013</v>
      </c>
      <c r="C277" s="1" t="s">
        <v>71</v>
      </c>
      <c r="D277" s="1" t="s">
        <v>72</v>
      </c>
      <c r="E277" s="1" t="s">
        <v>685</v>
      </c>
      <c r="F277" s="1" t="s">
        <v>345</v>
      </c>
      <c r="G277" s="3">
        <v>1108</v>
      </c>
      <c r="H277" s="4">
        <v>11</v>
      </c>
      <c r="I277" s="5">
        <v>2925.12</v>
      </c>
      <c r="J277" s="5">
        <v>0</v>
      </c>
      <c r="K277" s="1" t="s">
        <v>36</v>
      </c>
      <c r="L277" s="1" t="s">
        <v>75</v>
      </c>
      <c r="M277" s="1" t="s">
        <v>37</v>
      </c>
      <c r="N277" s="3">
        <v>1108</v>
      </c>
      <c r="O277" s="6">
        <f>Table1[[#This Row],[Invoice Qty]]-Table1[[#This Row],[ExFactory Qty]]</f>
        <v>0</v>
      </c>
      <c r="P277" s="1" t="s">
        <v>973</v>
      </c>
      <c r="Q277" s="2">
        <v>46275.782476851899</v>
      </c>
      <c r="R277" s="2">
        <v>46280</v>
      </c>
      <c r="S277" s="1" t="s">
        <v>39</v>
      </c>
      <c r="U277" s="1" t="s">
        <v>40</v>
      </c>
      <c r="V277" s="1" t="s">
        <v>77</v>
      </c>
      <c r="W277" s="1" t="s">
        <v>40</v>
      </c>
      <c r="X277" s="1" t="s">
        <v>40</v>
      </c>
      <c r="Z277" s="2">
        <v>46281</v>
      </c>
      <c r="AA277" s="1" t="s">
        <v>1014</v>
      </c>
      <c r="AB277" s="2">
        <v>46271</v>
      </c>
      <c r="AC277" s="2">
        <v>46271</v>
      </c>
      <c r="AE277" s="1" t="s">
        <v>40</v>
      </c>
      <c r="AF277" s="1" t="s">
        <v>79</v>
      </c>
    </row>
    <row r="278" spans="1:32" ht="12.75" hidden="1" customHeight="1" x14ac:dyDescent="0.2">
      <c r="A278" s="1" t="s">
        <v>30</v>
      </c>
      <c r="B278" s="1" t="s">
        <v>1015</v>
      </c>
      <c r="C278" s="1" t="s">
        <v>71</v>
      </c>
      <c r="D278" s="1" t="s">
        <v>72</v>
      </c>
      <c r="E278" s="1" t="s">
        <v>685</v>
      </c>
      <c r="F278" s="1" t="s">
        <v>384</v>
      </c>
      <c r="G278" s="3">
        <v>8825</v>
      </c>
      <c r="H278" s="4">
        <v>85</v>
      </c>
      <c r="I278" s="5">
        <v>23298</v>
      </c>
      <c r="J278" s="5">
        <v>0</v>
      </c>
      <c r="K278" s="1" t="s">
        <v>36</v>
      </c>
      <c r="L278" s="1" t="s">
        <v>75</v>
      </c>
      <c r="M278" s="1" t="s">
        <v>37</v>
      </c>
      <c r="N278" s="3">
        <v>8825</v>
      </c>
      <c r="O278" s="6">
        <f>Table1[[#This Row],[Invoice Qty]]-Table1[[#This Row],[ExFactory Qty]]</f>
        <v>0</v>
      </c>
      <c r="P278" s="1" t="s">
        <v>1016</v>
      </c>
      <c r="Q278" s="2">
        <v>46275.761307870402</v>
      </c>
      <c r="R278" s="2">
        <v>46286</v>
      </c>
      <c r="S278" s="1" t="s">
        <v>39</v>
      </c>
      <c r="U278" s="1" t="s">
        <v>40</v>
      </c>
      <c r="V278" s="1" t="s">
        <v>77</v>
      </c>
      <c r="W278" s="1" t="s">
        <v>40</v>
      </c>
      <c r="X278" s="1" t="s">
        <v>40</v>
      </c>
      <c r="Z278" s="2">
        <v>46282</v>
      </c>
      <c r="AA278" s="1" t="s">
        <v>1017</v>
      </c>
      <c r="AB278" s="2">
        <v>46271</v>
      </c>
      <c r="AC278" s="2">
        <v>46271</v>
      </c>
      <c r="AE278" s="1" t="s">
        <v>40</v>
      </c>
      <c r="AF278" s="1" t="s">
        <v>79</v>
      </c>
    </row>
    <row r="279" spans="1:32" ht="12.75" hidden="1" customHeight="1" x14ac:dyDescent="0.2">
      <c r="A279" s="1" t="s">
        <v>30</v>
      </c>
      <c r="B279" s="1" t="s">
        <v>1018</v>
      </c>
      <c r="C279" s="1" t="s">
        <v>71</v>
      </c>
      <c r="D279" s="1" t="s">
        <v>72</v>
      </c>
      <c r="E279" s="1" t="s">
        <v>685</v>
      </c>
      <c r="F279" s="1" t="s">
        <v>459</v>
      </c>
      <c r="G279" s="3">
        <v>21</v>
      </c>
      <c r="H279" s="4">
        <v>1</v>
      </c>
      <c r="I279" s="5">
        <v>55.44</v>
      </c>
      <c r="J279" s="5">
        <v>0</v>
      </c>
      <c r="K279" s="1" t="s">
        <v>36</v>
      </c>
      <c r="L279" s="1" t="s">
        <v>75</v>
      </c>
      <c r="M279" s="1" t="s">
        <v>37</v>
      </c>
      <c r="N279" s="3">
        <v>21</v>
      </c>
      <c r="O279" s="6">
        <f>Table1[[#This Row],[Invoice Qty]]-Table1[[#This Row],[ExFactory Qty]]</f>
        <v>0</v>
      </c>
      <c r="P279" s="1" t="s">
        <v>983</v>
      </c>
      <c r="Q279" s="2">
        <v>46275.760590277801</v>
      </c>
      <c r="R279" s="2">
        <v>46282</v>
      </c>
      <c r="S279" s="1" t="s">
        <v>39</v>
      </c>
      <c r="U279" s="1" t="s">
        <v>40</v>
      </c>
      <c r="V279" s="1" t="s">
        <v>77</v>
      </c>
      <c r="W279" s="1" t="s">
        <v>40</v>
      </c>
      <c r="X279" s="1" t="s">
        <v>40</v>
      </c>
      <c r="Z279" s="2">
        <v>46282</v>
      </c>
      <c r="AA279" s="1" t="s">
        <v>1019</v>
      </c>
      <c r="AB279" s="2">
        <v>46271</v>
      </c>
      <c r="AC279" s="2">
        <v>46271</v>
      </c>
      <c r="AE279" s="1" t="s">
        <v>40</v>
      </c>
      <c r="AF279" s="1" t="s">
        <v>79</v>
      </c>
    </row>
    <row r="280" spans="1:32" ht="12.75" hidden="1" customHeight="1" x14ac:dyDescent="0.2">
      <c r="A280" s="1" t="s">
        <v>30</v>
      </c>
      <c r="B280" s="1" t="s">
        <v>1020</v>
      </c>
      <c r="C280" s="1" t="s">
        <v>71</v>
      </c>
      <c r="D280" s="1" t="s">
        <v>72</v>
      </c>
      <c r="E280" s="1" t="s">
        <v>685</v>
      </c>
      <c r="F280" s="1" t="s">
        <v>459</v>
      </c>
      <c r="G280" s="3">
        <v>82</v>
      </c>
      <c r="H280" s="4">
        <v>1</v>
      </c>
      <c r="I280" s="5">
        <v>216.48</v>
      </c>
      <c r="J280" s="5">
        <v>0</v>
      </c>
      <c r="K280" s="1" t="s">
        <v>36</v>
      </c>
      <c r="L280" s="1" t="s">
        <v>75</v>
      </c>
      <c r="M280" s="1" t="s">
        <v>37</v>
      </c>
      <c r="N280" s="3">
        <v>82</v>
      </c>
      <c r="O280" s="6">
        <f>Table1[[#This Row],[Invoice Qty]]-Table1[[#This Row],[ExFactory Qty]]</f>
        <v>0</v>
      </c>
      <c r="P280" s="1" t="s">
        <v>983</v>
      </c>
      <c r="Q280" s="2">
        <v>46275.760590277801</v>
      </c>
      <c r="R280" s="2">
        <v>46282</v>
      </c>
      <c r="S280" s="1" t="s">
        <v>39</v>
      </c>
      <c r="U280" s="1" t="s">
        <v>40</v>
      </c>
      <c r="V280" s="1" t="s">
        <v>77</v>
      </c>
      <c r="W280" s="1" t="s">
        <v>40</v>
      </c>
      <c r="X280" s="1" t="s">
        <v>40</v>
      </c>
      <c r="Z280" s="2">
        <v>46282</v>
      </c>
      <c r="AA280" s="1" t="s">
        <v>1021</v>
      </c>
      <c r="AB280" s="2">
        <v>46275</v>
      </c>
      <c r="AC280" s="2">
        <v>46275</v>
      </c>
      <c r="AE280" s="1" t="s">
        <v>40</v>
      </c>
      <c r="AF280" s="1" t="s">
        <v>79</v>
      </c>
    </row>
    <row r="281" spans="1:32" ht="12.75" hidden="1" customHeight="1" x14ac:dyDescent="0.2">
      <c r="A281" s="1" t="s">
        <v>30</v>
      </c>
      <c r="B281" s="1" t="s">
        <v>1022</v>
      </c>
      <c r="C281" s="1" t="s">
        <v>71</v>
      </c>
      <c r="D281" s="1" t="s">
        <v>323</v>
      </c>
      <c r="E281" s="1" t="s">
        <v>1023</v>
      </c>
      <c r="F281" s="1" t="s">
        <v>74</v>
      </c>
      <c r="G281" s="3">
        <v>308</v>
      </c>
      <c r="H281" s="4">
        <v>4</v>
      </c>
      <c r="I281" s="5">
        <v>677.6</v>
      </c>
      <c r="J281" s="5">
        <v>0</v>
      </c>
      <c r="K281" s="1" t="s">
        <v>36</v>
      </c>
      <c r="L281" s="1" t="s">
        <v>75</v>
      </c>
      <c r="M281" s="1" t="s">
        <v>37</v>
      </c>
      <c r="N281" s="3">
        <v>308</v>
      </c>
      <c r="O281" s="6">
        <f>Table1[[#This Row],[Invoice Qty]]-Table1[[#This Row],[ExFactory Qty]]</f>
        <v>0</v>
      </c>
      <c r="P281" s="1" t="s">
        <v>987</v>
      </c>
      <c r="Q281" s="2">
        <v>46275.518842592603</v>
      </c>
      <c r="R281" s="2">
        <v>46280</v>
      </c>
      <c r="S281" s="1" t="s">
        <v>39</v>
      </c>
      <c r="U281" s="1" t="s">
        <v>40</v>
      </c>
      <c r="V281" s="1" t="s">
        <v>77</v>
      </c>
      <c r="W281" s="1" t="s">
        <v>40</v>
      </c>
      <c r="X281" s="1" t="s">
        <v>40</v>
      </c>
      <c r="Z281" s="2">
        <v>46281</v>
      </c>
      <c r="AA281" s="1" t="s">
        <v>1024</v>
      </c>
      <c r="AB281" s="2">
        <v>46271</v>
      </c>
      <c r="AC281" s="2">
        <v>46271</v>
      </c>
      <c r="AE281" s="1" t="s">
        <v>40</v>
      </c>
      <c r="AF281" s="1" t="s">
        <v>326</v>
      </c>
    </row>
    <row r="282" spans="1:32" ht="12.75" hidden="1" customHeight="1" x14ac:dyDescent="0.2">
      <c r="A282" s="1" t="s">
        <v>30</v>
      </c>
      <c r="B282" s="1" t="s">
        <v>1025</v>
      </c>
      <c r="C282" s="1" t="s">
        <v>71</v>
      </c>
      <c r="D282" s="1" t="s">
        <v>323</v>
      </c>
      <c r="E282" s="1" t="s">
        <v>1023</v>
      </c>
      <c r="F282" s="1" t="s">
        <v>74</v>
      </c>
      <c r="G282" s="3">
        <v>319</v>
      </c>
      <c r="H282" s="4">
        <v>4</v>
      </c>
      <c r="I282" s="5">
        <v>701.8</v>
      </c>
      <c r="J282" s="5">
        <v>0</v>
      </c>
      <c r="K282" s="1" t="s">
        <v>36</v>
      </c>
      <c r="L282" s="1" t="s">
        <v>75</v>
      </c>
      <c r="M282" s="1" t="s">
        <v>37</v>
      </c>
      <c r="N282" s="3">
        <v>319</v>
      </c>
      <c r="O282" s="6">
        <f>Table1[[#This Row],[Invoice Qty]]-Table1[[#This Row],[ExFactory Qty]]</f>
        <v>0</v>
      </c>
      <c r="P282" s="1" t="s">
        <v>987</v>
      </c>
      <c r="Q282" s="2">
        <v>46275.518842592603</v>
      </c>
      <c r="R282" s="2">
        <v>46280</v>
      </c>
      <c r="S282" s="1" t="s">
        <v>39</v>
      </c>
      <c r="U282" s="1" t="s">
        <v>40</v>
      </c>
      <c r="V282" s="1" t="s">
        <v>77</v>
      </c>
      <c r="W282" s="1" t="s">
        <v>40</v>
      </c>
      <c r="X282" s="1" t="s">
        <v>40</v>
      </c>
      <c r="Z282" s="2">
        <v>46283</v>
      </c>
      <c r="AA282" s="1" t="s">
        <v>1026</v>
      </c>
      <c r="AB282" s="2">
        <v>46271</v>
      </c>
      <c r="AC282" s="2">
        <v>46271</v>
      </c>
      <c r="AE282" s="1" t="s">
        <v>40</v>
      </c>
      <c r="AF282" s="1" t="s">
        <v>326</v>
      </c>
    </row>
    <row r="283" spans="1:32" ht="12.75" hidden="1" customHeight="1" x14ac:dyDescent="0.2">
      <c r="A283" s="1" t="s">
        <v>30</v>
      </c>
      <c r="B283" s="1" t="s">
        <v>1027</v>
      </c>
      <c r="C283" s="1" t="s">
        <v>71</v>
      </c>
      <c r="D283" s="1" t="s">
        <v>457</v>
      </c>
      <c r="E283" s="1" t="s">
        <v>1028</v>
      </c>
      <c r="F283" s="1" t="s">
        <v>459</v>
      </c>
      <c r="G283" s="3">
        <v>132</v>
      </c>
      <c r="H283" s="4">
        <v>2</v>
      </c>
      <c r="I283" s="5">
        <v>558.36</v>
      </c>
      <c r="J283" s="5">
        <v>0</v>
      </c>
      <c r="K283" s="1" t="s">
        <v>36</v>
      </c>
      <c r="L283" s="1" t="s">
        <v>75</v>
      </c>
      <c r="M283" s="1" t="s">
        <v>37</v>
      </c>
      <c r="N283" s="3">
        <v>132</v>
      </c>
      <c r="O283" s="6">
        <f>Table1[[#This Row],[Invoice Qty]]-Table1[[#This Row],[ExFactory Qty]]</f>
        <v>0</v>
      </c>
      <c r="P283" s="1" t="s">
        <v>983</v>
      </c>
      <c r="Q283" s="2">
        <v>46275.760590277801</v>
      </c>
      <c r="R283" s="2">
        <v>46282</v>
      </c>
      <c r="S283" s="1" t="s">
        <v>39</v>
      </c>
      <c r="U283" s="1" t="s">
        <v>40</v>
      </c>
      <c r="V283" s="1" t="s">
        <v>77</v>
      </c>
      <c r="W283" s="1" t="s">
        <v>40</v>
      </c>
      <c r="X283" s="1" t="s">
        <v>40</v>
      </c>
      <c r="Z283" s="2">
        <v>46282</v>
      </c>
      <c r="AA283" s="1" t="s">
        <v>1029</v>
      </c>
      <c r="AB283" s="2">
        <v>46275</v>
      </c>
      <c r="AC283" s="2">
        <v>46275</v>
      </c>
      <c r="AE283" s="1" t="s">
        <v>40</v>
      </c>
      <c r="AF283" s="1" t="s">
        <v>326</v>
      </c>
    </row>
    <row r="284" spans="1:32" ht="12.75" hidden="1" customHeight="1" x14ac:dyDescent="0.2">
      <c r="A284" s="1" t="s">
        <v>30</v>
      </c>
      <c r="B284" s="1" t="s">
        <v>1030</v>
      </c>
      <c r="C284" s="1" t="s">
        <v>71</v>
      </c>
      <c r="D284" s="1" t="s">
        <v>457</v>
      </c>
      <c r="E284" s="1" t="s">
        <v>1028</v>
      </c>
      <c r="F284" s="1" t="s">
        <v>466</v>
      </c>
      <c r="G284" s="3">
        <v>446</v>
      </c>
      <c r="H284" s="4">
        <v>9</v>
      </c>
      <c r="I284" s="5">
        <v>1886.58</v>
      </c>
      <c r="J284" s="5">
        <v>0</v>
      </c>
      <c r="K284" s="1" t="s">
        <v>36</v>
      </c>
      <c r="L284" s="1" t="s">
        <v>75</v>
      </c>
      <c r="M284" s="1" t="s">
        <v>37</v>
      </c>
      <c r="N284" s="3">
        <v>446</v>
      </c>
      <c r="O284" s="6">
        <f>Table1[[#This Row],[Invoice Qty]]-Table1[[#This Row],[ExFactory Qty]]</f>
        <v>0</v>
      </c>
      <c r="P284" s="1" t="s">
        <v>983</v>
      </c>
      <c r="Q284" s="2">
        <v>46275.760590277801</v>
      </c>
      <c r="R284" s="2">
        <v>46287</v>
      </c>
      <c r="S284" s="1" t="s">
        <v>39</v>
      </c>
      <c r="U284" s="1" t="s">
        <v>40</v>
      </c>
      <c r="V284" s="1" t="s">
        <v>77</v>
      </c>
      <c r="W284" s="1" t="s">
        <v>40</v>
      </c>
      <c r="X284" s="1" t="s">
        <v>40</v>
      </c>
      <c r="Z284" s="2">
        <v>46288</v>
      </c>
      <c r="AA284" s="1" t="s">
        <v>1031</v>
      </c>
      <c r="AB284" s="2">
        <v>46275</v>
      </c>
      <c r="AC284" s="2">
        <v>46275</v>
      </c>
      <c r="AE284" s="1" t="s">
        <v>40</v>
      </c>
      <c r="AF284" s="1" t="s">
        <v>326</v>
      </c>
    </row>
    <row r="285" spans="1:32" ht="12.75" hidden="1" customHeight="1" x14ac:dyDescent="0.2">
      <c r="A285" s="1" t="s">
        <v>86</v>
      </c>
      <c r="B285" s="1" t="s">
        <v>1032</v>
      </c>
      <c r="C285" s="1" t="s">
        <v>71</v>
      </c>
      <c r="D285" s="1" t="s">
        <v>323</v>
      </c>
      <c r="E285" s="1" t="s">
        <v>1033</v>
      </c>
      <c r="F285" s="1" t="s">
        <v>372</v>
      </c>
      <c r="G285" s="3">
        <v>711</v>
      </c>
      <c r="H285" s="4">
        <v>8</v>
      </c>
      <c r="I285" s="5">
        <v>1621.08</v>
      </c>
      <c r="J285" s="5">
        <v>0</v>
      </c>
      <c r="K285" s="1" t="s">
        <v>36</v>
      </c>
      <c r="L285" s="1" t="s">
        <v>75</v>
      </c>
      <c r="M285" s="1" t="s">
        <v>37</v>
      </c>
      <c r="N285" s="3">
        <v>711</v>
      </c>
      <c r="O285" s="6">
        <f>Table1[[#This Row],[Invoice Qty]]-Table1[[#This Row],[ExFactory Qty]]</f>
        <v>0</v>
      </c>
      <c r="P285" s="1" t="s">
        <v>1034</v>
      </c>
      <c r="Q285" s="2">
        <v>46289.626203703701</v>
      </c>
      <c r="S285" s="1" t="s">
        <v>39</v>
      </c>
      <c r="U285" s="1" t="s">
        <v>40</v>
      </c>
      <c r="V285" s="1" t="s">
        <v>77</v>
      </c>
      <c r="W285" s="1" t="s">
        <v>40</v>
      </c>
      <c r="X285" s="1" t="s">
        <v>40</v>
      </c>
      <c r="AA285" s="1" t="s">
        <v>1035</v>
      </c>
      <c r="AB285" s="2">
        <v>46271</v>
      </c>
      <c r="AC285" s="2">
        <v>46271</v>
      </c>
      <c r="AE285" s="1" t="s">
        <v>40</v>
      </c>
      <c r="AF285" s="1" t="s">
        <v>326</v>
      </c>
    </row>
    <row r="286" spans="1:32" ht="12.75" hidden="1" customHeight="1" x14ac:dyDescent="0.2">
      <c r="A286" s="1" t="s">
        <v>30</v>
      </c>
      <c r="B286" s="1" t="s">
        <v>1036</v>
      </c>
      <c r="C286" s="1" t="s">
        <v>138</v>
      </c>
      <c r="D286" s="1" t="s">
        <v>139</v>
      </c>
      <c r="E286" s="1" t="s">
        <v>1037</v>
      </c>
      <c r="F286" s="1" t="s">
        <v>124</v>
      </c>
      <c r="G286" s="3">
        <v>610</v>
      </c>
      <c r="H286" s="4">
        <v>78</v>
      </c>
      <c r="I286" s="5">
        <v>4811.2</v>
      </c>
      <c r="J286" s="5">
        <v>0</v>
      </c>
      <c r="K286" s="1" t="s">
        <v>36</v>
      </c>
      <c r="L286" s="1" t="s">
        <v>51</v>
      </c>
      <c r="M286" s="1" t="s">
        <v>247</v>
      </c>
      <c r="N286" s="3">
        <v>610</v>
      </c>
      <c r="O286" s="6">
        <f>Table1[[#This Row],[Invoice Qty]]-Table1[[#This Row],[ExFactory Qty]]</f>
        <v>0</v>
      </c>
      <c r="P286" s="1" t="s">
        <v>1038</v>
      </c>
      <c r="Q286" s="2">
        <v>46277.490763888898</v>
      </c>
      <c r="R286" s="2">
        <v>46289</v>
      </c>
      <c r="S286" s="1" t="s">
        <v>39</v>
      </c>
      <c r="U286" s="1" t="s">
        <v>40</v>
      </c>
      <c r="V286" s="1" t="s">
        <v>55</v>
      </c>
      <c r="W286" s="1" t="s">
        <v>40</v>
      </c>
      <c r="X286" s="1" t="s">
        <v>40</v>
      </c>
      <c r="AA286" s="1" t="s">
        <v>1039</v>
      </c>
      <c r="AB286" s="2">
        <v>46275</v>
      </c>
      <c r="AC286" s="2">
        <v>46275</v>
      </c>
      <c r="AE286" s="1" t="s">
        <v>40</v>
      </c>
      <c r="AF286" s="1" t="s">
        <v>144</v>
      </c>
    </row>
    <row r="287" spans="1:32" ht="12.75" hidden="1" customHeight="1" x14ac:dyDescent="0.2">
      <c r="A287" s="1" t="s">
        <v>30</v>
      </c>
      <c r="B287" s="1" t="s">
        <v>1040</v>
      </c>
      <c r="C287" s="1" t="s">
        <v>1041</v>
      </c>
      <c r="D287" s="1" t="s">
        <v>1042</v>
      </c>
      <c r="E287" s="1" t="s">
        <v>1043</v>
      </c>
      <c r="F287" s="1" t="s">
        <v>230</v>
      </c>
      <c r="G287" s="3">
        <v>3033</v>
      </c>
      <c r="H287" s="4">
        <v>152</v>
      </c>
      <c r="I287" s="5">
        <v>34758.18</v>
      </c>
      <c r="J287" s="5">
        <v>0</v>
      </c>
      <c r="K287" s="1" t="s">
        <v>36</v>
      </c>
      <c r="L287" s="1" t="s">
        <v>51</v>
      </c>
      <c r="M287" s="1" t="s">
        <v>37</v>
      </c>
      <c r="N287" s="3">
        <v>3033</v>
      </c>
      <c r="O287" s="6">
        <f>Table1[[#This Row],[Invoice Qty]]-Table1[[#This Row],[ExFactory Qty]]</f>
        <v>0</v>
      </c>
      <c r="P287" s="1" t="s">
        <v>1044</v>
      </c>
      <c r="Q287" s="2">
        <v>46275.686249999999</v>
      </c>
      <c r="R287" s="2">
        <v>46285</v>
      </c>
      <c r="S287" s="1" t="s">
        <v>39</v>
      </c>
      <c r="U287" s="1" t="s">
        <v>40</v>
      </c>
      <c r="V287" s="1" t="s">
        <v>55</v>
      </c>
      <c r="W287" s="1" t="s">
        <v>40</v>
      </c>
      <c r="X287" s="1" t="s">
        <v>40</v>
      </c>
      <c r="AA287" s="1" t="s">
        <v>1045</v>
      </c>
      <c r="AB287" s="2">
        <v>46275</v>
      </c>
      <c r="AC287" s="2">
        <v>46275</v>
      </c>
      <c r="AE287" s="1" t="s">
        <v>40</v>
      </c>
      <c r="AF287" s="1" t="s">
        <v>43</v>
      </c>
    </row>
    <row r="288" spans="1:32" ht="12.75" hidden="1" customHeight="1" x14ac:dyDescent="0.2">
      <c r="A288" s="1" t="s">
        <v>30</v>
      </c>
      <c r="B288" s="1" t="s">
        <v>1046</v>
      </c>
      <c r="C288" s="1" t="s">
        <v>71</v>
      </c>
      <c r="D288" s="1" t="s">
        <v>323</v>
      </c>
      <c r="E288" s="1" t="s">
        <v>331</v>
      </c>
      <c r="F288" s="1" t="s">
        <v>372</v>
      </c>
      <c r="G288" s="3">
        <v>1396</v>
      </c>
      <c r="H288" s="4">
        <v>19</v>
      </c>
      <c r="I288" s="5">
        <v>4188</v>
      </c>
      <c r="J288" s="5">
        <v>0</v>
      </c>
      <c r="K288" s="1" t="s">
        <v>36</v>
      </c>
      <c r="L288" s="1" t="s">
        <v>75</v>
      </c>
      <c r="M288" s="1" t="s">
        <v>247</v>
      </c>
      <c r="N288" s="3">
        <v>1396</v>
      </c>
      <c r="O288" s="6">
        <f>Table1[[#This Row],[Invoice Qty]]-Table1[[#This Row],[ExFactory Qty]]</f>
        <v>0</v>
      </c>
      <c r="P288" s="1" t="s">
        <v>1047</v>
      </c>
      <c r="Q288" s="2">
        <v>46275.827789351897</v>
      </c>
      <c r="R288" s="2">
        <v>46280</v>
      </c>
      <c r="S288" s="1" t="s">
        <v>39</v>
      </c>
      <c r="U288" s="1" t="s">
        <v>40</v>
      </c>
      <c r="V288" s="1" t="s">
        <v>77</v>
      </c>
      <c r="W288" s="1" t="s">
        <v>40</v>
      </c>
      <c r="X288" s="1" t="s">
        <v>40</v>
      </c>
      <c r="AA288" s="1" t="s">
        <v>1048</v>
      </c>
      <c r="AB288" s="2">
        <v>46275</v>
      </c>
      <c r="AC288" s="2">
        <v>46271</v>
      </c>
      <c r="AE288" s="1" t="s">
        <v>40</v>
      </c>
      <c r="AF288" s="1" t="s">
        <v>326</v>
      </c>
    </row>
    <row r="289" spans="1:32" ht="12.75" hidden="1" customHeight="1" x14ac:dyDescent="0.2">
      <c r="A289" s="1" t="s">
        <v>30</v>
      </c>
      <c r="B289" s="1" t="s">
        <v>1049</v>
      </c>
      <c r="C289" s="1" t="s">
        <v>71</v>
      </c>
      <c r="D289" s="1" t="s">
        <v>323</v>
      </c>
      <c r="E289" s="1" t="s">
        <v>334</v>
      </c>
      <c r="F289" s="1" t="s">
        <v>372</v>
      </c>
      <c r="G289" s="3">
        <v>7772</v>
      </c>
      <c r="H289" s="4">
        <v>92</v>
      </c>
      <c r="I289" s="5">
        <v>22849.68</v>
      </c>
      <c r="J289" s="5">
        <v>0</v>
      </c>
      <c r="K289" s="1" t="s">
        <v>36</v>
      </c>
      <c r="L289" s="1" t="s">
        <v>75</v>
      </c>
      <c r="M289" s="1" t="s">
        <v>247</v>
      </c>
      <c r="N289" s="3">
        <v>7772</v>
      </c>
      <c r="O289" s="6">
        <f>Table1[[#This Row],[Invoice Qty]]-Table1[[#This Row],[ExFactory Qty]]</f>
        <v>0</v>
      </c>
      <c r="P289" s="1" t="s">
        <v>1047</v>
      </c>
      <c r="Q289" s="2">
        <v>46275.827789351897</v>
      </c>
      <c r="R289" s="2">
        <v>46280</v>
      </c>
      <c r="S289" s="1" t="s">
        <v>39</v>
      </c>
      <c r="U289" s="1" t="s">
        <v>40</v>
      </c>
      <c r="V289" s="1" t="s">
        <v>77</v>
      </c>
      <c r="W289" s="1" t="s">
        <v>40</v>
      </c>
      <c r="X289" s="1" t="s">
        <v>40</v>
      </c>
      <c r="Z289" s="2">
        <v>46284</v>
      </c>
      <c r="AA289" s="1" t="s">
        <v>1050</v>
      </c>
      <c r="AB289" s="2">
        <v>46271</v>
      </c>
      <c r="AC289" s="2">
        <v>46271</v>
      </c>
      <c r="AE289" s="1" t="s">
        <v>40</v>
      </c>
      <c r="AF289" s="1" t="s">
        <v>326</v>
      </c>
    </row>
    <row r="290" spans="1:32" ht="12.75" hidden="1" customHeight="1" x14ac:dyDescent="0.2">
      <c r="A290" s="1" t="s">
        <v>30</v>
      </c>
      <c r="B290" s="1" t="s">
        <v>1051</v>
      </c>
      <c r="C290" s="1" t="s">
        <v>71</v>
      </c>
      <c r="D290" s="1" t="s">
        <v>72</v>
      </c>
      <c r="E290" s="1" t="s">
        <v>1052</v>
      </c>
      <c r="F290" s="1" t="s">
        <v>337</v>
      </c>
      <c r="G290" s="3">
        <v>90</v>
      </c>
      <c r="H290" s="4">
        <v>1</v>
      </c>
      <c r="I290" s="5">
        <v>252.9</v>
      </c>
      <c r="J290" s="5">
        <v>0</v>
      </c>
      <c r="K290" s="1" t="s">
        <v>36</v>
      </c>
      <c r="L290" s="1" t="s">
        <v>75</v>
      </c>
      <c r="M290" s="1" t="s">
        <v>247</v>
      </c>
      <c r="N290" s="3">
        <v>90</v>
      </c>
      <c r="O290" s="6">
        <f>Table1[[#This Row],[Invoice Qty]]-Table1[[#This Row],[ExFactory Qty]]</f>
        <v>0</v>
      </c>
      <c r="P290" s="1" t="s">
        <v>1053</v>
      </c>
      <c r="Q290" s="2">
        <v>46275.826701388898</v>
      </c>
      <c r="R290" s="2">
        <v>46280</v>
      </c>
      <c r="S290" s="1" t="s">
        <v>39</v>
      </c>
      <c r="U290" s="1" t="s">
        <v>40</v>
      </c>
      <c r="V290" s="1" t="s">
        <v>77</v>
      </c>
      <c r="W290" s="1" t="s">
        <v>40</v>
      </c>
      <c r="X290" s="1" t="s">
        <v>40</v>
      </c>
      <c r="Z290" s="2">
        <v>46281</v>
      </c>
      <c r="AA290" s="1" t="s">
        <v>1054</v>
      </c>
      <c r="AB290" s="2">
        <v>46277</v>
      </c>
      <c r="AC290" s="2">
        <v>46275.691365740699</v>
      </c>
      <c r="AE290" s="1" t="s">
        <v>40</v>
      </c>
      <c r="AF290" s="1" t="s">
        <v>79</v>
      </c>
    </row>
    <row r="291" spans="1:32" ht="12.75" hidden="1" customHeight="1" x14ac:dyDescent="0.2">
      <c r="A291" s="1" t="s">
        <v>30</v>
      </c>
      <c r="B291" s="1" t="s">
        <v>1055</v>
      </c>
      <c r="C291" s="1" t="s">
        <v>71</v>
      </c>
      <c r="D291" s="1" t="s">
        <v>323</v>
      </c>
      <c r="E291" s="1" t="s">
        <v>1056</v>
      </c>
      <c r="F291" s="1" t="s">
        <v>445</v>
      </c>
      <c r="G291" s="3">
        <v>195</v>
      </c>
      <c r="H291" s="4">
        <v>4</v>
      </c>
      <c r="I291" s="5">
        <v>622.04999999999995</v>
      </c>
      <c r="J291" s="5">
        <v>0</v>
      </c>
      <c r="K291" s="1" t="s">
        <v>36</v>
      </c>
      <c r="L291" s="1" t="s">
        <v>75</v>
      </c>
      <c r="M291" s="1" t="s">
        <v>247</v>
      </c>
      <c r="N291" s="3">
        <v>195</v>
      </c>
      <c r="O291" s="6">
        <f>Table1[[#This Row],[Invoice Qty]]-Table1[[#This Row],[ExFactory Qty]]</f>
        <v>0</v>
      </c>
      <c r="P291" s="1" t="s">
        <v>1057</v>
      </c>
      <c r="Q291" s="2">
        <v>46275.635034722203</v>
      </c>
      <c r="R291" s="2">
        <v>46281</v>
      </c>
      <c r="S291" s="1" t="s">
        <v>39</v>
      </c>
      <c r="U291" s="1" t="s">
        <v>40</v>
      </c>
      <c r="V291" s="1" t="s">
        <v>77</v>
      </c>
      <c r="W291" s="1" t="s">
        <v>40</v>
      </c>
      <c r="X291" s="1" t="s">
        <v>40</v>
      </c>
      <c r="Z291" s="2">
        <v>46283</v>
      </c>
      <c r="AA291" s="1" t="s">
        <v>1058</v>
      </c>
      <c r="AB291" s="2">
        <v>46277</v>
      </c>
      <c r="AC291" s="2">
        <v>46275.691365740699</v>
      </c>
      <c r="AE291" s="1" t="s">
        <v>40</v>
      </c>
      <c r="AF291" s="1" t="s">
        <v>326</v>
      </c>
    </row>
    <row r="292" spans="1:32" ht="12.75" hidden="1" customHeight="1" x14ac:dyDescent="0.2">
      <c r="A292" s="1" t="s">
        <v>30</v>
      </c>
      <c r="B292" s="1" t="s">
        <v>1059</v>
      </c>
      <c r="C292" s="1" t="s">
        <v>71</v>
      </c>
      <c r="D292" s="1" t="s">
        <v>323</v>
      </c>
      <c r="E292" s="1" t="s">
        <v>1060</v>
      </c>
      <c r="F292" s="1" t="s">
        <v>445</v>
      </c>
      <c r="G292" s="3">
        <v>195</v>
      </c>
      <c r="H292" s="4">
        <v>4</v>
      </c>
      <c r="I292" s="5">
        <v>622.04999999999995</v>
      </c>
      <c r="J292" s="5">
        <v>0</v>
      </c>
      <c r="K292" s="1" t="s">
        <v>36</v>
      </c>
      <c r="L292" s="1" t="s">
        <v>75</v>
      </c>
      <c r="M292" s="1" t="s">
        <v>247</v>
      </c>
      <c r="N292" s="3">
        <v>195</v>
      </c>
      <c r="O292" s="6">
        <f>Table1[[#This Row],[Invoice Qty]]-Table1[[#This Row],[ExFactory Qty]]</f>
        <v>0</v>
      </c>
      <c r="P292" s="1" t="s">
        <v>1057</v>
      </c>
      <c r="Q292" s="2">
        <v>46275.635034722203</v>
      </c>
      <c r="R292" s="2">
        <v>46281</v>
      </c>
      <c r="S292" s="1" t="s">
        <v>39</v>
      </c>
      <c r="U292" s="1" t="s">
        <v>40</v>
      </c>
      <c r="V292" s="1" t="s">
        <v>77</v>
      </c>
      <c r="W292" s="1" t="s">
        <v>40</v>
      </c>
      <c r="X292" s="1" t="s">
        <v>40</v>
      </c>
      <c r="Z292" s="2">
        <v>46283</v>
      </c>
      <c r="AA292" s="1" t="s">
        <v>1061</v>
      </c>
      <c r="AB292" s="2">
        <v>46277</v>
      </c>
      <c r="AC292" s="2">
        <v>46275.691365740699</v>
      </c>
      <c r="AE292" s="1" t="s">
        <v>40</v>
      </c>
      <c r="AF292" s="1" t="s">
        <v>326</v>
      </c>
    </row>
    <row r="293" spans="1:32" ht="12.75" hidden="1" customHeight="1" x14ac:dyDescent="0.2">
      <c r="A293" s="1" t="s">
        <v>30</v>
      </c>
      <c r="B293" s="1" t="s">
        <v>1062</v>
      </c>
      <c r="C293" s="1" t="s">
        <v>71</v>
      </c>
      <c r="D293" s="1" t="s">
        <v>323</v>
      </c>
      <c r="E293" s="1" t="s">
        <v>1063</v>
      </c>
      <c r="F293" s="1" t="s">
        <v>445</v>
      </c>
      <c r="G293" s="3">
        <v>244</v>
      </c>
      <c r="H293" s="4">
        <v>4</v>
      </c>
      <c r="I293" s="5">
        <v>778.36</v>
      </c>
      <c r="J293" s="5">
        <v>0</v>
      </c>
      <c r="K293" s="1" t="s">
        <v>36</v>
      </c>
      <c r="L293" s="1" t="s">
        <v>75</v>
      </c>
      <c r="M293" s="1" t="s">
        <v>247</v>
      </c>
      <c r="N293" s="3">
        <v>244</v>
      </c>
      <c r="O293" s="6">
        <f>Table1[[#This Row],[Invoice Qty]]-Table1[[#This Row],[ExFactory Qty]]</f>
        <v>0</v>
      </c>
      <c r="P293" s="1" t="s">
        <v>1057</v>
      </c>
      <c r="Q293" s="2">
        <v>46275.635034722203</v>
      </c>
      <c r="R293" s="2">
        <v>46281</v>
      </c>
      <c r="S293" s="1" t="s">
        <v>39</v>
      </c>
      <c r="U293" s="1" t="s">
        <v>40</v>
      </c>
      <c r="V293" s="1" t="s">
        <v>77</v>
      </c>
      <c r="W293" s="1" t="s">
        <v>40</v>
      </c>
      <c r="X293" s="1" t="s">
        <v>40</v>
      </c>
      <c r="Z293" s="2">
        <v>46283</v>
      </c>
      <c r="AA293" s="1" t="s">
        <v>1064</v>
      </c>
      <c r="AB293" s="2">
        <v>46277</v>
      </c>
      <c r="AC293" s="2">
        <v>46275.691365740699</v>
      </c>
      <c r="AE293" s="1" t="s">
        <v>40</v>
      </c>
      <c r="AF293" s="1" t="s">
        <v>326</v>
      </c>
    </row>
    <row r="294" spans="1:32" ht="12.75" hidden="1" customHeight="1" x14ac:dyDescent="0.2">
      <c r="A294" s="1" t="s">
        <v>30</v>
      </c>
      <c r="B294" s="1" t="s">
        <v>1065</v>
      </c>
      <c r="C294" s="1" t="s">
        <v>71</v>
      </c>
      <c r="D294" s="1" t="s">
        <v>323</v>
      </c>
      <c r="E294" s="1" t="s">
        <v>1066</v>
      </c>
      <c r="F294" s="1" t="s">
        <v>74</v>
      </c>
      <c r="G294" s="3">
        <v>1945</v>
      </c>
      <c r="H294" s="4">
        <v>27</v>
      </c>
      <c r="I294" s="5">
        <v>5815.55</v>
      </c>
      <c r="J294" s="5">
        <v>0</v>
      </c>
      <c r="K294" s="1" t="s">
        <v>36</v>
      </c>
      <c r="L294" s="1" t="s">
        <v>75</v>
      </c>
      <c r="M294" s="1" t="s">
        <v>247</v>
      </c>
      <c r="N294" s="3">
        <v>1945</v>
      </c>
      <c r="O294" s="6">
        <f>Table1[[#This Row],[Invoice Qty]]-Table1[[#This Row],[ExFactory Qty]]</f>
        <v>0</v>
      </c>
      <c r="P294" s="1" t="s">
        <v>1053</v>
      </c>
      <c r="Q294" s="2">
        <v>46275.826701388898</v>
      </c>
      <c r="R294" s="2">
        <v>46280</v>
      </c>
      <c r="S294" s="1" t="s">
        <v>39</v>
      </c>
      <c r="U294" s="1" t="s">
        <v>40</v>
      </c>
      <c r="V294" s="1" t="s">
        <v>77</v>
      </c>
      <c r="W294" s="1" t="s">
        <v>40</v>
      </c>
      <c r="X294" s="1" t="s">
        <v>40</v>
      </c>
      <c r="Z294" s="2">
        <v>46281</v>
      </c>
      <c r="AA294" s="1" t="s">
        <v>1067</v>
      </c>
      <c r="AB294" s="2">
        <v>46277</v>
      </c>
      <c r="AC294" s="2">
        <v>46275</v>
      </c>
      <c r="AE294" s="1" t="s">
        <v>40</v>
      </c>
      <c r="AF294" s="1" t="s">
        <v>326</v>
      </c>
    </row>
    <row r="295" spans="1:32" ht="12.75" hidden="1" customHeight="1" x14ac:dyDescent="0.2">
      <c r="A295" s="1" t="s">
        <v>30</v>
      </c>
      <c r="B295" s="1" t="s">
        <v>1068</v>
      </c>
      <c r="C295" s="1" t="s">
        <v>71</v>
      </c>
      <c r="D295" s="1" t="s">
        <v>323</v>
      </c>
      <c r="E295" s="1" t="s">
        <v>1066</v>
      </c>
      <c r="F295" s="1" t="s">
        <v>74</v>
      </c>
      <c r="G295" s="3">
        <v>2783</v>
      </c>
      <c r="H295" s="4">
        <v>40</v>
      </c>
      <c r="I295" s="5">
        <v>8321.17</v>
      </c>
      <c r="J295" s="5">
        <v>0</v>
      </c>
      <c r="K295" s="1" t="s">
        <v>36</v>
      </c>
      <c r="L295" s="1" t="s">
        <v>75</v>
      </c>
      <c r="M295" s="1" t="s">
        <v>247</v>
      </c>
      <c r="N295" s="3">
        <v>2783</v>
      </c>
      <c r="O295" s="6">
        <f>Table1[[#This Row],[Invoice Qty]]-Table1[[#This Row],[ExFactory Qty]]</f>
        <v>0</v>
      </c>
      <c r="P295" s="1" t="s">
        <v>1053</v>
      </c>
      <c r="Q295" s="2">
        <v>46275.826701388898</v>
      </c>
      <c r="R295" s="2">
        <v>46280</v>
      </c>
      <c r="S295" s="1" t="s">
        <v>39</v>
      </c>
      <c r="U295" s="1" t="s">
        <v>40</v>
      </c>
      <c r="V295" s="1" t="s">
        <v>77</v>
      </c>
      <c r="W295" s="1" t="s">
        <v>40</v>
      </c>
      <c r="X295" s="1" t="s">
        <v>40</v>
      </c>
      <c r="Z295" s="2">
        <v>46283</v>
      </c>
      <c r="AA295" s="1" t="s">
        <v>1069</v>
      </c>
      <c r="AB295" s="2">
        <v>46277</v>
      </c>
      <c r="AC295" s="2">
        <v>46275</v>
      </c>
      <c r="AE295" s="1" t="s">
        <v>40</v>
      </c>
      <c r="AF295" s="1" t="s">
        <v>326</v>
      </c>
    </row>
    <row r="296" spans="1:32" ht="12.75" hidden="1" customHeight="1" x14ac:dyDescent="0.2">
      <c r="A296" s="1" t="s">
        <v>30</v>
      </c>
      <c r="B296" s="1" t="s">
        <v>1070</v>
      </c>
      <c r="C296" s="1" t="s">
        <v>71</v>
      </c>
      <c r="D296" s="1" t="s">
        <v>323</v>
      </c>
      <c r="E296" s="1" t="s">
        <v>1066</v>
      </c>
      <c r="F296" s="1" t="s">
        <v>372</v>
      </c>
      <c r="G296" s="3">
        <v>364</v>
      </c>
      <c r="H296" s="4">
        <v>7</v>
      </c>
      <c r="I296" s="5">
        <v>1088.3599999999999</v>
      </c>
      <c r="J296" s="5">
        <v>0</v>
      </c>
      <c r="K296" s="1" t="s">
        <v>36</v>
      </c>
      <c r="L296" s="1" t="s">
        <v>75</v>
      </c>
      <c r="M296" s="1" t="s">
        <v>247</v>
      </c>
      <c r="N296" s="3">
        <v>364</v>
      </c>
      <c r="O296" s="6">
        <f>Table1[[#This Row],[Invoice Qty]]-Table1[[#This Row],[ExFactory Qty]]</f>
        <v>0</v>
      </c>
      <c r="P296" s="1" t="s">
        <v>1047</v>
      </c>
      <c r="Q296" s="2">
        <v>46275.827789351897</v>
      </c>
      <c r="R296" s="2">
        <v>46280</v>
      </c>
      <c r="S296" s="1" t="s">
        <v>39</v>
      </c>
      <c r="U296" s="1" t="s">
        <v>40</v>
      </c>
      <c r="V296" s="1" t="s">
        <v>77</v>
      </c>
      <c r="W296" s="1" t="s">
        <v>40</v>
      </c>
      <c r="X296" s="1" t="s">
        <v>40</v>
      </c>
      <c r="Z296" s="2">
        <v>46282</v>
      </c>
      <c r="AA296" s="1" t="s">
        <v>1071</v>
      </c>
      <c r="AB296" s="2">
        <v>46277</v>
      </c>
      <c r="AC296" s="2">
        <v>46275.691365740699</v>
      </c>
      <c r="AE296" s="1" t="s">
        <v>40</v>
      </c>
      <c r="AF296" s="1" t="s">
        <v>326</v>
      </c>
    </row>
    <row r="297" spans="1:32" ht="12.75" hidden="1" customHeight="1" x14ac:dyDescent="0.2">
      <c r="A297" s="1" t="s">
        <v>30</v>
      </c>
      <c r="B297" s="1" t="s">
        <v>1072</v>
      </c>
      <c r="C297" s="1" t="s">
        <v>71</v>
      </c>
      <c r="D297" s="1" t="s">
        <v>323</v>
      </c>
      <c r="E297" s="1" t="s">
        <v>1073</v>
      </c>
      <c r="F297" s="1" t="s">
        <v>445</v>
      </c>
      <c r="G297" s="3">
        <v>537</v>
      </c>
      <c r="H297" s="4">
        <v>8</v>
      </c>
      <c r="I297" s="5">
        <v>1584.15</v>
      </c>
      <c r="J297" s="5">
        <v>0</v>
      </c>
      <c r="K297" s="1" t="s">
        <v>36</v>
      </c>
      <c r="L297" s="1" t="s">
        <v>75</v>
      </c>
      <c r="M297" s="1" t="s">
        <v>247</v>
      </c>
      <c r="N297" s="3">
        <v>537</v>
      </c>
      <c r="O297" s="6">
        <f>Table1[[#This Row],[Invoice Qty]]-Table1[[#This Row],[ExFactory Qty]]</f>
        <v>0</v>
      </c>
      <c r="P297" s="1" t="s">
        <v>1057</v>
      </c>
      <c r="Q297" s="2">
        <v>46275.635034722203</v>
      </c>
      <c r="R297" s="2">
        <v>46281</v>
      </c>
      <c r="S297" s="1" t="s">
        <v>39</v>
      </c>
      <c r="U297" s="1" t="s">
        <v>40</v>
      </c>
      <c r="V297" s="1" t="s">
        <v>77</v>
      </c>
      <c r="W297" s="1" t="s">
        <v>40</v>
      </c>
      <c r="X297" s="1" t="s">
        <v>40</v>
      </c>
      <c r="Z297" s="2">
        <v>46283</v>
      </c>
      <c r="AA297" s="1" t="s">
        <v>1074</v>
      </c>
      <c r="AB297" s="2">
        <v>46277</v>
      </c>
      <c r="AC297" s="2">
        <v>46275</v>
      </c>
      <c r="AE297" s="1" t="s">
        <v>40</v>
      </c>
      <c r="AF297" s="1" t="s">
        <v>326</v>
      </c>
    </row>
    <row r="298" spans="1:32" ht="12.75" hidden="1" customHeight="1" x14ac:dyDescent="0.2">
      <c r="A298" s="1" t="s">
        <v>30</v>
      </c>
      <c r="B298" s="1" t="s">
        <v>1075</v>
      </c>
      <c r="C298" s="1" t="s">
        <v>71</v>
      </c>
      <c r="D298" s="1" t="s">
        <v>323</v>
      </c>
      <c r="E298" s="1" t="s">
        <v>1076</v>
      </c>
      <c r="F298" s="1" t="s">
        <v>367</v>
      </c>
      <c r="G298" s="3">
        <v>403</v>
      </c>
      <c r="H298" s="4">
        <v>7</v>
      </c>
      <c r="I298" s="5">
        <v>1176.76</v>
      </c>
      <c r="J298" s="5">
        <v>0</v>
      </c>
      <c r="K298" s="1" t="s">
        <v>36</v>
      </c>
      <c r="L298" s="1" t="s">
        <v>75</v>
      </c>
      <c r="M298" s="1" t="s">
        <v>247</v>
      </c>
      <c r="N298" s="3">
        <v>403</v>
      </c>
      <c r="O298" s="6">
        <f>Table1[[#This Row],[Invoice Qty]]-Table1[[#This Row],[ExFactory Qty]]</f>
        <v>0</v>
      </c>
      <c r="P298" s="1" t="s">
        <v>1047</v>
      </c>
      <c r="Q298" s="2">
        <v>46275.827789351897</v>
      </c>
      <c r="R298" s="2">
        <v>46280</v>
      </c>
      <c r="S298" s="1" t="s">
        <v>39</v>
      </c>
      <c r="U298" s="1" t="s">
        <v>40</v>
      </c>
      <c r="V298" s="1" t="s">
        <v>77</v>
      </c>
      <c r="W298" s="1" t="s">
        <v>40</v>
      </c>
      <c r="X298" s="1" t="s">
        <v>40</v>
      </c>
      <c r="Z298" s="2">
        <v>46282</v>
      </c>
      <c r="AA298" s="1" t="s">
        <v>1077</v>
      </c>
      <c r="AB298" s="2">
        <v>46277</v>
      </c>
      <c r="AC298" s="2">
        <v>46275</v>
      </c>
      <c r="AE298" s="1" t="s">
        <v>40</v>
      </c>
      <c r="AF298" s="1" t="s">
        <v>326</v>
      </c>
    </row>
    <row r="299" spans="1:32" ht="12.75" hidden="1" customHeight="1" x14ac:dyDescent="0.2">
      <c r="A299" s="1" t="s">
        <v>30</v>
      </c>
      <c r="B299" s="1" t="s">
        <v>1078</v>
      </c>
      <c r="C299" s="1" t="s">
        <v>71</v>
      </c>
      <c r="D299" s="1" t="s">
        <v>323</v>
      </c>
      <c r="E299" s="1" t="s">
        <v>749</v>
      </c>
      <c r="F299" s="1" t="s">
        <v>74</v>
      </c>
      <c r="G299" s="3">
        <v>669</v>
      </c>
      <c r="H299" s="4">
        <v>11</v>
      </c>
      <c r="I299" s="5">
        <v>1973.55</v>
      </c>
      <c r="J299" s="5">
        <v>0</v>
      </c>
      <c r="K299" s="1" t="s">
        <v>36</v>
      </c>
      <c r="L299" s="1" t="s">
        <v>75</v>
      </c>
      <c r="M299" s="1" t="s">
        <v>247</v>
      </c>
      <c r="N299" s="3">
        <v>669</v>
      </c>
      <c r="O299" s="6">
        <f>Table1[[#This Row],[Invoice Qty]]-Table1[[#This Row],[ExFactory Qty]]</f>
        <v>0</v>
      </c>
      <c r="P299" s="1" t="s">
        <v>1053</v>
      </c>
      <c r="Q299" s="2">
        <v>46275.826701388898</v>
      </c>
      <c r="R299" s="2">
        <v>46280</v>
      </c>
      <c r="S299" s="1" t="s">
        <v>39</v>
      </c>
      <c r="U299" s="1" t="s">
        <v>40</v>
      </c>
      <c r="V299" s="1" t="s">
        <v>77</v>
      </c>
      <c r="W299" s="1" t="s">
        <v>40</v>
      </c>
      <c r="X299" s="1" t="s">
        <v>40</v>
      </c>
      <c r="Z299" s="2">
        <v>46283</v>
      </c>
      <c r="AA299" s="1" t="s">
        <v>1079</v>
      </c>
      <c r="AB299" s="2">
        <v>46277</v>
      </c>
      <c r="AC299" s="2">
        <v>46275</v>
      </c>
      <c r="AE299" s="1" t="s">
        <v>40</v>
      </c>
      <c r="AF299" s="1" t="s">
        <v>326</v>
      </c>
    </row>
    <row r="300" spans="1:32" ht="12.75" hidden="1" customHeight="1" x14ac:dyDescent="0.2">
      <c r="A300" s="1" t="s">
        <v>30</v>
      </c>
      <c r="B300" s="1" t="s">
        <v>1080</v>
      </c>
      <c r="C300" s="1" t="s">
        <v>71</v>
      </c>
      <c r="D300" s="1" t="s">
        <v>323</v>
      </c>
      <c r="E300" s="1" t="s">
        <v>755</v>
      </c>
      <c r="F300" s="1" t="s">
        <v>376</v>
      </c>
      <c r="G300" s="3">
        <v>1277</v>
      </c>
      <c r="H300" s="4">
        <v>17</v>
      </c>
      <c r="I300" s="5">
        <v>3767.15</v>
      </c>
      <c r="J300" s="5">
        <v>0</v>
      </c>
      <c r="K300" s="1" t="s">
        <v>36</v>
      </c>
      <c r="L300" s="1" t="s">
        <v>75</v>
      </c>
      <c r="M300" s="1" t="s">
        <v>247</v>
      </c>
      <c r="N300" s="3">
        <v>1277</v>
      </c>
      <c r="O300" s="6">
        <f>Table1[[#This Row],[Invoice Qty]]-Table1[[#This Row],[ExFactory Qty]]</f>
        <v>0</v>
      </c>
      <c r="P300" s="1" t="s">
        <v>1057</v>
      </c>
      <c r="Q300" s="2">
        <v>46275.635034722203</v>
      </c>
      <c r="R300" s="2">
        <v>46284</v>
      </c>
      <c r="S300" s="1" t="s">
        <v>39</v>
      </c>
      <c r="U300" s="1" t="s">
        <v>40</v>
      </c>
      <c r="V300" s="1" t="s">
        <v>77</v>
      </c>
      <c r="W300" s="1" t="s">
        <v>40</v>
      </c>
      <c r="X300" s="1" t="s">
        <v>40</v>
      </c>
      <c r="Z300" s="2">
        <v>46284</v>
      </c>
      <c r="AA300" s="1" t="s">
        <v>1081</v>
      </c>
      <c r="AB300" s="2">
        <v>46277</v>
      </c>
      <c r="AC300" s="2">
        <v>46275</v>
      </c>
      <c r="AE300" s="1" t="s">
        <v>40</v>
      </c>
      <c r="AF300" s="1" t="s">
        <v>326</v>
      </c>
    </row>
    <row r="301" spans="1:32" ht="12.75" hidden="1" customHeight="1" x14ac:dyDescent="0.2">
      <c r="A301" s="1" t="s">
        <v>30</v>
      </c>
      <c r="B301" s="1" t="s">
        <v>1082</v>
      </c>
      <c r="C301" s="1" t="s">
        <v>71</v>
      </c>
      <c r="D301" s="1" t="s">
        <v>323</v>
      </c>
      <c r="E301" s="1" t="s">
        <v>755</v>
      </c>
      <c r="F301" s="1" t="s">
        <v>252</v>
      </c>
      <c r="G301" s="3">
        <v>39</v>
      </c>
      <c r="H301" s="4">
        <v>1</v>
      </c>
      <c r="I301" s="5">
        <v>115.05</v>
      </c>
      <c r="J301" s="5">
        <v>0</v>
      </c>
      <c r="K301" s="1" t="s">
        <v>36</v>
      </c>
      <c r="L301" s="1" t="s">
        <v>75</v>
      </c>
      <c r="M301" s="1" t="s">
        <v>247</v>
      </c>
      <c r="N301" s="3">
        <v>39</v>
      </c>
      <c r="O301" s="6">
        <f>Table1[[#This Row],[Invoice Qty]]-Table1[[#This Row],[ExFactory Qty]]</f>
        <v>0</v>
      </c>
      <c r="P301" s="1" t="s">
        <v>1053</v>
      </c>
      <c r="Q301" s="2">
        <v>46275.826701388898</v>
      </c>
      <c r="R301" s="2">
        <v>46280</v>
      </c>
      <c r="S301" s="1" t="s">
        <v>39</v>
      </c>
      <c r="U301" s="1" t="s">
        <v>40</v>
      </c>
      <c r="V301" s="1" t="s">
        <v>77</v>
      </c>
      <c r="W301" s="1" t="s">
        <v>40</v>
      </c>
      <c r="X301" s="1" t="s">
        <v>40</v>
      </c>
      <c r="Z301" s="2">
        <v>46282</v>
      </c>
      <c r="AA301" s="1" t="s">
        <v>1083</v>
      </c>
      <c r="AB301" s="2">
        <v>46277</v>
      </c>
      <c r="AC301" s="2">
        <v>46275.691365740699</v>
      </c>
      <c r="AE301" s="1" t="s">
        <v>40</v>
      </c>
      <c r="AF301" s="1" t="s">
        <v>326</v>
      </c>
    </row>
    <row r="302" spans="1:32" ht="12.75" hidden="1" customHeight="1" x14ac:dyDescent="0.2">
      <c r="A302" s="1" t="s">
        <v>30</v>
      </c>
      <c r="B302" s="1" t="s">
        <v>1084</v>
      </c>
      <c r="C302" s="1" t="s">
        <v>146</v>
      </c>
      <c r="D302" s="1" t="s">
        <v>147</v>
      </c>
      <c r="E302" s="1" t="s">
        <v>1085</v>
      </c>
      <c r="F302" s="1" t="s">
        <v>124</v>
      </c>
      <c r="G302" s="3">
        <v>1989</v>
      </c>
      <c r="H302" s="4">
        <v>28</v>
      </c>
      <c r="I302" s="5">
        <v>6169.99</v>
      </c>
      <c r="J302" s="5">
        <v>257.08</v>
      </c>
      <c r="K302" s="1" t="s">
        <v>36</v>
      </c>
      <c r="L302" s="1" t="s">
        <v>37</v>
      </c>
      <c r="M302" s="1" t="s">
        <v>37</v>
      </c>
      <c r="N302" s="3">
        <v>1989</v>
      </c>
      <c r="O302" s="6">
        <f>Table1[[#This Row],[Invoice Qty]]-Table1[[#This Row],[ExFactory Qty]]</f>
        <v>0</v>
      </c>
      <c r="P302" s="1" t="s">
        <v>1086</v>
      </c>
      <c r="Q302" s="2">
        <v>46277.499780092599</v>
      </c>
      <c r="R302" s="2">
        <v>46283</v>
      </c>
      <c r="S302" s="1" t="s">
        <v>39</v>
      </c>
      <c r="U302" s="1" t="s">
        <v>40</v>
      </c>
      <c r="V302" s="1" t="s">
        <v>64</v>
      </c>
      <c r="W302" s="1" t="s">
        <v>40</v>
      </c>
      <c r="X302" s="1" t="s">
        <v>40</v>
      </c>
      <c r="AA302" s="1" t="s">
        <v>1087</v>
      </c>
      <c r="AB302" s="2">
        <v>46278</v>
      </c>
      <c r="AC302" s="2">
        <v>46275</v>
      </c>
      <c r="AE302" s="1" t="s">
        <v>40</v>
      </c>
      <c r="AF302" s="1" t="s">
        <v>43</v>
      </c>
    </row>
    <row r="303" spans="1:32" ht="12.75" hidden="1" customHeight="1" x14ac:dyDescent="0.2">
      <c r="A303" s="1" t="s">
        <v>30</v>
      </c>
      <c r="B303" s="1" t="s">
        <v>1088</v>
      </c>
      <c r="C303" s="1" t="s">
        <v>146</v>
      </c>
      <c r="D303" s="1" t="s">
        <v>147</v>
      </c>
      <c r="E303" s="1" t="s">
        <v>1089</v>
      </c>
      <c r="F303" s="1" t="s">
        <v>540</v>
      </c>
      <c r="G303" s="3">
        <v>318</v>
      </c>
      <c r="H303" s="4">
        <v>5</v>
      </c>
      <c r="I303" s="5">
        <v>1295.8800000000001</v>
      </c>
      <c r="J303" s="5">
        <v>53.99</v>
      </c>
      <c r="K303" s="1" t="s">
        <v>36</v>
      </c>
      <c r="L303" s="1" t="s">
        <v>37</v>
      </c>
      <c r="M303" s="1" t="s">
        <v>37</v>
      </c>
      <c r="N303" s="3">
        <v>318</v>
      </c>
      <c r="O303" s="6">
        <f>Table1[[#This Row],[Invoice Qty]]-Table1[[#This Row],[ExFactory Qty]]</f>
        <v>0</v>
      </c>
      <c r="P303" s="1" t="s">
        <v>541</v>
      </c>
      <c r="Q303" s="2">
        <v>46277.835960648103</v>
      </c>
      <c r="R303" s="2">
        <v>46287</v>
      </c>
      <c r="S303" s="1" t="s">
        <v>39</v>
      </c>
      <c r="U303" s="1" t="s">
        <v>40</v>
      </c>
      <c r="V303" s="1" t="s">
        <v>64</v>
      </c>
      <c r="W303" s="1" t="s">
        <v>40</v>
      </c>
      <c r="X303" s="1" t="s">
        <v>40</v>
      </c>
      <c r="AA303" s="1" t="s">
        <v>1090</v>
      </c>
      <c r="AB303" s="2">
        <v>46278</v>
      </c>
      <c r="AC303" s="2">
        <v>46278</v>
      </c>
      <c r="AE303" s="1" t="s">
        <v>40</v>
      </c>
      <c r="AF303" s="1" t="s">
        <v>43</v>
      </c>
    </row>
    <row r="304" spans="1:32" ht="12.75" hidden="1" customHeight="1" x14ac:dyDescent="0.2">
      <c r="A304" s="1" t="s">
        <v>86</v>
      </c>
      <c r="B304" s="1" t="s">
        <v>1091</v>
      </c>
      <c r="C304" s="1" t="s">
        <v>32</v>
      </c>
      <c r="D304" s="1" t="s">
        <v>33</v>
      </c>
      <c r="E304" s="1" t="s">
        <v>1092</v>
      </c>
      <c r="F304" s="1" t="s">
        <v>35</v>
      </c>
      <c r="G304" s="3">
        <v>5832</v>
      </c>
      <c r="H304" s="4">
        <v>184</v>
      </c>
      <c r="I304" s="5">
        <v>21928.32</v>
      </c>
      <c r="J304" s="5">
        <v>0</v>
      </c>
      <c r="K304" s="1" t="s">
        <v>36</v>
      </c>
      <c r="L304" s="1" t="s">
        <v>37</v>
      </c>
      <c r="M304" s="1" t="s">
        <v>37</v>
      </c>
      <c r="N304" s="3">
        <v>5832</v>
      </c>
      <c r="O304" s="6">
        <f>Table1[[#This Row],[Invoice Qty]]-Table1[[#This Row],[ExFactory Qty]]</f>
        <v>0</v>
      </c>
      <c r="P304" s="1" t="s">
        <v>790</v>
      </c>
      <c r="Q304" s="2">
        <v>46285.722175925897</v>
      </c>
      <c r="S304" s="1" t="s">
        <v>39</v>
      </c>
      <c r="U304" s="1" t="s">
        <v>40</v>
      </c>
      <c r="V304" s="1" t="s">
        <v>41</v>
      </c>
      <c r="W304" s="1" t="s">
        <v>40</v>
      </c>
      <c r="X304" s="1" t="s">
        <v>40</v>
      </c>
      <c r="AA304" s="1" t="s">
        <v>1093</v>
      </c>
      <c r="AB304" s="2">
        <v>46285</v>
      </c>
      <c r="AC304" s="2">
        <v>46278</v>
      </c>
      <c r="AE304" s="1" t="s">
        <v>40</v>
      </c>
      <c r="AF304" s="1" t="s">
        <v>43</v>
      </c>
    </row>
    <row r="305" spans="1:32" ht="12.75" hidden="1" customHeight="1" x14ac:dyDescent="0.2">
      <c r="A305" s="1" t="s">
        <v>30</v>
      </c>
      <c r="B305" s="1" t="s">
        <v>1094</v>
      </c>
      <c r="C305" s="1" t="s">
        <v>138</v>
      </c>
      <c r="D305" s="1" t="s">
        <v>139</v>
      </c>
      <c r="E305" s="1" t="s">
        <v>1095</v>
      </c>
      <c r="F305" s="1" t="s">
        <v>124</v>
      </c>
      <c r="G305" s="3">
        <v>105</v>
      </c>
      <c r="H305" s="4">
        <v>9</v>
      </c>
      <c r="I305" s="5">
        <v>682.5</v>
      </c>
      <c r="J305" s="5">
        <v>0</v>
      </c>
      <c r="K305" s="1" t="s">
        <v>50</v>
      </c>
      <c r="L305" s="1" t="s">
        <v>51</v>
      </c>
      <c r="M305" s="1" t="s">
        <v>247</v>
      </c>
      <c r="N305" s="3">
        <v>105</v>
      </c>
      <c r="O305" s="6">
        <f>Table1[[#This Row],[Invoice Qty]]-Table1[[#This Row],[ExFactory Qty]]</f>
        <v>0</v>
      </c>
      <c r="P305" s="1" t="s">
        <v>827</v>
      </c>
      <c r="Q305" s="2">
        <v>46277.468541666698</v>
      </c>
      <c r="R305" s="2">
        <v>46282</v>
      </c>
      <c r="S305" s="1" t="s">
        <v>39</v>
      </c>
      <c r="U305" s="1" t="s">
        <v>40</v>
      </c>
      <c r="V305" s="1" t="s">
        <v>55</v>
      </c>
      <c r="W305" s="1" t="s">
        <v>40</v>
      </c>
      <c r="X305" s="1" t="s">
        <v>40</v>
      </c>
      <c r="AA305" s="1" t="s">
        <v>1096</v>
      </c>
      <c r="AB305" s="2">
        <v>46278</v>
      </c>
      <c r="AC305" s="2">
        <v>46278</v>
      </c>
      <c r="AE305" s="1" t="s">
        <v>40</v>
      </c>
      <c r="AF305" s="1" t="s">
        <v>144</v>
      </c>
    </row>
    <row r="306" spans="1:32" ht="12.75" hidden="1" customHeight="1" x14ac:dyDescent="0.2">
      <c r="A306" s="1" t="s">
        <v>30</v>
      </c>
      <c r="B306" s="1" t="s">
        <v>1097</v>
      </c>
      <c r="C306" s="1" t="s">
        <v>138</v>
      </c>
      <c r="D306" s="1" t="s">
        <v>139</v>
      </c>
      <c r="E306" s="1" t="s">
        <v>1098</v>
      </c>
      <c r="F306" s="1" t="s">
        <v>124</v>
      </c>
      <c r="G306" s="3">
        <v>669</v>
      </c>
      <c r="H306" s="4">
        <v>23</v>
      </c>
      <c r="I306" s="5">
        <v>3746.4</v>
      </c>
      <c r="J306" s="5">
        <v>0</v>
      </c>
      <c r="K306" s="1" t="s">
        <v>50</v>
      </c>
      <c r="L306" s="1" t="s">
        <v>51</v>
      </c>
      <c r="M306" s="1" t="s">
        <v>247</v>
      </c>
      <c r="N306" s="3">
        <v>669</v>
      </c>
      <c r="O306" s="6">
        <f>Table1[[#This Row],[Invoice Qty]]-Table1[[#This Row],[ExFactory Qty]]</f>
        <v>0</v>
      </c>
      <c r="P306" s="1" t="s">
        <v>827</v>
      </c>
      <c r="Q306" s="2">
        <v>46277.468541666698</v>
      </c>
      <c r="R306" s="2">
        <v>46282</v>
      </c>
      <c r="S306" s="1" t="s">
        <v>39</v>
      </c>
      <c r="U306" s="1" t="s">
        <v>40</v>
      </c>
      <c r="V306" s="1" t="s">
        <v>55</v>
      </c>
      <c r="W306" s="1" t="s">
        <v>40</v>
      </c>
      <c r="X306" s="1" t="s">
        <v>40</v>
      </c>
      <c r="AA306" s="1" t="s">
        <v>1099</v>
      </c>
      <c r="AB306" s="2">
        <v>46278</v>
      </c>
      <c r="AC306" s="2">
        <v>46278</v>
      </c>
      <c r="AE306" s="1" t="s">
        <v>40</v>
      </c>
      <c r="AF306" s="1" t="s">
        <v>144</v>
      </c>
    </row>
    <row r="307" spans="1:32" ht="12.75" hidden="1" customHeight="1" x14ac:dyDescent="0.2">
      <c r="A307" s="1" t="s">
        <v>86</v>
      </c>
      <c r="B307" s="1" t="s">
        <v>1100</v>
      </c>
      <c r="C307" s="1" t="s">
        <v>71</v>
      </c>
      <c r="D307" s="1" t="s">
        <v>348</v>
      </c>
      <c r="E307" s="1" t="s">
        <v>349</v>
      </c>
      <c r="F307" s="1" t="s">
        <v>605</v>
      </c>
      <c r="G307" s="3">
        <v>400</v>
      </c>
      <c r="H307" s="4">
        <v>8</v>
      </c>
      <c r="I307" s="5">
        <v>1772</v>
      </c>
      <c r="J307" s="5">
        <v>0</v>
      </c>
      <c r="K307" s="1" t="s">
        <v>36</v>
      </c>
      <c r="L307" s="1" t="s">
        <v>75</v>
      </c>
      <c r="M307" s="1" t="s">
        <v>75</v>
      </c>
      <c r="N307" s="3">
        <v>400</v>
      </c>
      <c r="O307" s="6">
        <f>Table1[[#This Row],[Invoice Qty]]-Table1[[#This Row],[ExFactory Qty]]</f>
        <v>0</v>
      </c>
      <c r="P307" s="1" t="s">
        <v>1101</v>
      </c>
      <c r="Q307" s="2">
        <v>46292.701064814799</v>
      </c>
      <c r="S307" s="1" t="s">
        <v>39</v>
      </c>
      <c r="U307" s="1" t="s">
        <v>40</v>
      </c>
      <c r="V307" s="1" t="s">
        <v>77</v>
      </c>
      <c r="W307" s="1" t="s">
        <v>40</v>
      </c>
      <c r="X307" s="1" t="s">
        <v>40</v>
      </c>
      <c r="AA307" s="1" t="s">
        <v>1102</v>
      </c>
      <c r="AB307" s="2">
        <v>46278</v>
      </c>
      <c r="AC307" s="2">
        <v>46278.488807870403</v>
      </c>
      <c r="AE307" s="1" t="s">
        <v>40</v>
      </c>
      <c r="AF307" s="1" t="s">
        <v>326</v>
      </c>
    </row>
    <row r="308" spans="1:32" ht="12.75" hidden="1" customHeight="1" x14ac:dyDescent="0.2">
      <c r="A308" s="1" t="s">
        <v>86</v>
      </c>
      <c r="B308" s="1" t="s">
        <v>1103</v>
      </c>
      <c r="C308" s="1" t="s">
        <v>71</v>
      </c>
      <c r="D308" s="1" t="s">
        <v>348</v>
      </c>
      <c r="E308" s="1" t="s">
        <v>354</v>
      </c>
      <c r="F308" s="1" t="s">
        <v>605</v>
      </c>
      <c r="G308" s="3">
        <v>250</v>
      </c>
      <c r="H308" s="4">
        <v>7</v>
      </c>
      <c r="I308" s="5">
        <v>1167.5</v>
      </c>
      <c r="J308" s="5">
        <v>0</v>
      </c>
      <c r="K308" s="1" t="s">
        <v>36</v>
      </c>
      <c r="L308" s="1" t="s">
        <v>75</v>
      </c>
      <c r="M308" s="1" t="s">
        <v>75</v>
      </c>
      <c r="N308" s="3">
        <v>250</v>
      </c>
      <c r="O308" s="6">
        <f>Table1[[#This Row],[Invoice Qty]]-Table1[[#This Row],[ExFactory Qty]]</f>
        <v>0</v>
      </c>
      <c r="P308" s="1" t="s">
        <v>1101</v>
      </c>
      <c r="Q308" s="2">
        <v>46292.701064814799</v>
      </c>
      <c r="S308" s="1" t="s">
        <v>39</v>
      </c>
      <c r="U308" s="1" t="s">
        <v>40</v>
      </c>
      <c r="V308" s="1" t="s">
        <v>77</v>
      </c>
      <c r="W308" s="1" t="s">
        <v>40</v>
      </c>
      <c r="X308" s="1" t="s">
        <v>40</v>
      </c>
      <c r="AA308" s="1" t="s">
        <v>1104</v>
      </c>
      <c r="AB308" s="2">
        <v>46278</v>
      </c>
      <c r="AC308" s="2">
        <v>46278.488807870403</v>
      </c>
      <c r="AE308" s="1" t="s">
        <v>40</v>
      </c>
      <c r="AF308" s="1" t="s">
        <v>326</v>
      </c>
    </row>
    <row r="309" spans="1:32" ht="12.75" hidden="1" customHeight="1" x14ac:dyDescent="0.2">
      <c r="A309" s="1" t="s">
        <v>30</v>
      </c>
      <c r="B309" s="1" t="s">
        <v>1105</v>
      </c>
      <c r="C309" s="1" t="s">
        <v>71</v>
      </c>
      <c r="D309" s="1" t="s">
        <v>323</v>
      </c>
      <c r="E309" s="1" t="s">
        <v>1106</v>
      </c>
      <c r="F309" s="1" t="s">
        <v>615</v>
      </c>
      <c r="G309" s="3">
        <v>822</v>
      </c>
      <c r="H309" s="4">
        <v>17</v>
      </c>
      <c r="I309" s="5">
        <v>3600.36</v>
      </c>
      <c r="J309" s="5">
        <v>0</v>
      </c>
      <c r="K309" s="1" t="s">
        <v>36</v>
      </c>
      <c r="L309" s="1" t="s">
        <v>75</v>
      </c>
      <c r="M309" s="1" t="s">
        <v>75</v>
      </c>
      <c r="N309" s="3">
        <v>822</v>
      </c>
      <c r="O309" s="6">
        <f>Table1[[#This Row],[Invoice Qty]]-Table1[[#This Row],[ExFactory Qty]]</f>
        <v>0</v>
      </c>
      <c r="P309" s="1" t="s">
        <v>1107</v>
      </c>
      <c r="Q309" s="2">
        <v>46278.521261574097</v>
      </c>
      <c r="R309" s="2">
        <v>46289</v>
      </c>
      <c r="S309" s="1" t="s">
        <v>39</v>
      </c>
      <c r="U309" s="1" t="s">
        <v>40</v>
      </c>
      <c r="V309" s="1" t="s">
        <v>77</v>
      </c>
      <c r="W309" s="1" t="s">
        <v>40</v>
      </c>
      <c r="X309" s="1" t="s">
        <v>40</v>
      </c>
      <c r="Z309" s="2">
        <v>46288</v>
      </c>
      <c r="AA309" s="1" t="s">
        <v>1108</v>
      </c>
      <c r="AB309" s="2">
        <v>46278</v>
      </c>
      <c r="AC309" s="2">
        <v>46278</v>
      </c>
      <c r="AD309" s="2">
        <v>46280</v>
      </c>
      <c r="AE309" s="1" t="s">
        <v>1109</v>
      </c>
      <c r="AF309" s="1" t="s">
        <v>326</v>
      </c>
    </row>
    <row r="310" spans="1:32" ht="12.75" hidden="1" customHeight="1" x14ac:dyDescent="0.2">
      <c r="A310" s="1" t="s">
        <v>86</v>
      </c>
      <c r="B310" s="1" t="s">
        <v>1110</v>
      </c>
      <c r="C310" s="1" t="s">
        <v>71</v>
      </c>
      <c r="D310" s="1" t="s">
        <v>323</v>
      </c>
      <c r="E310" s="1" t="s">
        <v>357</v>
      </c>
      <c r="F310" s="1" t="s">
        <v>605</v>
      </c>
      <c r="G310" s="3">
        <v>60</v>
      </c>
      <c r="H310" s="4">
        <v>2</v>
      </c>
      <c r="I310" s="5">
        <v>262.8</v>
      </c>
      <c r="J310" s="5">
        <v>0</v>
      </c>
      <c r="K310" s="1" t="s">
        <v>36</v>
      </c>
      <c r="L310" s="1" t="s">
        <v>75</v>
      </c>
      <c r="M310" s="1" t="s">
        <v>75</v>
      </c>
      <c r="N310" s="3">
        <v>60</v>
      </c>
      <c r="O310" s="6">
        <f>Table1[[#This Row],[Invoice Qty]]-Table1[[#This Row],[ExFactory Qty]]</f>
        <v>0</v>
      </c>
      <c r="P310" s="1" t="s">
        <v>1101</v>
      </c>
      <c r="Q310" s="2">
        <v>46292.701064814799</v>
      </c>
      <c r="S310" s="1" t="s">
        <v>39</v>
      </c>
      <c r="U310" s="1" t="s">
        <v>40</v>
      </c>
      <c r="V310" s="1" t="s">
        <v>77</v>
      </c>
      <c r="W310" s="1" t="s">
        <v>40</v>
      </c>
      <c r="X310" s="1" t="s">
        <v>40</v>
      </c>
      <c r="AA310" s="1" t="s">
        <v>1111</v>
      </c>
      <c r="AB310" s="2">
        <v>46278</v>
      </c>
      <c r="AC310" s="2">
        <v>46278.488807870403</v>
      </c>
      <c r="AE310" s="1" t="s">
        <v>40</v>
      </c>
      <c r="AF310" s="1" t="s">
        <v>326</v>
      </c>
    </row>
    <row r="311" spans="1:32" ht="12.75" hidden="1" customHeight="1" x14ac:dyDescent="0.2">
      <c r="A311" s="1" t="s">
        <v>30</v>
      </c>
      <c r="B311" s="1" t="s">
        <v>1112</v>
      </c>
      <c r="C311" s="1" t="s">
        <v>71</v>
      </c>
      <c r="D311" s="1" t="s">
        <v>72</v>
      </c>
      <c r="E311" s="1" t="s">
        <v>623</v>
      </c>
      <c r="F311" s="1" t="s">
        <v>615</v>
      </c>
      <c r="G311" s="3">
        <v>1000</v>
      </c>
      <c r="H311" s="4">
        <v>17</v>
      </c>
      <c r="I311" s="5">
        <v>3060</v>
      </c>
      <c r="J311" s="5">
        <v>0</v>
      </c>
      <c r="K311" s="1" t="s">
        <v>36</v>
      </c>
      <c r="L311" s="1" t="s">
        <v>75</v>
      </c>
      <c r="M311" s="1" t="s">
        <v>75</v>
      </c>
      <c r="N311" s="3">
        <v>1000</v>
      </c>
      <c r="O311" s="6">
        <f>Table1[[#This Row],[Invoice Qty]]-Table1[[#This Row],[ExFactory Qty]]</f>
        <v>0</v>
      </c>
      <c r="P311" s="1" t="s">
        <v>1107</v>
      </c>
      <c r="Q311" s="2">
        <v>46278.521261574097</v>
      </c>
      <c r="R311" s="2">
        <v>46289</v>
      </c>
      <c r="S311" s="1" t="s">
        <v>39</v>
      </c>
      <c r="U311" s="1" t="s">
        <v>40</v>
      </c>
      <c r="V311" s="1" t="s">
        <v>77</v>
      </c>
      <c r="W311" s="1" t="s">
        <v>40</v>
      </c>
      <c r="X311" s="1" t="s">
        <v>40</v>
      </c>
      <c r="Z311" s="2">
        <v>46288</v>
      </c>
      <c r="AA311" s="1" t="s">
        <v>1113</v>
      </c>
      <c r="AB311" s="2">
        <v>46278</v>
      </c>
      <c r="AC311" s="2">
        <v>46278</v>
      </c>
      <c r="AD311" s="2">
        <v>46280</v>
      </c>
      <c r="AE311" s="1" t="s">
        <v>1114</v>
      </c>
      <c r="AF311" s="1" t="s">
        <v>79</v>
      </c>
    </row>
    <row r="312" spans="1:32" ht="12.75" hidden="1" customHeight="1" x14ac:dyDescent="0.2">
      <c r="A312" s="1" t="s">
        <v>30</v>
      </c>
      <c r="B312" s="1" t="s">
        <v>1115</v>
      </c>
      <c r="C312" s="1" t="s">
        <v>71</v>
      </c>
      <c r="D312" s="1" t="s">
        <v>72</v>
      </c>
      <c r="E312" s="1" t="s">
        <v>623</v>
      </c>
      <c r="F312" s="1" t="s">
        <v>605</v>
      </c>
      <c r="G312" s="3">
        <v>400</v>
      </c>
      <c r="H312" s="4">
        <v>8</v>
      </c>
      <c r="I312" s="5">
        <v>1224</v>
      </c>
      <c r="J312" s="5">
        <v>0</v>
      </c>
      <c r="K312" s="1" t="s">
        <v>36</v>
      </c>
      <c r="L312" s="1" t="s">
        <v>75</v>
      </c>
      <c r="M312" s="1" t="s">
        <v>75</v>
      </c>
      <c r="N312" s="3">
        <v>400</v>
      </c>
      <c r="O312" s="6">
        <f>Table1[[#This Row],[Invoice Qty]]-Table1[[#This Row],[ExFactory Qty]]</f>
        <v>0</v>
      </c>
      <c r="P312" s="1" t="s">
        <v>1116</v>
      </c>
      <c r="Q312" s="2">
        <v>46278.516180555598</v>
      </c>
      <c r="R312" s="2">
        <v>46287</v>
      </c>
      <c r="S312" s="1" t="s">
        <v>39</v>
      </c>
      <c r="U312" s="1" t="s">
        <v>40</v>
      </c>
      <c r="V312" s="1" t="s">
        <v>77</v>
      </c>
      <c r="W312" s="1" t="s">
        <v>40</v>
      </c>
      <c r="X312" s="1" t="s">
        <v>40</v>
      </c>
      <c r="Z312" s="2">
        <v>46287</v>
      </c>
      <c r="AA312" s="1" t="s">
        <v>1117</v>
      </c>
      <c r="AB312" s="2">
        <v>46278</v>
      </c>
      <c r="AC312" s="2">
        <v>46278</v>
      </c>
      <c r="AE312" s="1" t="s">
        <v>40</v>
      </c>
      <c r="AF312" s="1" t="s">
        <v>79</v>
      </c>
    </row>
    <row r="313" spans="1:32" ht="12.75" hidden="1" customHeight="1" x14ac:dyDescent="0.2">
      <c r="A313" s="1" t="s">
        <v>30</v>
      </c>
      <c r="B313" s="1" t="s">
        <v>1118</v>
      </c>
      <c r="C313" s="1" t="s">
        <v>71</v>
      </c>
      <c r="D313" s="1" t="s">
        <v>72</v>
      </c>
      <c r="E313" s="1" t="s">
        <v>628</v>
      </c>
      <c r="F313" s="1" t="s">
        <v>615</v>
      </c>
      <c r="G313" s="3">
        <v>1000</v>
      </c>
      <c r="H313" s="4">
        <v>16</v>
      </c>
      <c r="I313" s="5">
        <v>2570</v>
      </c>
      <c r="J313" s="5">
        <v>0</v>
      </c>
      <c r="K313" s="1" t="s">
        <v>36</v>
      </c>
      <c r="L313" s="1" t="s">
        <v>75</v>
      </c>
      <c r="M313" s="1" t="s">
        <v>75</v>
      </c>
      <c r="N313" s="3">
        <v>1000</v>
      </c>
      <c r="O313" s="6">
        <f>Table1[[#This Row],[Invoice Qty]]-Table1[[#This Row],[ExFactory Qty]]</f>
        <v>0</v>
      </c>
      <c r="P313" s="1" t="s">
        <v>1107</v>
      </c>
      <c r="Q313" s="2">
        <v>46278.521261574097</v>
      </c>
      <c r="R313" s="2">
        <v>46289</v>
      </c>
      <c r="S313" s="1" t="s">
        <v>39</v>
      </c>
      <c r="U313" s="1" t="s">
        <v>40</v>
      </c>
      <c r="V313" s="1" t="s">
        <v>77</v>
      </c>
      <c r="W313" s="1" t="s">
        <v>40</v>
      </c>
      <c r="X313" s="1" t="s">
        <v>40</v>
      </c>
      <c r="Z313" s="2">
        <v>46288</v>
      </c>
      <c r="AA313" s="1" t="s">
        <v>1119</v>
      </c>
      <c r="AB313" s="2">
        <v>46278</v>
      </c>
      <c r="AC313" s="2">
        <v>46278</v>
      </c>
      <c r="AD313" s="2">
        <v>46280</v>
      </c>
      <c r="AE313" s="1" t="s">
        <v>1120</v>
      </c>
      <c r="AF313" s="1" t="s">
        <v>79</v>
      </c>
    </row>
    <row r="314" spans="1:32" ht="12.75" hidden="1" customHeight="1" x14ac:dyDescent="0.2">
      <c r="A314" s="1" t="s">
        <v>30</v>
      </c>
      <c r="B314" s="1" t="s">
        <v>1121</v>
      </c>
      <c r="C314" s="1" t="s">
        <v>71</v>
      </c>
      <c r="D314" s="1" t="s">
        <v>72</v>
      </c>
      <c r="E314" s="1" t="s">
        <v>628</v>
      </c>
      <c r="F314" s="1" t="s">
        <v>605</v>
      </c>
      <c r="G314" s="3">
        <v>400</v>
      </c>
      <c r="H314" s="4">
        <v>7</v>
      </c>
      <c r="I314" s="5">
        <v>1028</v>
      </c>
      <c r="J314" s="5">
        <v>0</v>
      </c>
      <c r="K314" s="1" t="s">
        <v>36</v>
      </c>
      <c r="L314" s="1" t="s">
        <v>75</v>
      </c>
      <c r="M314" s="1" t="s">
        <v>75</v>
      </c>
      <c r="N314" s="3">
        <v>400</v>
      </c>
      <c r="O314" s="6">
        <f>Table1[[#This Row],[Invoice Qty]]-Table1[[#This Row],[ExFactory Qty]]</f>
        <v>0</v>
      </c>
      <c r="P314" s="1" t="s">
        <v>1116</v>
      </c>
      <c r="Q314" s="2">
        <v>46278.516180555598</v>
      </c>
      <c r="R314" s="2">
        <v>46287</v>
      </c>
      <c r="S314" s="1" t="s">
        <v>39</v>
      </c>
      <c r="U314" s="1" t="s">
        <v>40</v>
      </c>
      <c r="V314" s="1" t="s">
        <v>77</v>
      </c>
      <c r="W314" s="1" t="s">
        <v>40</v>
      </c>
      <c r="X314" s="1" t="s">
        <v>40</v>
      </c>
      <c r="Z314" s="2">
        <v>46287</v>
      </c>
      <c r="AA314" s="1" t="s">
        <v>1122</v>
      </c>
      <c r="AB314" s="2">
        <v>46278</v>
      </c>
      <c r="AC314" s="2">
        <v>46278</v>
      </c>
      <c r="AE314" s="1" t="s">
        <v>40</v>
      </c>
      <c r="AF314" s="1" t="s">
        <v>79</v>
      </c>
    </row>
    <row r="315" spans="1:32" ht="12.75" hidden="1" customHeight="1" x14ac:dyDescent="0.2">
      <c r="A315" s="1" t="s">
        <v>30</v>
      </c>
      <c r="B315" s="1" t="s">
        <v>1123</v>
      </c>
      <c r="C315" s="1" t="s">
        <v>71</v>
      </c>
      <c r="D315" s="1" t="s">
        <v>72</v>
      </c>
      <c r="E315" s="1" t="s">
        <v>912</v>
      </c>
      <c r="F315" s="1" t="s">
        <v>605</v>
      </c>
      <c r="G315" s="3">
        <v>351</v>
      </c>
      <c r="H315" s="4">
        <v>8</v>
      </c>
      <c r="I315" s="5">
        <v>1010.88</v>
      </c>
      <c r="J315" s="5">
        <v>0</v>
      </c>
      <c r="K315" s="1" t="s">
        <v>36</v>
      </c>
      <c r="L315" s="1" t="s">
        <v>75</v>
      </c>
      <c r="M315" s="1" t="s">
        <v>75</v>
      </c>
      <c r="N315" s="3">
        <v>351</v>
      </c>
      <c r="O315" s="6">
        <f>Table1[[#This Row],[Invoice Qty]]-Table1[[#This Row],[ExFactory Qty]]</f>
        <v>0</v>
      </c>
      <c r="P315" s="1" t="s">
        <v>1116</v>
      </c>
      <c r="Q315" s="2">
        <v>46278.516180555598</v>
      </c>
      <c r="R315" s="2">
        <v>46287</v>
      </c>
      <c r="S315" s="1" t="s">
        <v>39</v>
      </c>
      <c r="U315" s="1" t="s">
        <v>40</v>
      </c>
      <c r="V315" s="1" t="s">
        <v>77</v>
      </c>
      <c r="W315" s="1" t="s">
        <v>40</v>
      </c>
      <c r="X315" s="1" t="s">
        <v>40</v>
      </c>
      <c r="Z315" s="2">
        <v>46287</v>
      </c>
      <c r="AA315" s="1" t="s">
        <v>1124</v>
      </c>
      <c r="AB315" s="2">
        <v>46278</v>
      </c>
      <c r="AC315" s="2">
        <v>46278</v>
      </c>
      <c r="AE315" s="1" t="s">
        <v>40</v>
      </c>
      <c r="AF315" s="1" t="s">
        <v>79</v>
      </c>
    </row>
    <row r="316" spans="1:32" ht="12.75" hidden="1" customHeight="1" x14ac:dyDescent="0.2">
      <c r="A316" s="1" t="s">
        <v>30</v>
      </c>
      <c r="B316" s="1" t="s">
        <v>1125</v>
      </c>
      <c r="C316" s="1" t="s">
        <v>71</v>
      </c>
      <c r="D316" s="1" t="s">
        <v>72</v>
      </c>
      <c r="E316" s="1" t="s">
        <v>633</v>
      </c>
      <c r="F316" s="1" t="s">
        <v>600</v>
      </c>
      <c r="G316" s="3">
        <v>184</v>
      </c>
      <c r="H316" s="4">
        <v>4</v>
      </c>
      <c r="I316" s="5">
        <v>542.79999999999995</v>
      </c>
      <c r="J316" s="5">
        <v>0</v>
      </c>
      <c r="K316" s="1" t="s">
        <v>36</v>
      </c>
      <c r="L316" s="1" t="s">
        <v>75</v>
      </c>
      <c r="M316" s="1" t="s">
        <v>75</v>
      </c>
      <c r="N316" s="3">
        <v>184</v>
      </c>
      <c r="O316" s="6">
        <f>Table1[[#This Row],[Invoice Qty]]-Table1[[#This Row],[ExFactory Qty]]</f>
        <v>0</v>
      </c>
      <c r="P316" s="1" t="s">
        <v>1116</v>
      </c>
      <c r="Q316" s="2">
        <v>46278.516180555598</v>
      </c>
      <c r="R316" s="2">
        <v>46287</v>
      </c>
      <c r="S316" s="1" t="s">
        <v>39</v>
      </c>
      <c r="U316" s="1" t="s">
        <v>40</v>
      </c>
      <c r="V316" s="1" t="s">
        <v>77</v>
      </c>
      <c r="W316" s="1" t="s">
        <v>40</v>
      </c>
      <c r="X316" s="1" t="s">
        <v>40</v>
      </c>
      <c r="Z316" s="2">
        <v>46287</v>
      </c>
      <c r="AA316" s="1" t="s">
        <v>1126</v>
      </c>
      <c r="AB316" s="2">
        <v>46278</v>
      </c>
      <c r="AC316" s="2">
        <v>46278.488807870403</v>
      </c>
      <c r="AE316" s="1" t="s">
        <v>40</v>
      </c>
      <c r="AF316" s="1" t="s">
        <v>79</v>
      </c>
    </row>
    <row r="317" spans="1:32" ht="12.75" hidden="1" customHeight="1" x14ac:dyDescent="0.2">
      <c r="A317" s="1" t="s">
        <v>30</v>
      </c>
      <c r="B317" s="1" t="s">
        <v>1127</v>
      </c>
      <c r="C317" s="1" t="s">
        <v>71</v>
      </c>
      <c r="D317" s="1" t="s">
        <v>72</v>
      </c>
      <c r="E317" s="1" t="s">
        <v>1128</v>
      </c>
      <c r="F317" s="1" t="s">
        <v>615</v>
      </c>
      <c r="G317" s="3">
        <v>406</v>
      </c>
      <c r="H317" s="4">
        <v>3</v>
      </c>
      <c r="I317" s="5">
        <v>820.12</v>
      </c>
      <c r="J317" s="5">
        <v>0</v>
      </c>
      <c r="K317" s="1" t="s">
        <v>36</v>
      </c>
      <c r="L317" s="1" t="s">
        <v>75</v>
      </c>
      <c r="M317" s="1" t="s">
        <v>75</v>
      </c>
      <c r="N317" s="3">
        <v>406</v>
      </c>
      <c r="O317" s="6">
        <f>Table1[[#This Row],[Invoice Qty]]-Table1[[#This Row],[ExFactory Qty]]</f>
        <v>0</v>
      </c>
      <c r="P317" s="1" t="s">
        <v>1107</v>
      </c>
      <c r="Q317" s="2">
        <v>46278.521261574097</v>
      </c>
      <c r="R317" s="2">
        <v>46289</v>
      </c>
      <c r="S317" s="1" t="s">
        <v>39</v>
      </c>
      <c r="U317" s="1" t="s">
        <v>40</v>
      </c>
      <c r="V317" s="1" t="s">
        <v>77</v>
      </c>
      <c r="W317" s="1" t="s">
        <v>40</v>
      </c>
      <c r="X317" s="1" t="s">
        <v>40</v>
      </c>
      <c r="Z317" s="2">
        <v>46288</v>
      </c>
      <c r="AA317" s="1" t="s">
        <v>1129</v>
      </c>
      <c r="AB317" s="2">
        <v>46278</v>
      </c>
      <c r="AC317" s="2">
        <v>46278</v>
      </c>
      <c r="AD317" s="2">
        <v>46280</v>
      </c>
      <c r="AE317" s="1" t="s">
        <v>1130</v>
      </c>
      <c r="AF317" s="1" t="s">
        <v>79</v>
      </c>
    </row>
    <row r="318" spans="1:32" ht="12.75" hidden="1" customHeight="1" x14ac:dyDescent="0.2">
      <c r="A318" s="1" t="s">
        <v>30</v>
      </c>
      <c r="B318" s="1" t="s">
        <v>1131</v>
      </c>
      <c r="C318" s="1" t="s">
        <v>71</v>
      </c>
      <c r="D318" s="1" t="s">
        <v>72</v>
      </c>
      <c r="E318" s="1" t="s">
        <v>1132</v>
      </c>
      <c r="F318" s="1" t="s">
        <v>608</v>
      </c>
      <c r="G318" s="3">
        <v>150</v>
      </c>
      <c r="H318" s="4">
        <v>1</v>
      </c>
      <c r="I318" s="5">
        <v>319.5</v>
      </c>
      <c r="J318" s="5">
        <v>0</v>
      </c>
      <c r="K318" s="1" t="s">
        <v>36</v>
      </c>
      <c r="L318" s="1" t="s">
        <v>75</v>
      </c>
      <c r="M318" s="1" t="s">
        <v>75</v>
      </c>
      <c r="N318" s="3">
        <v>150</v>
      </c>
      <c r="O318" s="6">
        <f>Table1[[#This Row],[Invoice Qty]]-Table1[[#This Row],[ExFactory Qty]]</f>
        <v>0</v>
      </c>
      <c r="P318" s="1" t="s">
        <v>1107</v>
      </c>
      <c r="Q318" s="2">
        <v>46278.521261574097</v>
      </c>
      <c r="R318" s="2">
        <v>46285</v>
      </c>
      <c r="S318" s="1" t="s">
        <v>39</v>
      </c>
      <c r="U318" s="1" t="s">
        <v>40</v>
      </c>
      <c r="V318" s="1" t="s">
        <v>77</v>
      </c>
      <c r="W318" s="1" t="s">
        <v>40</v>
      </c>
      <c r="X318" s="1" t="s">
        <v>40</v>
      </c>
      <c r="Z318" s="2">
        <v>46285</v>
      </c>
      <c r="AA318" s="1" t="s">
        <v>1133</v>
      </c>
      <c r="AB318" s="2">
        <v>46278</v>
      </c>
      <c r="AC318" s="2">
        <v>46278</v>
      </c>
      <c r="AE318" s="1" t="s">
        <v>40</v>
      </c>
      <c r="AF318" s="1" t="s">
        <v>79</v>
      </c>
    </row>
    <row r="319" spans="1:32" ht="12.75" hidden="1" customHeight="1" x14ac:dyDescent="0.2">
      <c r="A319" s="1" t="s">
        <v>30</v>
      </c>
      <c r="B319" s="1" t="s">
        <v>1134</v>
      </c>
      <c r="C319" s="1" t="s">
        <v>71</v>
      </c>
      <c r="D319" s="1" t="s">
        <v>323</v>
      </c>
      <c r="E319" s="1" t="s">
        <v>923</v>
      </c>
      <c r="F319" s="1" t="s">
        <v>608</v>
      </c>
      <c r="G319" s="3">
        <v>185</v>
      </c>
      <c r="H319" s="4">
        <v>5</v>
      </c>
      <c r="I319" s="5">
        <v>867.65</v>
      </c>
      <c r="J319" s="5">
        <v>0</v>
      </c>
      <c r="K319" s="1" t="s">
        <v>36</v>
      </c>
      <c r="L319" s="1" t="s">
        <v>75</v>
      </c>
      <c r="M319" s="1" t="s">
        <v>75</v>
      </c>
      <c r="N319" s="3">
        <v>185</v>
      </c>
      <c r="O319" s="6">
        <f>Table1[[#This Row],[Invoice Qty]]-Table1[[#This Row],[ExFactory Qty]]</f>
        <v>0</v>
      </c>
      <c r="P319" s="1" t="s">
        <v>1107</v>
      </c>
      <c r="Q319" s="2">
        <v>46278.521261574097</v>
      </c>
      <c r="R319" s="2">
        <v>46285</v>
      </c>
      <c r="S319" s="1" t="s">
        <v>39</v>
      </c>
      <c r="U319" s="1" t="s">
        <v>40</v>
      </c>
      <c r="V319" s="1" t="s">
        <v>77</v>
      </c>
      <c r="W319" s="1" t="s">
        <v>40</v>
      </c>
      <c r="X319" s="1" t="s">
        <v>40</v>
      </c>
      <c r="Z319" s="2">
        <v>46285</v>
      </c>
      <c r="AA319" s="1" t="s">
        <v>1135</v>
      </c>
      <c r="AB319" s="2">
        <v>46278</v>
      </c>
      <c r="AC319" s="2">
        <v>46278</v>
      </c>
      <c r="AE319" s="1" t="s">
        <v>40</v>
      </c>
      <c r="AF319" s="1" t="s">
        <v>326</v>
      </c>
    </row>
    <row r="320" spans="1:32" ht="12.75" hidden="1" customHeight="1" x14ac:dyDescent="0.2">
      <c r="A320" s="1" t="s">
        <v>30</v>
      </c>
      <c r="B320" s="1" t="s">
        <v>1136</v>
      </c>
      <c r="C320" s="1" t="s">
        <v>71</v>
      </c>
      <c r="D320" s="1" t="s">
        <v>323</v>
      </c>
      <c r="E320" s="1" t="s">
        <v>923</v>
      </c>
      <c r="F320" s="1" t="s">
        <v>600</v>
      </c>
      <c r="G320" s="3">
        <v>35</v>
      </c>
      <c r="H320" s="4">
        <v>1</v>
      </c>
      <c r="I320" s="5">
        <v>164.15</v>
      </c>
      <c r="J320" s="5">
        <v>0</v>
      </c>
      <c r="K320" s="1" t="s">
        <v>36</v>
      </c>
      <c r="L320" s="1" t="s">
        <v>75</v>
      </c>
      <c r="M320" s="1" t="s">
        <v>75</v>
      </c>
      <c r="N320" s="3">
        <v>35</v>
      </c>
      <c r="O320" s="6">
        <f>Table1[[#This Row],[Invoice Qty]]-Table1[[#This Row],[ExFactory Qty]]</f>
        <v>0</v>
      </c>
      <c r="P320" s="1" t="s">
        <v>1116</v>
      </c>
      <c r="Q320" s="2">
        <v>46278.516180555598</v>
      </c>
      <c r="R320" s="2">
        <v>46287</v>
      </c>
      <c r="S320" s="1" t="s">
        <v>39</v>
      </c>
      <c r="U320" s="1" t="s">
        <v>40</v>
      </c>
      <c r="V320" s="1" t="s">
        <v>77</v>
      </c>
      <c r="W320" s="1" t="s">
        <v>40</v>
      </c>
      <c r="X320" s="1" t="s">
        <v>40</v>
      </c>
      <c r="Z320" s="2">
        <v>46287</v>
      </c>
      <c r="AA320" s="1" t="s">
        <v>1137</v>
      </c>
      <c r="AB320" s="2">
        <v>46278</v>
      </c>
      <c r="AC320" s="2">
        <v>46278.488807870403</v>
      </c>
      <c r="AE320" s="1" t="s">
        <v>40</v>
      </c>
      <c r="AF320" s="1" t="s">
        <v>326</v>
      </c>
    </row>
    <row r="321" spans="1:32" ht="12.75" hidden="1" customHeight="1" x14ac:dyDescent="0.2">
      <c r="A321" s="1" t="s">
        <v>30</v>
      </c>
      <c r="B321" s="1" t="s">
        <v>1138</v>
      </c>
      <c r="C321" s="1" t="s">
        <v>71</v>
      </c>
      <c r="D321" s="1" t="s">
        <v>323</v>
      </c>
      <c r="E321" s="1" t="s">
        <v>1139</v>
      </c>
      <c r="F321" s="1" t="s">
        <v>605</v>
      </c>
      <c r="G321" s="3">
        <v>10</v>
      </c>
      <c r="H321" s="4">
        <v>1</v>
      </c>
      <c r="I321" s="5">
        <v>37.1</v>
      </c>
      <c r="J321" s="5">
        <v>0</v>
      </c>
      <c r="K321" s="1" t="s">
        <v>36</v>
      </c>
      <c r="L321" s="1" t="s">
        <v>75</v>
      </c>
      <c r="M321" s="1" t="s">
        <v>75</v>
      </c>
      <c r="N321" s="3">
        <v>10</v>
      </c>
      <c r="O321" s="6">
        <f>Table1[[#This Row],[Invoice Qty]]-Table1[[#This Row],[ExFactory Qty]]</f>
        <v>0</v>
      </c>
      <c r="P321" s="1" t="s">
        <v>1116</v>
      </c>
      <c r="Q321" s="2">
        <v>46278.516180555598</v>
      </c>
      <c r="R321" s="2">
        <v>46287</v>
      </c>
      <c r="S321" s="1" t="s">
        <v>39</v>
      </c>
      <c r="U321" s="1" t="s">
        <v>40</v>
      </c>
      <c r="V321" s="1" t="s">
        <v>77</v>
      </c>
      <c r="W321" s="1" t="s">
        <v>40</v>
      </c>
      <c r="X321" s="1" t="s">
        <v>40</v>
      </c>
      <c r="Z321" s="2">
        <v>46287</v>
      </c>
      <c r="AA321" s="1" t="s">
        <v>1140</v>
      </c>
      <c r="AB321" s="2">
        <v>46278</v>
      </c>
      <c r="AC321" s="2">
        <v>46278</v>
      </c>
      <c r="AE321" s="1" t="s">
        <v>40</v>
      </c>
      <c r="AF321" s="1" t="s">
        <v>326</v>
      </c>
    </row>
    <row r="322" spans="1:32" ht="12.75" hidden="1" customHeight="1" x14ac:dyDescent="0.2">
      <c r="A322" s="1" t="s">
        <v>30</v>
      </c>
      <c r="B322" s="1" t="s">
        <v>1141</v>
      </c>
      <c r="C322" s="1" t="s">
        <v>71</v>
      </c>
      <c r="D322" s="1" t="s">
        <v>323</v>
      </c>
      <c r="E322" s="1" t="s">
        <v>1139</v>
      </c>
      <c r="F322" s="1" t="s">
        <v>134</v>
      </c>
      <c r="G322" s="3">
        <v>31</v>
      </c>
      <c r="H322" s="4">
        <v>1</v>
      </c>
      <c r="I322" s="5">
        <v>115.01</v>
      </c>
      <c r="J322" s="5">
        <v>0</v>
      </c>
      <c r="K322" s="1" t="s">
        <v>36</v>
      </c>
      <c r="L322" s="1" t="s">
        <v>75</v>
      </c>
      <c r="M322" s="1" t="s">
        <v>75</v>
      </c>
      <c r="N322" s="3">
        <v>31</v>
      </c>
      <c r="O322" s="6">
        <f>Table1[[#This Row],[Invoice Qty]]-Table1[[#This Row],[ExFactory Qty]]</f>
        <v>0</v>
      </c>
      <c r="P322" s="1" t="s">
        <v>1142</v>
      </c>
      <c r="Q322" s="2">
        <v>46278.608530092599</v>
      </c>
      <c r="R322" s="2">
        <v>46288</v>
      </c>
      <c r="S322" s="1" t="s">
        <v>39</v>
      </c>
      <c r="U322" s="1" t="s">
        <v>40</v>
      </c>
      <c r="V322" s="1" t="s">
        <v>77</v>
      </c>
      <c r="W322" s="1" t="s">
        <v>40</v>
      </c>
      <c r="X322" s="1" t="s">
        <v>40</v>
      </c>
      <c r="Z322" s="2">
        <v>46288</v>
      </c>
      <c r="AA322" s="1" t="s">
        <v>1143</v>
      </c>
      <c r="AB322" s="2">
        <v>46278</v>
      </c>
      <c r="AC322" s="2">
        <v>46278.488807870403</v>
      </c>
      <c r="AE322" s="1" t="s">
        <v>40</v>
      </c>
      <c r="AF322" s="1" t="s">
        <v>326</v>
      </c>
    </row>
    <row r="323" spans="1:32" ht="12.75" hidden="1" customHeight="1" x14ac:dyDescent="0.2">
      <c r="A323" s="1" t="s">
        <v>30</v>
      </c>
      <c r="B323" s="1" t="s">
        <v>1144</v>
      </c>
      <c r="C323" s="1" t="s">
        <v>71</v>
      </c>
      <c r="D323" s="1" t="s">
        <v>323</v>
      </c>
      <c r="E323" s="1" t="s">
        <v>1139</v>
      </c>
      <c r="F323" s="1" t="s">
        <v>615</v>
      </c>
      <c r="G323" s="3">
        <v>55</v>
      </c>
      <c r="H323" s="4">
        <v>1</v>
      </c>
      <c r="I323" s="5">
        <v>204.05</v>
      </c>
      <c r="J323" s="5">
        <v>0</v>
      </c>
      <c r="K323" s="1" t="s">
        <v>36</v>
      </c>
      <c r="L323" s="1" t="s">
        <v>75</v>
      </c>
      <c r="M323" s="1" t="s">
        <v>75</v>
      </c>
      <c r="N323" s="3">
        <v>55</v>
      </c>
      <c r="O323" s="6">
        <f>Table1[[#This Row],[Invoice Qty]]-Table1[[#This Row],[ExFactory Qty]]</f>
        <v>0</v>
      </c>
      <c r="P323" s="1" t="s">
        <v>1107</v>
      </c>
      <c r="Q323" s="2">
        <v>46278.521261574097</v>
      </c>
      <c r="R323" s="2">
        <v>46289</v>
      </c>
      <c r="S323" s="1" t="s">
        <v>39</v>
      </c>
      <c r="U323" s="1" t="s">
        <v>40</v>
      </c>
      <c r="V323" s="1" t="s">
        <v>77</v>
      </c>
      <c r="W323" s="1" t="s">
        <v>40</v>
      </c>
      <c r="X323" s="1" t="s">
        <v>40</v>
      </c>
      <c r="Z323" s="2">
        <v>46288</v>
      </c>
      <c r="AA323" s="1" t="s">
        <v>1145</v>
      </c>
      <c r="AB323" s="2">
        <v>46278</v>
      </c>
      <c r="AC323" s="2">
        <v>46278</v>
      </c>
      <c r="AD323" s="2">
        <v>46280</v>
      </c>
      <c r="AE323" s="1" t="s">
        <v>1146</v>
      </c>
      <c r="AF323" s="1" t="s">
        <v>326</v>
      </c>
    </row>
    <row r="324" spans="1:32" ht="12.75" hidden="1" customHeight="1" x14ac:dyDescent="0.2">
      <c r="A324" s="1" t="s">
        <v>30</v>
      </c>
      <c r="B324" s="1" t="s">
        <v>1147</v>
      </c>
      <c r="C324" s="1" t="s">
        <v>71</v>
      </c>
      <c r="D324" s="1" t="s">
        <v>365</v>
      </c>
      <c r="E324" s="1" t="s">
        <v>381</v>
      </c>
      <c r="F324" s="1" t="s">
        <v>183</v>
      </c>
      <c r="G324" s="3">
        <v>865</v>
      </c>
      <c r="H324" s="4">
        <v>8</v>
      </c>
      <c r="I324" s="5">
        <v>5008.3500000000004</v>
      </c>
      <c r="J324" s="5">
        <v>0</v>
      </c>
      <c r="K324" s="1" t="s">
        <v>36</v>
      </c>
      <c r="L324" s="1" t="s">
        <v>75</v>
      </c>
      <c r="M324" s="1" t="s">
        <v>75</v>
      </c>
      <c r="N324" s="3">
        <v>865</v>
      </c>
      <c r="O324" s="6">
        <f>Table1[[#This Row],[Invoice Qty]]-Table1[[#This Row],[ExFactory Qty]]</f>
        <v>0</v>
      </c>
      <c r="P324" s="1" t="s">
        <v>1116</v>
      </c>
      <c r="Q324" s="2">
        <v>46278.516180555598</v>
      </c>
      <c r="R324" s="2">
        <v>46288</v>
      </c>
      <c r="S324" s="1" t="s">
        <v>39</v>
      </c>
      <c r="U324" s="1" t="s">
        <v>40</v>
      </c>
      <c r="V324" s="1" t="s">
        <v>77</v>
      </c>
      <c r="W324" s="1" t="s">
        <v>40</v>
      </c>
      <c r="X324" s="1" t="s">
        <v>40</v>
      </c>
      <c r="Z324" s="2">
        <v>46288</v>
      </c>
      <c r="AA324" s="1" t="s">
        <v>1148</v>
      </c>
      <c r="AB324" s="2">
        <v>46278</v>
      </c>
      <c r="AC324" s="2">
        <v>46278.488807870403</v>
      </c>
      <c r="AE324" s="1" t="s">
        <v>40</v>
      </c>
      <c r="AF324" s="1" t="s">
        <v>40</v>
      </c>
    </row>
    <row r="325" spans="1:32" ht="12.75" hidden="1" customHeight="1" x14ac:dyDescent="0.2">
      <c r="A325" s="1" t="s">
        <v>30</v>
      </c>
      <c r="B325" s="1" t="s">
        <v>1149</v>
      </c>
      <c r="C325" s="1" t="s">
        <v>71</v>
      </c>
      <c r="D325" s="1" t="s">
        <v>365</v>
      </c>
      <c r="E325" s="1" t="s">
        <v>381</v>
      </c>
      <c r="F325" s="1" t="s">
        <v>688</v>
      </c>
      <c r="G325" s="3">
        <v>750</v>
      </c>
      <c r="H325" s="4">
        <v>9</v>
      </c>
      <c r="I325" s="5">
        <v>4342.5</v>
      </c>
      <c r="J325" s="5">
        <v>0</v>
      </c>
      <c r="K325" s="1" t="s">
        <v>36</v>
      </c>
      <c r="L325" s="1" t="s">
        <v>75</v>
      </c>
      <c r="M325" s="1" t="s">
        <v>75</v>
      </c>
      <c r="N325" s="3">
        <v>750</v>
      </c>
      <c r="O325" s="6">
        <f>Table1[[#This Row],[Invoice Qty]]-Table1[[#This Row],[ExFactory Qty]]</f>
        <v>0</v>
      </c>
      <c r="P325" s="1" t="s">
        <v>1107</v>
      </c>
      <c r="Q325" s="2">
        <v>46278.521261574097</v>
      </c>
      <c r="R325" s="2">
        <v>46287</v>
      </c>
      <c r="S325" s="1" t="s">
        <v>39</v>
      </c>
      <c r="U325" s="1" t="s">
        <v>40</v>
      </c>
      <c r="V325" s="1" t="s">
        <v>77</v>
      </c>
      <c r="W325" s="1" t="s">
        <v>40</v>
      </c>
      <c r="X325" s="1" t="s">
        <v>40</v>
      </c>
      <c r="Z325" s="2">
        <v>46288</v>
      </c>
      <c r="AA325" s="1" t="s">
        <v>1150</v>
      </c>
      <c r="AB325" s="2">
        <v>46278</v>
      </c>
      <c r="AC325" s="2">
        <v>46278.488807870403</v>
      </c>
      <c r="AE325" s="1" t="s">
        <v>40</v>
      </c>
      <c r="AF325" s="1" t="s">
        <v>40</v>
      </c>
    </row>
    <row r="326" spans="1:32" ht="12.75" hidden="1" customHeight="1" x14ac:dyDescent="0.2">
      <c r="A326" s="1" t="s">
        <v>30</v>
      </c>
      <c r="B326" s="1" t="s">
        <v>1151</v>
      </c>
      <c r="C326" s="1" t="s">
        <v>71</v>
      </c>
      <c r="D326" s="1" t="s">
        <v>365</v>
      </c>
      <c r="E326" s="1" t="s">
        <v>381</v>
      </c>
      <c r="F326" s="1" t="s">
        <v>713</v>
      </c>
      <c r="G326" s="3">
        <v>417</v>
      </c>
      <c r="H326" s="4">
        <v>4</v>
      </c>
      <c r="I326" s="5">
        <v>2414.4299999999998</v>
      </c>
      <c r="J326" s="5">
        <v>0</v>
      </c>
      <c r="K326" s="1" t="s">
        <v>36</v>
      </c>
      <c r="L326" s="1" t="s">
        <v>75</v>
      </c>
      <c r="M326" s="1" t="s">
        <v>75</v>
      </c>
      <c r="N326" s="3">
        <v>417</v>
      </c>
      <c r="O326" s="6">
        <f>Table1[[#This Row],[Invoice Qty]]-Table1[[#This Row],[ExFactory Qty]]</f>
        <v>0</v>
      </c>
      <c r="P326" s="1" t="s">
        <v>1107</v>
      </c>
      <c r="Q326" s="2">
        <v>46278.521261574097</v>
      </c>
      <c r="R326" s="2">
        <v>46286</v>
      </c>
      <c r="S326" s="1" t="s">
        <v>39</v>
      </c>
      <c r="U326" s="1" t="s">
        <v>40</v>
      </c>
      <c r="V326" s="1" t="s">
        <v>77</v>
      </c>
      <c r="W326" s="1" t="s">
        <v>40</v>
      </c>
      <c r="X326" s="1" t="s">
        <v>40</v>
      </c>
      <c r="Z326" s="2">
        <v>46286</v>
      </c>
      <c r="AA326" s="1" t="s">
        <v>1152</v>
      </c>
      <c r="AB326" s="2">
        <v>46278</v>
      </c>
      <c r="AC326" s="2">
        <v>46278</v>
      </c>
      <c r="AD326" s="2">
        <v>46280</v>
      </c>
      <c r="AE326" s="1" t="s">
        <v>1153</v>
      </c>
      <c r="AF326" s="1" t="s">
        <v>40</v>
      </c>
    </row>
    <row r="327" spans="1:32" ht="12.75" hidden="1" customHeight="1" x14ac:dyDescent="0.2">
      <c r="A327" s="1" t="s">
        <v>30</v>
      </c>
      <c r="B327" s="1" t="s">
        <v>1154</v>
      </c>
      <c r="C327" s="1" t="s">
        <v>71</v>
      </c>
      <c r="D327" s="1" t="s">
        <v>72</v>
      </c>
      <c r="E327" s="1" t="s">
        <v>432</v>
      </c>
      <c r="F327" s="1" t="s">
        <v>134</v>
      </c>
      <c r="G327" s="3">
        <v>47</v>
      </c>
      <c r="H327" s="4">
        <v>1</v>
      </c>
      <c r="I327" s="5">
        <v>100.11</v>
      </c>
      <c r="J327" s="5">
        <v>0</v>
      </c>
      <c r="K327" s="1" t="s">
        <v>36</v>
      </c>
      <c r="L327" s="1" t="s">
        <v>75</v>
      </c>
      <c r="M327" s="1" t="s">
        <v>75</v>
      </c>
      <c r="N327" s="3">
        <v>47</v>
      </c>
      <c r="O327" s="6">
        <f>Table1[[#This Row],[Invoice Qty]]-Table1[[#This Row],[ExFactory Qty]]</f>
        <v>0</v>
      </c>
      <c r="P327" s="1" t="s">
        <v>1142</v>
      </c>
      <c r="Q327" s="2">
        <v>46278.608530092599</v>
      </c>
      <c r="R327" s="2">
        <v>46288</v>
      </c>
      <c r="S327" s="1" t="s">
        <v>39</v>
      </c>
      <c r="U327" s="1" t="s">
        <v>40</v>
      </c>
      <c r="V327" s="1" t="s">
        <v>77</v>
      </c>
      <c r="W327" s="1" t="s">
        <v>40</v>
      </c>
      <c r="X327" s="1" t="s">
        <v>40</v>
      </c>
      <c r="Z327" s="2">
        <v>46288</v>
      </c>
      <c r="AA327" s="1" t="s">
        <v>1155</v>
      </c>
      <c r="AB327" s="2">
        <v>46278</v>
      </c>
      <c r="AC327" s="2">
        <v>46278.488807870403</v>
      </c>
      <c r="AE327" s="1" t="s">
        <v>40</v>
      </c>
      <c r="AF327" s="1" t="s">
        <v>79</v>
      </c>
    </row>
    <row r="328" spans="1:32" ht="12.75" hidden="1" customHeight="1" x14ac:dyDescent="0.2">
      <c r="A328" s="1" t="s">
        <v>30</v>
      </c>
      <c r="B328" s="1" t="s">
        <v>1156</v>
      </c>
      <c r="C328" s="1" t="s">
        <v>71</v>
      </c>
      <c r="D328" s="1" t="s">
        <v>72</v>
      </c>
      <c r="E328" s="1" t="s">
        <v>439</v>
      </c>
      <c r="F328" s="1" t="s">
        <v>134</v>
      </c>
      <c r="G328" s="3">
        <v>41</v>
      </c>
      <c r="H328" s="4">
        <v>1</v>
      </c>
      <c r="I328" s="5">
        <v>86.1</v>
      </c>
      <c r="J328" s="5">
        <v>0</v>
      </c>
      <c r="K328" s="1" t="s">
        <v>36</v>
      </c>
      <c r="L328" s="1" t="s">
        <v>75</v>
      </c>
      <c r="M328" s="1" t="s">
        <v>75</v>
      </c>
      <c r="N328" s="3">
        <v>41</v>
      </c>
      <c r="O328" s="6">
        <f>Table1[[#This Row],[Invoice Qty]]-Table1[[#This Row],[ExFactory Qty]]</f>
        <v>0</v>
      </c>
      <c r="P328" s="1" t="s">
        <v>1142</v>
      </c>
      <c r="Q328" s="2">
        <v>46278.608530092599</v>
      </c>
      <c r="R328" s="2">
        <v>46288</v>
      </c>
      <c r="S328" s="1" t="s">
        <v>39</v>
      </c>
      <c r="U328" s="1" t="s">
        <v>40</v>
      </c>
      <c r="V328" s="1" t="s">
        <v>77</v>
      </c>
      <c r="W328" s="1" t="s">
        <v>40</v>
      </c>
      <c r="X328" s="1" t="s">
        <v>40</v>
      </c>
      <c r="Z328" s="2">
        <v>46288</v>
      </c>
      <c r="AA328" s="1" t="s">
        <v>1157</v>
      </c>
      <c r="AB328" s="2">
        <v>46278</v>
      </c>
      <c r="AC328" s="2">
        <v>46278.488807870403</v>
      </c>
      <c r="AE328" s="1" t="s">
        <v>40</v>
      </c>
      <c r="AF328" s="1" t="s">
        <v>79</v>
      </c>
    </row>
    <row r="329" spans="1:32" ht="12.75" hidden="1" customHeight="1" x14ac:dyDescent="0.2">
      <c r="A329" s="1" t="s">
        <v>30</v>
      </c>
      <c r="B329" s="1" t="s">
        <v>1158</v>
      </c>
      <c r="C329" s="1" t="s">
        <v>71</v>
      </c>
      <c r="D329" s="1" t="s">
        <v>365</v>
      </c>
      <c r="E329" s="1" t="s">
        <v>1159</v>
      </c>
      <c r="F329" s="1" t="s">
        <v>727</v>
      </c>
      <c r="G329" s="3">
        <v>106</v>
      </c>
      <c r="H329" s="4">
        <v>2</v>
      </c>
      <c r="I329" s="5">
        <v>610.55999999999995</v>
      </c>
      <c r="J329" s="5">
        <v>0</v>
      </c>
      <c r="K329" s="1" t="s">
        <v>36</v>
      </c>
      <c r="L329" s="1" t="s">
        <v>75</v>
      </c>
      <c r="M329" s="1" t="s">
        <v>75</v>
      </c>
      <c r="N329" s="3">
        <v>106</v>
      </c>
      <c r="O329" s="6">
        <f>Table1[[#This Row],[Invoice Qty]]-Table1[[#This Row],[ExFactory Qty]]</f>
        <v>0</v>
      </c>
      <c r="P329" s="1" t="s">
        <v>1107</v>
      </c>
      <c r="Q329" s="2">
        <v>46278.521261574097</v>
      </c>
      <c r="R329" s="2">
        <v>46288</v>
      </c>
      <c r="S329" s="1" t="s">
        <v>39</v>
      </c>
      <c r="U329" s="1" t="s">
        <v>40</v>
      </c>
      <c r="V329" s="1" t="s">
        <v>77</v>
      </c>
      <c r="W329" s="1" t="s">
        <v>40</v>
      </c>
      <c r="X329" s="1" t="s">
        <v>40</v>
      </c>
      <c r="Z329" s="2">
        <v>46288</v>
      </c>
      <c r="AA329" s="1" t="s">
        <v>1160</v>
      </c>
      <c r="AB329" s="2">
        <v>46278</v>
      </c>
      <c r="AC329" s="2">
        <v>46278.488807870403</v>
      </c>
      <c r="AE329" s="1" t="s">
        <v>40</v>
      </c>
      <c r="AF329" s="1" t="s">
        <v>40</v>
      </c>
    </row>
    <row r="330" spans="1:32" ht="12.75" hidden="1" customHeight="1" x14ac:dyDescent="0.2">
      <c r="A330" s="1" t="s">
        <v>30</v>
      </c>
      <c r="B330" s="1" t="s">
        <v>1161</v>
      </c>
      <c r="C330" s="1" t="s">
        <v>71</v>
      </c>
      <c r="D330" s="1" t="s">
        <v>72</v>
      </c>
      <c r="E330" s="1" t="s">
        <v>1162</v>
      </c>
      <c r="F330" s="1" t="s">
        <v>735</v>
      </c>
      <c r="G330" s="3">
        <v>270</v>
      </c>
      <c r="H330" s="4">
        <v>6</v>
      </c>
      <c r="I330" s="5">
        <v>769.5</v>
      </c>
      <c r="J330" s="5">
        <v>0</v>
      </c>
      <c r="K330" s="1" t="s">
        <v>36</v>
      </c>
      <c r="L330" s="1" t="s">
        <v>75</v>
      </c>
      <c r="M330" s="1" t="s">
        <v>75</v>
      </c>
      <c r="N330" s="3">
        <v>270</v>
      </c>
      <c r="O330" s="6">
        <f>Table1[[#This Row],[Invoice Qty]]-Table1[[#This Row],[ExFactory Qty]]</f>
        <v>0</v>
      </c>
      <c r="P330" s="1" t="s">
        <v>1142</v>
      </c>
      <c r="Q330" s="2">
        <v>46278.608530092599</v>
      </c>
      <c r="R330" s="2">
        <v>46288</v>
      </c>
      <c r="S330" s="1" t="s">
        <v>39</v>
      </c>
      <c r="U330" s="1" t="s">
        <v>40</v>
      </c>
      <c r="V330" s="1" t="s">
        <v>77</v>
      </c>
      <c r="W330" s="1" t="s">
        <v>40</v>
      </c>
      <c r="X330" s="1" t="s">
        <v>40</v>
      </c>
      <c r="Z330" s="2">
        <v>46288</v>
      </c>
      <c r="AA330" s="1" t="s">
        <v>1163</v>
      </c>
      <c r="AB330" s="2">
        <v>46278</v>
      </c>
      <c r="AC330" s="2">
        <v>46278.488807870403</v>
      </c>
      <c r="AE330" s="1" t="s">
        <v>40</v>
      </c>
      <c r="AF330" s="1" t="s">
        <v>79</v>
      </c>
    </row>
    <row r="331" spans="1:32" ht="12.75" hidden="1" customHeight="1" x14ac:dyDescent="0.2">
      <c r="A331" s="1" t="s">
        <v>30</v>
      </c>
      <c r="B331" s="1" t="s">
        <v>1164</v>
      </c>
      <c r="C331" s="1" t="s">
        <v>71</v>
      </c>
      <c r="D331" s="1" t="s">
        <v>72</v>
      </c>
      <c r="E331" s="1" t="s">
        <v>1162</v>
      </c>
      <c r="F331" s="1" t="s">
        <v>654</v>
      </c>
      <c r="G331" s="3">
        <v>4019</v>
      </c>
      <c r="H331" s="4">
        <v>54</v>
      </c>
      <c r="I331" s="5">
        <v>11454.15</v>
      </c>
      <c r="J331" s="5">
        <v>0</v>
      </c>
      <c r="K331" s="1" t="s">
        <v>36</v>
      </c>
      <c r="L331" s="1" t="s">
        <v>75</v>
      </c>
      <c r="M331" s="1" t="s">
        <v>75</v>
      </c>
      <c r="N331" s="3">
        <v>4019</v>
      </c>
      <c r="O331" s="6">
        <f>Table1[[#This Row],[Invoice Qty]]-Table1[[#This Row],[ExFactory Qty]]</f>
        <v>0</v>
      </c>
      <c r="P331" s="1" t="s">
        <v>1142</v>
      </c>
      <c r="Q331" s="2">
        <v>46278.608530092599</v>
      </c>
      <c r="R331" s="2">
        <v>46288</v>
      </c>
      <c r="S331" s="1" t="s">
        <v>39</v>
      </c>
      <c r="U331" s="1" t="s">
        <v>40</v>
      </c>
      <c r="V331" s="1" t="s">
        <v>77</v>
      </c>
      <c r="W331" s="1" t="s">
        <v>40</v>
      </c>
      <c r="X331" s="1" t="s">
        <v>40</v>
      </c>
      <c r="Z331" s="2">
        <v>46288</v>
      </c>
      <c r="AA331" s="1" t="s">
        <v>1165</v>
      </c>
      <c r="AB331" s="2">
        <v>46278</v>
      </c>
      <c r="AC331" s="2">
        <v>46278.488807870403</v>
      </c>
      <c r="AE331" s="1" t="s">
        <v>40</v>
      </c>
      <c r="AF331" s="1" t="s">
        <v>79</v>
      </c>
    </row>
    <row r="332" spans="1:32" ht="12.75" hidden="1" customHeight="1" x14ac:dyDescent="0.2">
      <c r="A332" s="1" t="s">
        <v>30</v>
      </c>
      <c r="B332" s="1" t="s">
        <v>1166</v>
      </c>
      <c r="C332" s="1" t="s">
        <v>71</v>
      </c>
      <c r="D332" s="1" t="s">
        <v>72</v>
      </c>
      <c r="E332" s="1" t="s">
        <v>1162</v>
      </c>
      <c r="F332" s="1" t="s">
        <v>727</v>
      </c>
      <c r="G332" s="3">
        <v>758</v>
      </c>
      <c r="H332" s="4">
        <v>11</v>
      </c>
      <c r="I332" s="5">
        <v>2160.3000000000002</v>
      </c>
      <c r="J332" s="5">
        <v>0</v>
      </c>
      <c r="K332" s="1" t="s">
        <v>36</v>
      </c>
      <c r="L332" s="1" t="s">
        <v>75</v>
      </c>
      <c r="M332" s="1" t="s">
        <v>75</v>
      </c>
      <c r="N332" s="3">
        <v>758</v>
      </c>
      <c r="O332" s="6">
        <f>Table1[[#This Row],[Invoice Qty]]-Table1[[#This Row],[ExFactory Qty]]</f>
        <v>0</v>
      </c>
      <c r="P332" s="1" t="s">
        <v>1107</v>
      </c>
      <c r="Q332" s="2">
        <v>46278.521261574097</v>
      </c>
      <c r="R332" s="2">
        <v>46288</v>
      </c>
      <c r="S332" s="1" t="s">
        <v>39</v>
      </c>
      <c r="U332" s="1" t="s">
        <v>40</v>
      </c>
      <c r="V332" s="1" t="s">
        <v>77</v>
      </c>
      <c r="W332" s="1" t="s">
        <v>40</v>
      </c>
      <c r="X332" s="1" t="s">
        <v>40</v>
      </c>
      <c r="Z332" s="2">
        <v>46288</v>
      </c>
      <c r="AA332" s="1" t="s">
        <v>1167</v>
      </c>
      <c r="AB332" s="2">
        <v>46278</v>
      </c>
      <c r="AC332" s="2">
        <v>46278.488807870403</v>
      </c>
      <c r="AE332" s="1" t="s">
        <v>40</v>
      </c>
      <c r="AF332" s="1" t="s">
        <v>79</v>
      </c>
    </row>
    <row r="333" spans="1:32" ht="12.75" hidden="1" customHeight="1" x14ac:dyDescent="0.2">
      <c r="A333" s="1" t="s">
        <v>30</v>
      </c>
      <c r="B333" s="1" t="s">
        <v>1168</v>
      </c>
      <c r="C333" s="1" t="s">
        <v>71</v>
      </c>
      <c r="D333" s="1" t="s">
        <v>457</v>
      </c>
      <c r="E333" s="1" t="s">
        <v>458</v>
      </c>
      <c r="F333" s="1" t="s">
        <v>654</v>
      </c>
      <c r="G333" s="3">
        <v>5850</v>
      </c>
      <c r="H333" s="4">
        <v>72</v>
      </c>
      <c r="I333" s="5">
        <v>24745.5</v>
      </c>
      <c r="J333" s="5">
        <v>0</v>
      </c>
      <c r="K333" s="1" t="s">
        <v>36</v>
      </c>
      <c r="L333" s="1" t="s">
        <v>75</v>
      </c>
      <c r="M333" s="1" t="s">
        <v>75</v>
      </c>
      <c r="N333" s="3">
        <v>5850</v>
      </c>
      <c r="O333" s="6">
        <f>Table1[[#This Row],[Invoice Qty]]-Table1[[#This Row],[ExFactory Qty]]</f>
        <v>0</v>
      </c>
      <c r="P333" s="1" t="s">
        <v>1142</v>
      </c>
      <c r="Q333" s="2">
        <v>46278.608530092599</v>
      </c>
      <c r="R333" s="2">
        <v>46288</v>
      </c>
      <c r="S333" s="1" t="s">
        <v>39</v>
      </c>
      <c r="U333" s="1" t="s">
        <v>40</v>
      </c>
      <c r="V333" s="1" t="s">
        <v>77</v>
      </c>
      <c r="W333" s="1" t="s">
        <v>40</v>
      </c>
      <c r="X333" s="1" t="s">
        <v>40</v>
      </c>
      <c r="Z333" s="2">
        <v>46288</v>
      </c>
      <c r="AA333" s="1" t="s">
        <v>1169</v>
      </c>
      <c r="AB333" s="2">
        <v>46278</v>
      </c>
      <c r="AC333" s="2">
        <v>46278</v>
      </c>
      <c r="AE333" s="1" t="s">
        <v>40</v>
      </c>
      <c r="AF333" s="1" t="s">
        <v>326</v>
      </c>
    </row>
    <row r="334" spans="1:32" ht="12.75" hidden="1" customHeight="1" x14ac:dyDescent="0.2">
      <c r="A334" s="1" t="s">
        <v>30</v>
      </c>
      <c r="B334" s="1" t="s">
        <v>1170</v>
      </c>
      <c r="C334" s="1" t="s">
        <v>71</v>
      </c>
      <c r="D334" s="1" t="s">
        <v>72</v>
      </c>
      <c r="E334" s="1" t="s">
        <v>1171</v>
      </c>
      <c r="F334" s="1" t="s">
        <v>269</v>
      </c>
      <c r="G334" s="3">
        <v>428</v>
      </c>
      <c r="H334" s="4">
        <v>4</v>
      </c>
      <c r="I334" s="5">
        <v>1151.32</v>
      </c>
      <c r="J334" s="5">
        <v>0</v>
      </c>
      <c r="K334" s="1" t="s">
        <v>36</v>
      </c>
      <c r="L334" s="1" t="s">
        <v>75</v>
      </c>
      <c r="M334" s="1" t="s">
        <v>75</v>
      </c>
      <c r="N334" s="3">
        <v>428</v>
      </c>
      <c r="O334" s="6">
        <f>Table1[[#This Row],[Invoice Qty]]-Table1[[#This Row],[ExFactory Qty]]</f>
        <v>0</v>
      </c>
      <c r="P334" s="1" t="s">
        <v>1172</v>
      </c>
      <c r="Q334" s="2">
        <v>46278.5171527778</v>
      </c>
      <c r="R334" s="2">
        <v>46287</v>
      </c>
      <c r="S334" s="1" t="s">
        <v>39</v>
      </c>
      <c r="U334" s="1" t="s">
        <v>40</v>
      </c>
      <c r="V334" s="1" t="s">
        <v>77</v>
      </c>
      <c r="W334" s="1" t="s">
        <v>40</v>
      </c>
      <c r="X334" s="1" t="s">
        <v>40</v>
      </c>
      <c r="Z334" s="2">
        <v>46285</v>
      </c>
      <c r="AA334" s="1" t="s">
        <v>1173</v>
      </c>
      <c r="AB334" s="2">
        <v>46278</v>
      </c>
      <c r="AC334" s="2">
        <v>46278.488807870403</v>
      </c>
      <c r="AE334" s="1" t="s">
        <v>40</v>
      </c>
      <c r="AF334" s="1" t="s">
        <v>79</v>
      </c>
    </row>
    <row r="335" spans="1:32" ht="12.75" hidden="1" customHeight="1" x14ac:dyDescent="0.2">
      <c r="A335" s="1" t="s">
        <v>30</v>
      </c>
      <c r="B335" s="1" t="s">
        <v>1174</v>
      </c>
      <c r="C335" s="1" t="s">
        <v>71</v>
      </c>
      <c r="D335" s="1" t="s">
        <v>72</v>
      </c>
      <c r="E335" s="1" t="s">
        <v>1175</v>
      </c>
      <c r="F335" s="1" t="s">
        <v>658</v>
      </c>
      <c r="G335" s="3">
        <v>1417</v>
      </c>
      <c r="H335" s="4">
        <v>14</v>
      </c>
      <c r="I335" s="5">
        <v>3882.58</v>
      </c>
      <c r="J335" s="5">
        <v>0</v>
      </c>
      <c r="K335" s="1" t="s">
        <v>36</v>
      </c>
      <c r="L335" s="1" t="s">
        <v>75</v>
      </c>
      <c r="M335" s="1" t="s">
        <v>75</v>
      </c>
      <c r="N335" s="3">
        <v>1417</v>
      </c>
      <c r="O335" s="6">
        <f>Table1[[#This Row],[Invoice Qty]]-Table1[[#This Row],[ExFactory Qty]]</f>
        <v>0</v>
      </c>
      <c r="P335" s="1" t="s">
        <v>1107</v>
      </c>
      <c r="Q335" s="2">
        <v>46278.521261574097</v>
      </c>
      <c r="R335" s="2">
        <v>46288</v>
      </c>
      <c r="S335" s="1" t="s">
        <v>39</v>
      </c>
      <c r="U335" s="1" t="s">
        <v>40</v>
      </c>
      <c r="V335" s="1" t="s">
        <v>77</v>
      </c>
      <c r="W335" s="1" t="s">
        <v>40</v>
      </c>
      <c r="X335" s="1" t="s">
        <v>40</v>
      </c>
      <c r="Z335" s="2">
        <v>46288</v>
      </c>
      <c r="AA335" s="1" t="s">
        <v>1176</v>
      </c>
      <c r="AB335" s="2">
        <v>46278</v>
      </c>
      <c r="AC335" s="2">
        <v>46278.488807870403</v>
      </c>
      <c r="AE335" s="1" t="s">
        <v>40</v>
      </c>
      <c r="AF335" s="1" t="s">
        <v>79</v>
      </c>
    </row>
    <row r="336" spans="1:32" ht="12.75" hidden="1" customHeight="1" x14ac:dyDescent="0.2">
      <c r="A336" s="1" t="s">
        <v>30</v>
      </c>
      <c r="B336" s="1" t="s">
        <v>1177</v>
      </c>
      <c r="C336" s="1" t="s">
        <v>71</v>
      </c>
      <c r="D336" s="1" t="s">
        <v>72</v>
      </c>
      <c r="E336" s="1" t="s">
        <v>1175</v>
      </c>
      <c r="F336" s="1" t="s">
        <v>661</v>
      </c>
      <c r="G336" s="3">
        <v>311</v>
      </c>
      <c r="H336" s="4">
        <v>3</v>
      </c>
      <c r="I336" s="5">
        <v>852.14</v>
      </c>
      <c r="J336" s="5">
        <v>0</v>
      </c>
      <c r="K336" s="1" t="s">
        <v>36</v>
      </c>
      <c r="L336" s="1" t="s">
        <v>75</v>
      </c>
      <c r="M336" s="1" t="s">
        <v>75</v>
      </c>
      <c r="N336" s="3">
        <v>311</v>
      </c>
      <c r="O336" s="6">
        <f>Table1[[#This Row],[Invoice Qty]]-Table1[[#This Row],[ExFactory Qty]]</f>
        <v>0</v>
      </c>
      <c r="P336" s="1" t="s">
        <v>1107</v>
      </c>
      <c r="Q336" s="2">
        <v>46278.521261574097</v>
      </c>
      <c r="R336" s="2">
        <v>46288</v>
      </c>
      <c r="S336" s="1" t="s">
        <v>39</v>
      </c>
      <c r="U336" s="1" t="s">
        <v>40</v>
      </c>
      <c r="V336" s="1" t="s">
        <v>77</v>
      </c>
      <c r="W336" s="1" t="s">
        <v>40</v>
      </c>
      <c r="X336" s="1" t="s">
        <v>40</v>
      </c>
      <c r="Z336" s="2">
        <v>46288</v>
      </c>
      <c r="AA336" s="1" t="s">
        <v>1178</v>
      </c>
      <c r="AB336" s="2">
        <v>46278</v>
      </c>
      <c r="AC336" s="2">
        <v>46278.488807870403</v>
      </c>
      <c r="AE336" s="1" t="s">
        <v>40</v>
      </c>
      <c r="AF336" s="1" t="s">
        <v>79</v>
      </c>
    </row>
    <row r="337" spans="1:32" ht="12.75" hidden="1" customHeight="1" x14ac:dyDescent="0.2">
      <c r="A337" s="1" t="s">
        <v>30</v>
      </c>
      <c r="B337" s="1" t="s">
        <v>1179</v>
      </c>
      <c r="C337" s="1" t="s">
        <v>71</v>
      </c>
      <c r="D337" s="1" t="s">
        <v>72</v>
      </c>
      <c r="E337" s="1" t="s">
        <v>1175</v>
      </c>
      <c r="F337" s="1" t="s">
        <v>269</v>
      </c>
      <c r="G337" s="3">
        <v>749</v>
      </c>
      <c r="H337" s="4">
        <v>8</v>
      </c>
      <c r="I337" s="5">
        <v>2052.2600000000002</v>
      </c>
      <c r="J337" s="5">
        <v>0</v>
      </c>
      <c r="K337" s="1" t="s">
        <v>36</v>
      </c>
      <c r="L337" s="1" t="s">
        <v>75</v>
      </c>
      <c r="M337" s="1" t="s">
        <v>75</v>
      </c>
      <c r="N337" s="3">
        <v>749</v>
      </c>
      <c r="O337" s="6">
        <f>Table1[[#This Row],[Invoice Qty]]-Table1[[#This Row],[ExFactory Qty]]</f>
        <v>0</v>
      </c>
      <c r="P337" s="1" t="s">
        <v>1172</v>
      </c>
      <c r="Q337" s="2">
        <v>46278.5171527778</v>
      </c>
      <c r="R337" s="2">
        <v>46287</v>
      </c>
      <c r="S337" s="1" t="s">
        <v>39</v>
      </c>
      <c r="U337" s="1" t="s">
        <v>40</v>
      </c>
      <c r="V337" s="1" t="s">
        <v>77</v>
      </c>
      <c r="W337" s="1" t="s">
        <v>40</v>
      </c>
      <c r="X337" s="1" t="s">
        <v>40</v>
      </c>
      <c r="Z337" s="2">
        <v>46287</v>
      </c>
      <c r="AA337" s="1" t="s">
        <v>1180</v>
      </c>
      <c r="AB337" s="2">
        <v>46278</v>
      </c>
      <c r="AC337" s="2">
        <v>46278.488807870403</v>
      </c>
      <c r="AE337" s="1" t="s">
        <v>40</v>
      </c>
      <c r="AF337" s="1" t="s">
        <v>79</v>
      </c>
    </row>
    <row r="338" spans="1:32" ht="12.75" hidden="1" customHeight="1" x14ac:dyDescent="0.2">
      <c r="A338" s="1" t="s">
        <v>30</v>
      </c>
      <c r="B338" s="1" t="s">
        <v>1181</v>
      </c>
      <c r="C338" s="1" t="s">
        <v>71</v>
      </c>
      <c r="D338" s="1" t="s">
        <v>72</v>
      </c>
      <c r="E338" s="1" t="s">
        <v>1175</v>
      </c>
      <c r="F338" s="1" t="s">
        <v>269</v>
      </c>
      <c r="G338" s="3">
        <v>536</v>
      </c>
      <c r="H338" s="4">
        <v>6</v>
      </c>
      <c r="I338" s="5">
        <v>1468.64</v>
      </c>
      <c r="J338" s="5">
        <v>0</v>
      </c>
      <c r="K338" s="1" t="s">
        <v>36</v>
      </c>
      <c r="L338" s="1" t="s">
        <v>75</v>
      </c>
      <c r="M338" s="1" t="s">
        <v>75</v>
      </c>
      <c r="N338" s="3">
        <v>536</v>
      </c>
      <c r="O338" s="6">
        <f>Table1[[#This Row],[Invoice Qty]]-Table1[[#This Row],[ExFactory Qty]]</f>
        <v>0</v>
      </c>
      <c r="P338" s="1" t="s">
        <v>1172</v>
      </c>
      <c r="Q338" s="2">
        <v>46278.5171527778</v>
      </c>
      <c r="R338" s="2">
        <v>46287</v>
      </c>
      <c r="S338" s="1" t="s">
        <v>39</v>
      </c>
      <c r="U338" s="1" t="s">
        <v>40</v>
      </c>
      <c r="V338" s="1" t="s">
        <v>77</v>
      </c>
      <c r="W338" s="1" t="s">
        <v>40</v>
      </c>
      <c r="X338" s="1" t="s">
        <v>40</v>
      </c>
      <c r="Z338" s="2">
        <v>46288</v>
      </c>
      <c r="AA338" s="1" t="s">
        <v>1182</v>
      </c>
      <c r="AB338" s="2">
        <v>46278</v>
      </c>
      <c r="AC338" s="2">
        <v>46278.488807870403</v>
      </c>
      <c r="AE338" s="1" t="s">
        <v>40</v>
      </c>
      <c r="AF338" s="1" t="s">
        <v>79</v>
      </c>
    </row>
    <row r="339" spans="1:32" ht="12.75" hidden="1" customHeight="1" x14ac:dyDescent="0.2">
      <c r="A339" s="1" t="s">
        <v>30</v>
      </c>
      <c r="B339" s="1" t="s">
        <v>1183</v>
      </c>
      <c r="C339" s="1" t="s">
        <v>71</v>
      </c>
      <c r="D339" s="1" t="s">
        <v>72</v>
      </c>
      <c r="E339" s="1" t="s">
        <v>1052</v>
      </c>
      <c r="F339" s="1" t="s">
        <v>615</v>
      </c>
      <c r="G339" s="3">
        <v>208</v>
      </c>
      <c r="H339" s="4">
        <v>2</v>
      </c>
      <c r="I339" s="5">
        <v>584.48</v>
      </c>
      <c r="J339" s="5">
        <v>0</v>
      </c>
      <c r="K339" s="1" t="s">
        <v>36</v>
      </c>
      <c r="L339" s="1" t="s">
        <v>75</v>
      </c>
      <c r="M339" s="1" t="s">
        <v>51</v>
      </c>
      <c r="N339" s="3">
        <v>208</v>
      </c>
      <c r="O339" s="6">
        <f>Table1[[#This Row],[Invoice Qty]]-Table1[[#This Row],[ExFactory Qty]]</f>
        <v>0</v>
      </c>
      <c r="P339" s="1" t="s">
        <v>1184</v>
      </c>
      <c r="Q339" s="2">
        <v>46278.384456018503</v>
      </c>
      <c r="R339" s="2">
        <v>46289</v>
      </c>
      <c r="S339" s="1" t="s">
        <v>39</v>
      </c>
      <c r="U339" s="1" t="s">
        <v>40</v>
      </c>
      <c r="V339" s="1" t="s">
        <v>77</v>
      </c>
      <c r="W339" s="1" t="s">
        <v>40</v>
      </c>
      <c r="X339" s="1" t="s">
        <v>40</v>
      </c>
      <c r="Z339" s="2">
        <v>46288</v>
      </c>
      <c r="AA339" s="1" t="s">
        <v>1185</v>
      </c>
      <c r="AB339" s="2">
        <v>46278</v>
      </c>
      <c r="AC339" s="2">
        <v>46278</v>
      </c>
      <c r="AD339" s="2">
        <v>46280</v>
      </c>
      <c r="AE339" s="1" t="s">
        <v>1186</v>
      </c>
      <c r="AF339" s="1" t="s">
        <v>79</v>
      </c>
    </row>
    <row r="340" spans="1:32" ht="12.75" hidden="1" customHeight="1" x14ac:dyDescent="0.2">
      <c r="A340" s="1" t="s">
        <v>30</v>
      </c>
      <c r="B340" s="1" t="s">
        <v>1187</v>
      </c>
      <c r="C340" s="1" t="s">
        <v>71</v>
      </c>
      <c r="D340" s="1" t="s">
        <v>323</v>
      </c>
      <c r="E340" s="1" t="s">
        <v>1188</v>
      </c>
      <c r="F340" s="1" t="s">
        <v>605</v>
      </c>
      <c r="G340" s="3">
        <v>17</v>
      </c>
      <c r="H340" s="4">
        <v>1</v>
      </c>
      <c r="I340" s="5">
        <v>51.85</v>
      </c>
      <c r="J340" s="5">
        <v>0</v>
      </c>
      <c r="K340" s="1" t="s">
        <v>36</v>
      </c>
      <c r="L340" s="1" t="s">
        <v>75</v>
      </c>
      <c r="M340" s="1" t="s">
        <v>51</v>
      </c>
      <c r="N340" s="3">
        <v>17</v>
      </c>
      <c r="O340" s="6">
        <f>Table1[[#This Row],[Invoice Qty]]-Table1[[#This Row],[ExFactory Qty]]</f>
        <v>0</v>
      </c>
      <c r="P340" s="1" t="s">
        <v>1189</v>
      </c>
      <c r="Q340" s="2">
        <v>46278.382476851897</v>
      </c>
      <c r="R340" s="2">
        <v>46287</v>
      </c>
      <c r="S340" s="1" t="s">
        <v>39</v>
      </c>
      <c r="U340" s="1" t="s">
        <v>40</v>
      </c>
      <c r="V340" s="1" t="s">
        <v>77</v>
      </c>
      <c r="W340" s="1" t="s">
        <v>40</v>
      </c>
      <c r="X340" s="1" t="s">
        <v>40</v>
      </c>
      <c r="Z340" s="2">
        <v>46287</v>
      </c>
      <c r="AA340" s="1" t="s">
        <v>1190</v>
      </c>
      <c r="AB340" s="2">
        <v>46278</v>
      </c>
      <c r="AC340" s="2">
        <v>46278</v>
      </c>
      <c r="AE340" s="1" t="s">
        <v>40</v>
      </c>
      <c r="AF340" s="1" t="s">
        <v>326</v>
      </c>
    </row>
    <row r="341" spans="1:32" ht="12.75" hidden="1" customHeight="1" x14ac:dyDescent="0.2">
      <c r="A341" s="1" t="s">
        <v>30</v>
      </c>
      <c r="B341" s="1" t="s">
        <v>1191</v>
      </c>
      <c r="C341" s="1" t="s">
        <v>71</v>
      </c>
      <c r="D341" s="1" t="s">
        <v>323</v>
      </c>
      <c r="E341" s="1" t="s">
        <v>1192</v>
      </c>
      <c r="F341" s="1" t="s">
        <v>605</v>
      </c>
      <c r="G341" s="3">
        <v>44</v>
      </c>
      <c r="H341" s="4">
        <v>1</v>
      </c>
      <c r="I341" s="5">
        <v>132.88</v>
      </c>
      <c r="J341" s="5">
        <v>0</v>
      </c>
      <c r="K341" s="1" t="s">
        <v>36</v>
      </c>
      <c r="L341" s="1" t="s">
        <v>75</v>
      </c>
      <c r="M341" s="1" t="s">
        <v>51</v>
      </c>
      <c r="N341" s="3">
        <v>44</v>
      </c>
      <c r="O341" s="6">
        <f>Table1[[#This Row],[Invoice Qty]]-Table1[[#This Row],[ExFactory Qty]]</f>
        <v>0</v>
      </c>
      <c r="P341" s="1" t="s">
        <v>1189</v>
      </c>
      <c r="Q341" s="2">
        <v>46278.382476851897</v>
      </c>
      <c r="R341" s="2">
        <v>46287</v>
      </c>
      <c r="S341" s="1" t="s">
        <v>39</v>
      </c>
      <c r="U341" s="1" t="s">
        <v>40</v>
      </c>
      <c r="V341" s="1" t="s">
        <v>77</v>
      </c>
      <c r="W341" s="1" t="s">
        <v>40</v>
      </c>
      <c r="X341" s="1" t="s">
        <v>40</v>
      </c>
      <c r="Z341" s="2">
        <v>46287</v>
      </c>
      <c r="AA341" s="1" t="s">
        <v>1193</v>
      </c>
      <c r="AB341" s="2">
        <v>46278</v>
      </c>
      <c r="AC341" s="2">
        <v>46278</v>
      </c>
      <c r="AE341" s="1" t="s">
        <v>40</v>
      </c>
      <c r="AF341" s="1" t="s">
        <v>326</v>
      </c>
    </row>
    <row r="342" spans="1:32" ht="12.75" hidden="1" customHeight="1" x14ac:dyDescent="0.2">
      <c r="A342" s="1" t="s">
        <v>30</v>
      </c>
      <c r="B342" s="1" t="s">
        <v>1194</v>
      </c>
      <c r="C342" s="1" t="s">
        <v>71</v>
      </c>
      <c r="D342" s="1" t="s">
        <v>72</v>
      </c>
      <c r="E342" s="1" t="s">
        <v>1195</v>
      </c>
      <c r="F342" s="1" t="s">
        <v>661</v>
      </c>
      <c r="G342" s="3">
        <v>18</v>
      </c>
      <c r="H342" s="4">
        <v>1</v>
      </c>
      <c r="I342" s="5">
        <v>44.82</v>
      </c>
      <c r="J342" s="5">
        <v>0</v>
      </c>
      <c r="K342" s="1" t="s">
        <v>36</v>
      </c>
      <c r="L342" s="1" t="s">
        <v>75</v>
      </c>
      <c r="M342" s="1" t="s">
        <v>51</v>
      </c>
      <c r="N342" s="3">
        <v>18</v>
      </c>
      <c r="O342" s="6">
        <f>Table1[[#This Row],[Invoice Qty]]-Table1[[#This Row],[ExFactory Qty]]</f>
        <v>0</v>
      </c>
      <c r="P342" s="1" t="s">
        <v>1184</v>
      </c>
      <c r="Q342" s="2">
        <v>46278.384456018503</v>
      </c>
      <c r="R342" s="2">
        <v>46288</v>
      </c>
      <c r="S342" s="1" t="s">
        <v>39</v>
      </c>
      <c r="U342" s="1" t="s">
        <v>40</v>
      </c>
      <c r="V342" s="1" t="s">
        <v>77</v>
      </c>
      <c r="W342" s="1" t="s">
        <v>40</v>
      </c>
      <c r="X342" s="1" t="s">
        <v>40</v>
      </c>
      <c r="Z342" s="2">
        <v>46288</v>
      </c>
      <c r="AA342" s="1" t="s">
        <v>1196</v>
      </c>
      <c r="AB342" s="2">
        <v>46278</v>
      </c>
      <c r="AC342" s="2">
        <v>46278.488877314798</v>
      </c>
      <c r="AE342" s="1" t="s">
        <v>40</v>
      </c>
      <c r="AF342" s="1" t="s">
        <v>79</v>
      </c>
    </row>
    <row r="343" spans="1:32" ht="12.75" hidden="1" customHeight="1" x14ac:dyDescent="0.2">
      <c r="A343" s="1" t="s">
        <v>30</v>
      </c>
      <c r="B343" s="1" t="s">
        <v>1197</v>
      </c>
      <c r="C343" s="1" t="s">
        <v>71</v>
      </c>
      <c r="D343" s="1" t="s">
        <v>323</v>
      </c>
      <c r="E343" s="1" t="s">
        <v>324</v>
      </c>
      <c r="F343" s="1" t="s">
        <v>134</v>
      </c>
      <c r="G343" s="3">
        <v>50</v>
      </c>
      <c r="H343" s="4">
        <v>1</v>
      </c>
      <c r="I343" s="5">
        <v>159.5</v>
      </c>
      <c r="J343" s="5">
        <v>0</v>
      </c>
      <c r="K343" s="1" t="s">
        <v>36</v>
      </c>
      <c r="L343" s="1" t="s">
        <v>75</v>
      </c>
      <c r="M343" s="1" t="s">
        <v>51</v>
      </c>
      <c r="N343" s="3">
        <v>50</v>
      </c>
      <c r="O343" s="6">
        <f>Table1[[#This Row],[Invoice Qty]]-Table1[[#This Row],[ExFactory Qty]]</f>
        <v>0</v>
      </c>
      <c r="P343" s="1" t="s">
        <v>1198</v>
      </c>
      <c r="Q343" s="2">
        <v>46278.3847453704</v>
      </c>
      <c r="R343" s="2">
        <v>46288</v>
      </c>
      <c r="S343" s="1" t="s">
        <v>39</v>
      </c>
      <c r="U343" s="1" t="s">
        <v>40</v>
      </c>
      <c r="V343" s="1" t="s">
        <v>77</v>
      </c>
      <c r="W343" s="1" t="s">
        <v>40</v>
      </c>
      <c r="X343" s="1" t="s">
        <v>40</v>
      </c>
      <c r="Z343" s="2">
        <v>46288</v>
      </c>
      <c r="AA343" s="1" t="s">
        <v>1199</v>
      </c>
      <c r="AB343" s="2">
        <v>46278</v>
      </c>
      <c r="AC343" s="2">
        <v>46278.488877314798</v>
      </c>
      <c r="AE343" s="1" t="s">
        <v>40</v>
      </c>
      <c r="AF343" s="1" t="s">
        <v>326</v>
      </c>
    </row>
    <row r="344" spans="1:32" ht="12.75" hidden="1" customHeight="1" x14ac:dyDescent="0.2">
      <c r="A344" s="1" t="s">
        <v>86</v>
      </c>
      <c r="B344" s="1" t="s">
        <v>1200</v>
      </c>
      <c r="C344" s="1" t="s">
        <v>71</v>
      </c>
      <c r="D344" s="1" t="s">
        <v>323</v>
      </c>
      <c r="E344" s="1" t="s">
        <v>1201</v>
      </c>
      <c r="F344" s="1" t="s">
        <v>134</v>
      </c>
      <c r="G344" s="3">
        <v>74</v>
      </c>
      <c r="H344" s="4">
        <v>2</v>
      </c>
      <c r="I344" s="5">
        <v>239.66</v>
      </c>
      <c r="J344" s="5">
        <v>0</v>
      </c>
      <c r="K344" s="1" t="s">
        <v>50</v>
      </c>
      <c r="L344" s="1" t="s">
        <v>75</v>
      </c>
      <c r="M344" s="1" t="s">
        <v>51</v>
      </c>
      <c r="N344" s="3">
        <v>74</v>
      </c>
      <c r="O344" s="6">
        <f>Table1[[#This Row],[Invoice Qty]]-Table1[[#This Row],[ExFactory Qty]]</f>
        <v>0</v>
      </c>
      <c r="P344" s="1" t="s">
        <v>1202</v>
      </c>
      <c r="Q344" s="2">
        <v>46286.455625000002</v>
      </c>
      <c r="S344" s="1" t="s">
        <v>39</v>
      </c>
      <c r="U344" s="1" t="s">
        <v>40</v>
      </c>
      <c r="V344" s="1" t="s">
        <v>77</v>
      </c>
      <c r="W344" s="1" t="s">
        <v>40</v>
      </c>
      <c r="X344" s="1" t="s">
        <v>40</v>
      </c>
      <c r="AA344" s="1" t="s">
        <v>1203</v>
      </c>
      <c r="AB344" s="2">
        <v>46278</v>
      </c>
      <c r="AC344" s="2">
        <v>46278</v>
      </c>
      <c r="AE344" s="1" t="s">
        <v>40</v>
      </c>
      <c r="AF344" s="1" t="s">
        <v>326</v>
      </c>
    </row>
    <row r="345" spans="1:32" ht="12.75" hidden="1" customHeight="1" x14ac:dyDescent="0.2">
      <c r="A345" s="1" t="s">
        <v>30</v>
      </c>
      <c r="B345" s="1" t="s">
        <v>1204</v>
      </c>
      <c r="C345" s="1" t="s">
        <v>71</v>
      </c>
      <c r="D345" s="1" t="s">
        <v>323</v>
      </c>
      <c r="E345" s="1" t="s">
        <v>331</v>
      </c>
      <c r="F345" s="1" t="s">
        <v>134</v>
      </c>
      <c r="G345" s="3">
        <v>516</v>
      </c>
      <c r="H345" s="4">
        <v>8</v>
      </c>
      <c r="I345" s="5">
        <v>1548</v>
      </c>
      <c r="J345" s="5">
        <v>0</v>
      </c>
      <c r="K345" s="1" t="s">
        <v>36</v>
      </c>
      <c r="L345" s="1" t="s">
        <v>75</v>
      </c>
      <c r="M345" s="1" t="s">
        <v>51</v>
      </c>
      <c r="N345" s="3">
        <v>516</v>
      </c>
      <c r="O345" s="6">
        <f>Table1[[#This Row],[Invoice Qty]]-Table1[[#This Row],[ExFactory Qty]]</f>
        <v>0</v>
      </c>
      <c r="P345" s="1" t="s">
        <v>1198</v>
      </c>
      <c r="Q345" s="2">
        <v>46278.3847453704</v>
      </c>
      <c r="R345" s="2">
        <v>46288</v>
      </c>
      <c r="S345" s="1" t="s">
        <v>39</v>
      </c>
      <c r="U345" s="1" t="s">
        <v>40</v>
      </c>
      <c r="V345" s="1" t="s">
        <v>77</v>
      </c>
      <c r="W345" s="1" t="s">
        <v>40</v>
      </c>
      <c r="X345" s="1" t="s">
        <v>40</v>
      </c>
      <c r="Z345" s="2">
        <v>46288</v>
      </c>
      <c r="AA345" s="1" t="s">
        <v>1205</v>
      </c>
      <c r="AB345" s="2">
        <v>46278</v>
      </c>
      <c r="AC345" s="2">
        <v>46278.488877314798</v>
      </c>
      <c r="AE345" s="1" t="s">
        <v>40</v>
      </c>
      <c r="AF345" s="1" t="s">
        <v>326</v>
      </c>
    </row>
    <row r="346" spans="1:32" ht="12.75" hidden="1" customHeight="1" x14ac:dyDescent="0.2">
      <c r="A346" s="1" t="s">
        <v>30</v>
      </c>
      <c r="B346" s="1" t="s">
        <v>1206</v>
      </c>
      <c r="C346" s="1" t="s">
        <v>71</v>
      </c>
      <c r="D346" s="1" t="s">
        <v>323</v>
      </c>
      <c r="E346" s="1" t="s">
        <v>749</v>
      </c>
      <c r="F346" s="1" t="s">
        <v>384</v>
      </c>
      <c r="G346" s="3">
        <v>652</v>
      </c>
      <c r="H346" s="4">
        <v>12</v>
      </c>
      <c r="I346" s="5">
        <v>1923.4</v>
      </c>
      <c r="J346" s="5">
        <v>0</v>
      </c>
      <c r="K346" s="1" t="s">
        <v>36</v>
      </c>
      <c r="L346" s="1" t="s">
        <v>75</v>
      </c>
      <c r="M346" s="1" t="s">
        <v>51</v>
      </c>
      <c r="N346" s="3">
        <v>652</v>
      </c>
      <c r="O346" s="6">
        <f>Table1[[#This Row],[Invoice Qty]]-Table1[[#This Row],[ExFactory Qty]]</f>
        <v>0</v>
      </c>
      <c r="P346" s="1" t="s">
        <v>1184</v>
      </c>
      <c r="Q346" s="2">
        <v>46278.384456018503</v>
      </c>
      <c r="R346" s="2">
        <v>46287</v>
      </c>
      <c r="S346" s="1" t="s">
        <v>39</v>
      </c>
      <c r="U346" s="1" t="s">
        <v>40</v>
      </c>
      <c r="V346" s="1" t="s">
        <v>77</v>
      </c>
      <c r="W346" s="1" t="s">
        <v>40</v>
      </c>
      <c r="X346" s="1" t="s">
        <v>40</v>
      </c>
      <c r="Z346" s="2">
        <v>46289</v>
      </c>
      <c r="AA346" s="1" t="s">
        <v>1207</v>
      </c>
      <c r="AB346" s="2">
        <v>46278</v>
      </c>
      <c r="AC346" s="2">
        <v>46278.488877314798</v>
      </c>
      <c r="AE346" s="1" t="s">
        <v>40</v>
      </c>
      <c r="AF346" s="1" t="s">
        <v>326</v>
      </c>
    </row>
    <row r="347" spans="1:32" ht="12.75" hidden="1" customHeight="1" x14ac:dyDescent="0.2">
      <c r="A347" s="1" t="s">
        <v>30</v>
      </c>
      <c r="B347" s="1" t="s">
        <v>1208</v>
      </c>
      <c r="C347" s="1" t="s">
        <v>71</v>
      </c>
      <c r="D347" s="1" t="s">
        <v>323</v>
      </c>
      <c r="E347" s="1" t="s">
        <v>749</v>
      </c>
      <c r="F347" s="1" t="s">
        <v>183</v>
      </c>
      <c r="G347" s="3">
        <v>558</v>
      </c>
      <c r="H347" s="4">
        <v>9</v>
      </c>
      <c r="I347" s="5">
        <v>1646.1</v>
      </c>
      <c r="J347" s="5">
        <v>0</v>
      </c>
      <c r="K347" s="1" t="s">
        <v>36</v>
      </c>
      <c r="L347" s="1" t="s">
        <v>75</v>
      </c>
      <c r="M347" s="1" t="s">
        <v>51</v>
      </c>
      <c r="N347" s="3">
        <v>558</v>
      </c>
      <c r="O347" s="6">
        <f>Table1[[#This Row],[Invoice Qty]]-Table1[[#This Row],[ExFactory Qty]]</f>
        <v>0</v>
      </c>
      <c r="P347" s="1" t="s">
        <v>1189</v>
      </c>
      <c r="Q347" s="2">
        <v>46278.382476851897</v>
      </c>
      <c r="R347" s="2">
        <v>46288</v>
      </c>
      <c r="S347" s="1" t="s">
        <v>39</v>
      </c>
      <c r="U347" s="1" t="s">
        <v>40</v>
      </c>
      <c r="V347" s="1" t="s">
        <v>77</v>
      </c>
      <c r="W347" s="1" t="s">
        <v>40</v>
      </c>
      <c r="X347" s="1" t="s">
        <v>40</v>
      </c>
      <c r="Z347" s="2">
        <v>46288</v>
      </c>
      <c r="AA347" s="1" t="s">
        <v>1209</v>
      </c>
      <c r="AB347" s="2">
        <v>46278</v>
      </c>
      <c r="AC347" s="2">
        <v>46278.488877314798</v>
      </c>
      <c r="AE347" s="1" t="s">
        <v>40</v>
      </c>
      <c r="AF347" s="1" t="s">
        <v>326</v>
      </c>
    </row>
    <row r="348" spans="1:32" ht="12.75" hidden="1" customHeight="1" x14ac:dyDescent="0.2">
      <c r="A348" s="1" t="s">
        <v>30</v>
      </c>
      <c r="B348" s="1" t="s">
        <v>1210</v>
      </c>
      <c r="C348" s="1" t="s">
        <v>71</v>
      </c>
      <c r="D348" s="1" t="s">
        <v>323</v>
      </c>
      <c r="E348" s="1" t="s">
        <v>749</v>
      </c>
      <c r="F348" s="1" t="s">
        <v>252</v>
      </c>
      <c r="G348" s="3">
        <v>186</v>
      </c>
      <c r="H348" s="4">
        <v>3</v>
      </c>
      <c r="I348" s="5">
        <v>548.70000000000005</v>
      </c>
      <c r="J348" s="5">
        <v>0</v>
      </c>
      <c r="K348" s="1" t="s">
        <v>36</v>
      </c>
      <c r="L348" s="1" t="s">
        <v>75</v>
      </c>
      <c r="M348" s="1" t="s">
        <v>51</v>
      </c>
      <c r="N348" s="3">
        <v>186</v>
      </c>
      <c r="O348" s="6">
        <f>Table1[[#This Row],[Invoice Qty]]-Table1[[#This Row],[ExFactory Qty]]</f>
        <v>0</v>
      </c>
      <c r="P348" s="1" t="s">
        <v>1189</v>
      </c>
      <c r="Q348" s="2">
        <v>46278.382476851897</v>
      </c>
      <c r="R348" s="2">
        <v>46290</v>
      </c>
      <c r="S348" s="1" t="s">
        <v>39</v>
      </c>
      <c r="U348" s="1" t="s">
        <v>40</v>
      </c>
      <c r="V348" s="1" t="s">
        <v>77</v>
      </c>
      <c r="W348" s="1" t="s">
        <v>40</v>
      </c>
      <c r="X348" s="1" t="s">
        <v>40</v>
      </c>
      <c r="Z348" s="2">
        <v>46290</v>
      </c>
      <c r="AA348" s="1" t="s">
        <v>1211</v>
      </c>
      <c r="AB348" s="2">
        <v>46278</v>
      </c>
      <c r="AC348" s="2">
        <v>46278.488877314798</v>
      </c>
      <c r="AE348" s="1" t="s">
        <v>40</v>
      </c>
      <c r="AF348" s="1" t="s">
        <v>326</v>
      </c>
    </row>
    <row r="349" spans="1:32" ht="12.75" hidden="1" customHeight="1" x14ac:dyDescent="0.2">
      <c r="A349" s="1" t="s">
        <v>30</v>
      </c>
      <c r="B349" s="1" t="s">
        <v>1212</v>
      </c>
      <c r="C349" s="1" t="s">
        <v>71</v>
      </c>
      <c r="D349" s="1" t="s">
        <v>323</v>
      </c>
      <c r="E349" s="1" t="s">
        <v>755</v>
      </c>
      <c r="F349" s="1" t="s">
        <v>727</v>
      </c>
      <c r="G349" s="3">
        <v>247</v>
      </c>
      <c r="H349" s="4">
        <v>5</v>
      </c>
      <c r="I349" s="5">
        <v>728.65</v>
      </c>
      <c r="J349" s="5">
        <v>0</v>
      </c>
      <c r="K349" s="1" t="s">
        <v>36</v>
      </c>
      <c r="L349" s="1" t="s">
        <v>75</v>
      </c>
      <c r="M349" s="1" t="s">
        <v>51</v>
      </c>
      <c r="N349" s="3">
        <v>247</v>
      </c>
      <c r="O349" s="6">
        <f>Table1[[#This Row],[Invoice Qty]]-Table1[[#This Row],[ExFactory Qty]]</f>
        <v>0</v>
      </c>
      <c r="P349" s="1" t="s">
        <v>1184</v>
      </c>
      <c r="Q349" s="2">
        <v>46278.384456018503</v>
      </c>
      <c r="R349" s="2">
        <v>46288</v>
      </c>
      <c r="S349" s="1" t="s">
        <v>39</v>
      </c>
      <c r="U349" s="1" t="s">
        <v>40</v>
      </c>
      <c r="V349" s="1" t="s">
        <v>77</v>
      </c>
      <c r="W349" s="1" t="s">
        <v>40</v>
      </c>
      <c r="X349" s="1" t="s">
        <v>40</v>
      </c>
      <c r="Z349" s="2">
        <v>46288</v>
      </c>
      <c r="AA349" s="1" t="s">
        <v>1213</v>
      </c>
      <c r="AB349" s="2">
        <v>46278</v>
      </c>
      <c r="AC349" s="2">
        <v>46278.488877314798</v>
      </c>
      <c r="AE349" s="1" t="s">
        <v>40</v>
      </c>
      <c r="AF349" s="1" t="s">
        <v>326</v>
      </c>
    </row>
    <row r="350" spans="1:32" ht="12.75" hidden="1" customHeight="1" x14ac:dyDescent="0.2">
      <c r="A350" s="1" t="s">
        <v>30</v>
      </c>
      <c r="B350" s="1" t="s">
        <v>1214</v>
      </c>
      <c r="C350" s="1" t="s">
        <v>71</v>
      </c>
      <c r="D350" s="1" t="s">
        <v>457</v>
      </c>
      <c r="E350" s="1" t="s">
        <v>1215</v>
      </c>
      <c r="F350" s="1" t="s">
        <v>658</v>
      </c>
      <c r="G350" s="3">
        <v>1110</v>
      </c>
      <c r="H350" s="4">
        <v>15</v>
      </c>
      <c r="I350" s="5">
        <v>3363.3</v>
      </c>
      <c r="J350" s="5">
        <v>0</v>
      </c>
      <c r="K350" s="1" t="s">
        <v>36</v>
      </c>
      <c r="L350" s="1" t="s">
        <v>75</v>
      </c>
      <c r="M350" s="1" t="s">
        <v>51</v>
      </c>
      <c r="N350" s="3">
        <v>1110</v>
      </c>
      <c r="O350" s="6">
        <f>Table1[[#This Row],[Invoice Qty]]-Table1[[#This Row],[ExFactory Qty]]</f>
        <v>0</v>
      </c>
      <c r="P350" s="1" t="s">
        <v>1184</v>
      </c>
      <c r="Q350" s="2">
        <v>46278.384456018503</v>
      </c>
      <c r="R350" s="2">
        <v>46288</v>
      </c>
      <c r="S350" s="1" t="s">
        <v>39</v>
      </c>
      <c r="U350" s="1" t="s">
        <v>40</v>
      </c>
      <c r="V350" s="1" t="s">
        <v>77</v>
      </c>
      <c r="W350" s="1" t="s">
        <v>40</v>
      </c>
      <c r="X350" s="1" t="s">
        <v>40</v>
      </c>
      <c r="Z350" s="2">
        <v>46288</v>
      </c>
      <c r="AA350" s="1" t="s">
        <v>1216</v>
      </c>
      <c r="AB350" s="2">
        <v>46278</v>
      </c>
      <c r="AC350" s="2">
        <v>46278.488877314798</v>
      </c>
      <c r="AE350" s="1" t="s">
        <v>40</v>
      </c>
      <c r="AF350" s="1" t="s">
        <v>326</v>
      </c>
    </row>
    <row r="351" spans="1:32" ht="12.75" hidden="1" customHeight="1" x14ac:dyDescent="0.2">
      <c r="A351" s="1" t="s">
        <v>30</v>
      </c>
      <c r="B351" s="1" t="s">
        <v>1217</v>
      </c>
      <c r="C351" s="1" t="s">
        <v>71</v>
      </c>
      <c r="D351" s="1" t="s">
        <v>457</v>
      </c>
      <c r="E351" s="1" t="s">
        <v>1215</v>
      </c>
      <c r="F351" s="1" t="s">
        <v>735</v>
      </c>
      <c r="G351" s="3">
        <v>76</v>
      </c>
      <c r="H351" s="4">
        <v>1</v>
      </c>
      <c r="I351" s="5">
        <v>230.28</v>
      </c>
      <c r="J351" s="5">
        <v>0</v>
      </c>
      <c r="K351" s="1" t="s">
        <v>36</v>
      </c>
      <c r="L351" s="1" t="s">
        <v>75</v>
      </c>
      <c r="M351" s="1" t="s">
        <v>51</v>
      </c>
      <c r="N351" s="3">
        <v>76</v>
      </c>
      <c r="O351" s="6">
        <f>Table1[[#This Row],[Invoice Qty]]-Table1[[#This Row],[ExFactory Qty]]</f>
        <v>0</v>
      </c>
      <c r="P351" s="1" t="s">
        <v>1198</v>
      </c>
      <c r="Q351" s="2">
        <v>46278.3847453704</v>
      </c>
      <c r="R351" s="2">
        <v>46288</v>
      </c>
      <c r="S351" s="1" t="s">
        <v>39</v>
      </c>
      <c r="U351" s="1" t="s">
        <v>40</v>
      </c>
      <c r="V351" s="1" t="s">
        <v>77</v>
      </c>
      <c r="W351" s="1" t="s">
        <v>40</v>
      </c>
      <c r="X351" s="1" t="s">
        <v>40</v>
      </c>
      <c r="Z351" s="2">
        <v>46288</v>
      </c>
      <c r="AA351" s="1" t="s">
        <v>1218</v>
      </c>
      <c r="AB351" s="2">
        <v>46278</v>
      </c>
      <c r="AC351" s="2">
        <v>46278.488877314798</v>
      </c>
      <c r="AE351" s="1" t="s">
        <v>40</v>
      </c>
      <c r="AF351" s="1" t="s">
        <v>326</v>
      </c>
    </row>
    <row r="352" spans="1:32" ht="12.75" hidden="1" customHeight="1" x14ac:dyDescent="0.2">
      <c r="A352" s="1" t="s">
        <v>30</v>
      </c>
      <c r="B352" s="1" t="s">
        <v>1219</v>
      </c>
      <c r="C352" s="1" t="s">
        <v>71</v>
      </c>
      <c r="D352" s="1" t="s">
        <v>457</v>
      </c>
      <c r="E352" s="1" t="s">
        <v>1215</v>
      </c>
      <c r="F352" s="1" t="s">
        <v>654</v>
      </c>
      <c r="G352" s="3">
        <v>1172</v>
      </c>
      <c r="H352" s="4">
        <v>16</v>
      </c>
      <c r="I352" s="5">
        <v>3551.16</v>
      </c>
      <c r="J352" s="5">
        <v>0</v>
      </c>
      <c r="K352" s="1" t="s">
        <v>36</v>
      </c>
      <c r="L352" s="1" t="s">
        <v>75</v>
      </c>
      <c r="M352" s="1" t="s">
        <v>51</v>
      </c>
      <c r="N352" s="3">
        <v>1172</v>
      </c>
      <c r="O352" s="6">
        <f>Table1[[#This Row],[Invoice Qty]]-Table1[[#This Row],[ExFactory Qty]]</f>
        <v>0</v>
      </c>
      <c r="P352" s="1" t="s">
        <v>1198</v>
      </c>
      <c r="Q352" s="2">
        <v>46278.3847453704</v>
      </c>
      <c r="R352" s="2">
        <v>46288</v>
      </c>
      <c r="S352" s="1" t="s">
        <v>39</v>
      </c>
      <c r="U352" s="1" t="s">
        <v>40</v>
      </c>
      <c r="V352" s="1" t="s">
        <v>77</v>
      </c>
      <c r="W352" s="1" t="s">
        <v>40</v>
      </c>
      <c r="X352" s="1" t="s">
        <v>40</v>
      </c>
      <c r="Z352" s="2">
        <v>46288</v>
      </c>
      <c r="AA352" s="1" t="s">
        <v>1220</v>
      </c>
      <c r="AB352" s="2">
        <v>46278</v>
      </c>
      <c r="AC352" s="2">
        <v>46278.488877314798</v>
      </c>
      <c r="AE352" s="1" t="s">
        <v>40</v>
      </c>
      <c r="AF352" s="1" t="s">
        <v>326</v>
      </c>
    </row>
    <row r="353" spans="1:32" ht="12.75" hidden="1" customHeight="1" x14ac:dyDescent="0.2">
      <c r="A353" s="1" t="s">
        <v>30</v>
      </c>
      <c r="B353" s="1" t="s">
        <v>1221</v>
      </c>
      <c r="C353" s="1" t="s">
        <v>71</v>
      </c>
      <c r="D353" s="1" t="s">
        <v>457</v>
      </c>
      <c r="E353" s="1" t="s">
        <v>1215</v>
      </c>
      <c r="F353" s="1" t="s">
        <v>727</v>
      </c>
      <c r="G353" s="3">
        <v>361</v>
      </c>
      <c r="H353" s="4">
        <v>7</v>
      </c>
      <c r="I353" s="5">
        <v>1093.83</v>
      </c>
      <c r="J353" s="5">
        <v>0</v>
      </c>
      <c r="K353" s="1" t="s">
        <v>36</v>
      </c>
      <c r="L353" s="1" t="s">
        <v>75</v>
      </c>
      <c r="M353" s="1" t="s">
        <v>51</v>
      </c>
      <c r="N353" s="3">
        <v>361</v>
      </c>
      <c r="O353" s="6">
        <f>Table1[[#This Row],[Invoice Qty]]-Table1[[#This Row],[ExFactory Qty]]</f>
        <v>0</v>
      </c>
      <c r="P353" s="1" t="s">
        <v>1184</v>
      </c>
      <c r="Q353" s="2">
        <v>46278.384456018503</v>
      </c>
      <c r="R353" s="2">
        <v>46288</v>
      </c>
      <c r="S353" s="1" t="s">
        <v>39</v>
      </c>
      <c r="U353" s="1" t="s">
        <v>40</v>
      </c>
      <c r="V353" s="1" t="s">
        <v>77</v>
      </c>
      <c r="W353" s="1" t="s">
        <v>40</v>
      </c>
      <c r="X353" s="1" t="s">
        <v>40</v>
      </c>
      <c r="Z353" s="2">
        <v>46288</v>
      </c>
      <c r="AA353" s="1" t="s">
        <v>1222</v>
      </c>
      <c r="AB353" s="2">
        <v>46278</v>
      </c>
      <c r="AC353" s="2">
        <v>46278.488877314798</v>
      </c>
      <c r="AE353" s="1" t="s">
        <v>40</v>
      </c>
      <c r="AF353" s="1" t="s">
        <v>326</v>
      </c>
    </row>
    <row r="354" spans="1:32" ht="12.75" hidden="1" customHeight="1" x14ac:dyDescent="0.2">
      <c r="A354" s="1" t="s">
        <v>30</v>
      </c>
      <c r="B354" s="1" t="s">
        <v>1223</v>
      </c>
      <c r="C354" s="1" t="s">
        <v>71</v>
      </c>
      <c r="D354" s="1" t="s">
        <v>457</v>
      </c>
      <c r="E354" s="1" t="s">
        <v>1224</v>
      </c>
      <c r="F354" s="1" t="s">
        <v>727</v>
      </c>
      <c r="G354" s="3">
        <v>27</v>
      </c>
      <c r="H354" s="4">
        <v>1</v>
      </c>
      <c r="I354" s="5">
        <v>81.540000000000006</v>
      </c>
      <c r="J354" s="5">
        <v>0</v>
      </c>
      <c r="K354" s="1" t="s">
        <v>36</v>
      </c>
      <c r="L354" s="1" t="s">
        <v>75</v>
      </c>
      <c r="M354" s="1" t="s">
        <v>51</v>
      </c>
      <c r="N354" s="3">
        <v>27</v>
      </c>
      <c r="O354" s="6">
        <f>Table1[[#This Row],[Invoice Qty]]-Table1[[#This Row],[ExFactory Qty]]</f>
        <v>0</v>
      </c>
      <c r="P354" s="1" t="s">
        <v>1184</v>
      </c>
      <c r="Q354" s="2">
        <v>46278.384456018503</v>
      </c>
      <c r="R354" s="2">
        <v>46288</v>
      </c>
      <c r="S354" s="1" t="s">
        <v>39</v>
      </c>
      <c r="U354" s="1" t="s">
        <v>40</v>
      </c>
      <c r="V354" s="1" t="s">
        <v>77</v>
      </c>
      <c r="W354" s="1" t="s">
        <v>40</v>
      </c>
      <c r="X354" s="1" t="s">
        <v>40</v>
      </c>
      <c r="Z354" s="2">
        <v>46288</v>
      </c>
      <c r="AA354" s="1" t="s">
        <v>1225</v>
      </c>
      <c r="AB354" s="2">
        <v>46278</v>
      </c>
      <c r="AC354" s="2">
        <v>46278.488877314798</v>
      </c>
      <c r="AE354" s="1" t="s">
        <v>40</v>
      </c>
      <c r="AF354" s="1" t="s">
        <v>326</v>
      </c>
    </row>
    <row r="355" spans="1:32" ht="12.75" hidden="1" customHeight="1" x14ac:dyDescent="0.2">
      <c r="A355" s="1" t="s">
        <v>30</v>
      </c>
      <c r="B355" s="1" t="s">
        <v>1226</v>
      </c>
      <c r="C355" s="1" t="s">
        <v>71</v>
      </c>
      <c r="D355" s="1" t="s">
        <v>457</v>
      </c>
      <c r="E355" s="1" t="s">
        <v>1224</v>
      </c>
      <c r="F355" s="1" t="s">
        <v>384</v>
      </c>
      <c r="G355" s="3">
        <v>14</v>
      </c>
      <c r="H355" s="4">
        <v>1</v>
      </c>
      <c r="I355" s="5">
        <v>42.28</v>
      </c>
      <c r="J355" s="5">
        <v>0</v>
      </c>
      <c r="K355" s="1" t="s">
        <v>36</v>
      </c>
      <c r="L355" s="1" t="s">
        <v>75</v>
      </c>
      <c r="M355" s="1" t="s">
        <v>51</v>
      </c>
      <c r="N355" s="3">
        <v>14</v>
      </c>
      <c r="O355" s="6">
        <f>Table1[[#This Row],[Invoice Qty]]-Table1[[#This Row],[ExFactory Qty]]</f>
        <v>0</v>
      </c>
      <c r="P355" s="1" t="s">
        <v>1184</v>
      </c>
      <c r="Q355" s="2">
        <v>46278.384456018503</v>
      </c>
      <c r="R355" s="2">
        <v>46287</v>
      </c>
      <c r="S355" s="1" t="s">
        <v>39</v>
      </c>
      <c r="U355" s="1" t="s">
        <v>40</v>
      </c>
      <c r="V355" s="1" t="s">
        <v>77</v>
      </c>
      <c r="W355" s="1" t="s">
        <v>40</v>
      </c>
      <c r="X355" s="1" t="s">
        <v>40</v>
      </c>
      <c r="Z355" s="2">
        <v>46288</v>
      </c>
      <c r="AA355" s="1" t="s">
        <v>1227</v>
      </c>
      <c r="AB355" s="2">
        <v>46278</v>
      </c>
      <c r="AC355" s="2">
        <v>46278.488877314798</v>
      </c>
      <c r="AE355" s="1" t="s">
        <v>40</v>
      </c>
      <c r="AF355" s="1" t="s">
        <v>326</v>
      </c>
    </row>
    <row r="356" spans="1:32" ht="12.75" hidden="1" customHeight="1" x14ac:dyDescent="0.2">
      <c r="A356" s="1" t="s">
        <v>30</v>
      </c>
      <c r="B356" s="1" t="s">
        <v>1228</v>
      </c>
      <c r="C356" s="1" t="s">
        <v>71</v>
      </c>
      <c r="D356" s="1" t="s">
        <v>457</v>
      </c>
      <c r="E356" s="1" t="s">
        <v>1224</v>
      </c>
      <c r="F356" s="1" t="s">
        <v>654</v>
      </c>
      <c r="G356" s="3">
        <v>168</v>
      </c>
      <c r="H356" s="4">
        <v>3</v>
      </c>
      <c r="I356" s="5">
        <v>507.36</v>
      </c>
      <c r="J356" s="5">
        <v>0</v>
      </c>
      <c r="K356" s="1" t="s">
        <v>36</v>
      </c>
      <c r="L356" s="1" t="s">
        <v>75</v>
      </c>
      <c r="M356" s="1" t="s">
        <v>51</v>
      </c>
      <c r="N356" s="3">
        <v>168</v>
      </c>
      <c r="O356" s="6">
        <f>Table1[[#This Row],[Invoice Qty]]-Table1[[#This Row],[ExFactory Qty]]</f>
        <v>0</v>
      </c>
      <c r="P356" s="1" t="s">
        <v>1198</v>
      </c>
      <c r="Q356" s="2">
        <v>46278.3847453704</v>
      </c>
      <c r="R356" s="2">
        <v>46288</v>
      </c>
      <c r="S356" s="1" t="s">
        <v>39</v>
      </c>
      <c r="U356" s="1" t="s">
        <v>40</v>
      </c>
      <c r="V356" s="1" t="s">
        <v>77</v>
      </c>
      <c r="W356" s="1" t="s">
        <v>40</v>
      </c>
      <c r="X356" s="1" t="s">
        <v>40</v>
      </c>
      <c r="Z356" s="2">
        <v>46287</v>
      </c>
      <c r="AA356" s="1" t="s">
        <v>1229</v>
      </c>
      <c r="AB356" s="2">
        <v>46278</v>
      </c>
      <c r="AC356" s="2">
        <v>46278.488877314798</v>
      </c>
      <c r="AE356" s="1" t="s">
        <v>40</v>
      </c>
      <c r="AF356" s="1" t="s">
        <v>326</v>
      </c>
    </row>
    <row r="357" spans="1:32" ht="12.75" hidden="1" customHeight="1" x14ac:dyDescent="0.2">
      <c r="A357" s="1" t="s">
        <v>30</v>
      </c>
      <c r="B357" s="1" t="s">
        <v>1230</v>
      </c>
      <c r="C357" s="1" t="s">
        <v>71</v>
      </c>
      <c r="D357" s="1" t="s">
        <v>365</v>
      </c>
      <c r="E357" s="1" t="s">
        <v>381</v>
      </c>
      <c r="F357" s="1" t="s">
        <v>759</v>
      </c>
      <c r="G357" s="3">
        <v>86</v>
      </c>
      <c r="H357" s="4">
        <v>1</v>
      </c>
      <c r="I357" s="5">
        <v>497.94</v>
      </c>
      <c r="J357" s="5">
        <v>0</v>
      </c>
      <c r="K357" s="1" t="s">
        <v>36</v>
      </c>
      <c r="L357" s="1" t="s">
        <v>75</v>
      </c>
      <c r="M357" s="1" t="s">
        <v>75</v>
      </c>
      <c r="N357" s="3">
        <v>86</v>
      </c>
      <c r="O357" s="6">
        <f>Table1[[#This Row],[Invoice Qty]]-Table1[[#This Row],[ExFactory Qty]]</f>
        <v>0</v>
      </c>
      <c r="P357" s="1" t="s">
        <v>1142</v>
      </c>
      <c r="Q357" s="2">
        <v>46278.608530092599</v>
      </c>
      <c r="R357" s="2">
        <v>46287</v>
      </c>
      <c r="S357" s="1" t="s">
        <v>39</v>
      </c>
      <c r="U357" s="1" t="s">
        <v>40</v>
      </c>
      <c r="V357" s="1" t="s">
        <v>77</v>
      </c>
      <c r="W357" s="1" t="s">
        <v>40</v>
      </c>
      <c r="X357" s="1" t="s">
        <v>40</v>
      </c>
      <c r="Z357" s="2">
        <v>46287</v>
      </c>
      <c r="AA357" s="1" t="s">
        <v>1231</v>
      </c>
      <c r="AB357" s="2">
        <v>46278</v>
      </c>
      <c r="AC357" s="2">
        <v>46278</v>
      </c>
      <c r="AE357" s="1" t="s">
        <v>40</v>
      </c>
      <c r="AF357" s="1" t="s">
        <v>40</v>
      </c>
    </row>
    <row r="358" spans="1:32" ht="12.75" hidden="1" customHeight="1" x14ac:dyDescent="0.2">
      <c r="A358" s="1" t="s">
        <v>30</v>
      </c>
      <c r="B358" s="1" t="s">
        <v>1232</v>
      </c>
      <c r="C358" s="1" t="s">
        <v>71</v>
      </c>
      <c r="D358" s="1" t="s">
        <v>72</v>
      </c>
      <c r="E358" s="1" t="s">
        <v>972</v>
      </c>
      <c r="F358" s="1" t="s">
        <v>608</v>
      </c>
      <c r="G358" s="3">
        <v>454</v>
      </c>
      <c r="H358" s="4">
        <v>6</v>
      </c>
      <c r="I358" s="5">
        <v>1184.94</v>
      </c>
      <c r="J358" s="5">
        <v>0</v>
      </c>
      <c r="K358" s="1" t="s">
        <v>36</v>
      </c>
      <c r="L358" s="1" t="s">
        <v>75</v>
      </c>
      <c r="M358" s="1" t="s">
        <v>37</v>
      </c>
      <c r="N358" s="3">
        <v>454</v>
      </c>
      <c r="O358" s="6">
        <f>Table1[[#This Row],[Invoice Qty]]-Table1[[#This Row],[ExFactory Qty]]</f>
        <v>0</v>
      </c>
      <c r="P358" s="1" t="s">
        <v>1233</v>
      </c>
      <c r="Q358" s="2">
        <v>46278.404594907399</v>
      </c>
      <c r="R358" s="2">
        <v>46285</v>
      </c>
      <c r="S358" s="1" t="s">
        <v>39</v>
      </c>
      <c r="U358" s="1" t="s">
        <v>40</v>
      </c>
      <c r="V358" s="1" t="s">
        <v>77</v>
      </c>
      <c r="W358" s="1" t="s">
        <v>40</v>
      </c>
      <c r="X358" s="1" t="s">
        <v>40</v>
      </c>
      <c r="Z358" s="2">
        <v>46285</v>
      </c>
      <c r="AA358" s="1" t="s">
        <v>1234</v>
      </c>
      <c r="AB358" s="2">
        <v>46279</v>
      </c>
      <c r="AC358" s="2">
        <v>46278</v>
      </c>
      <c r="AE358" s="1" t="s">
        <v>40</v>
      </c>
      <c r="AF358" s="1" t="s">
        <v>79</v>
      </c>
    </row>
    <row r="359" spans="1:32" ht="12.75" hidden="1" customHeight="1" x14ac:dyDescent="0.2">
      <c r="A359" s="1" t="s">
        <v>30</v>
      </c>
      <c r="B359" s="1" t="s">
        <v>1235</v>
      </c>
      <c r="C359" s="1" t="s">
        <v>71</v>
      </c>
      <c r="D359" s="1" t="s">
        <v>72</v>
      </c>
      <c r="E359" s="1" t="s">
        <v>972</v>
      </c>
      <c r="F359" s="1" t="s">
        <v>600</v>
      </c>
      <c r="G359" s="3">
        <v>76</v>
      </c>
      <c r="H359" s="4">
        <v>1</v>
      </c>
      <c r="I359" s="5">
        <v>198.36</v>
      </c>
      <c r="J359" s="5">
        <v>0</v>
      </c>
      <c r="K359" s="1" t="s">
        <v>36</v>
      </c>
      <c r="L359" s="1" t="s">
        <v>75</v>
      </c>
      <c r="M359" s="1" t="s">
        <v>37</v>
      </c>
      <c r="N359" s="3">
        <v>76</v>
      </c>
      <c r="O359" s="6">
        <f>Table1[[#This Row],[Invoice Qty]]-Table1[[#This Row],[ExFactory Qty]]</f>
        <v>0</v>
      </c>
      <c r="P359" s="1" t="s">
        <v>1236</v>
      </c>
      <c r="Q359" s="2">
        <v>46278.404189814799</v>
      </c>
      <c r="R359" s="2">
        <v>46287</v>
      </c>
      <c r="S359" s="1" t="s">
        <v>39</v>
      </c>
      <c r="U359" s="1" t="s">
        <v>40</v>
      </c>
      <c r="V359" s="1" t="s">
        <v>77</v>
      </c>
      <c r="W359" s="1" t="s">
        <v>40</v>
      </c>
      <c r="X359" s="1" t="s">
        <v>40</v>
      </c>
      <c r="Z359" s="2">
        <v>46287</v>
      </c>
      <c r="AA359" s="1" t="s">
        <v>1237</v>
      </c>
      <c r="AB359" s="2">
        <v>46279</v>
      </c>
      <c r="AC359" s="2">
        <v>46278.659375000003</v>
      </c>
      <c r="AE359" s="1" t="s">
        <v>40</v>
      </c>
      <c r="AF359" s="1" t="s">
        <v>79</v>
      </c>
    </row>
    <row r="360" spans="1:32" ht="12.75" hidden="1" customHeight="1" x14ac:dyDescent="0.2">
      <c r="A360" s="1" t="s">
        <v>30</v>
      </c>
      <c r="B360" s="1" t="s">
        <v>1238</v>
      </c>
      <c r="C360" s="1" t="s">
        <v>71</v>
      </c>
      <c r="D360" s="1" t="s">
        <v>72</v>
      </c>
      <c r="E360" s="1" t="s">
        <v>976</v>
      </c>
      <c r="F360" s="1" t="s">
        <v>608</v>
      </c>
      <c r="G360" s="3">
        <v>438</v>
      </c>
      <c r="H360" s="4">
        <v>9</v>
      </c>
      <c r="I360" s="5">
        <v>1213.26</v>
      </c>
      <c r="J360" s="5">
        <v>0</v>
      </c>
      <c r="K360" s="1" t="s">
        <v>36</v>
      </c>
      <c r="L360" s="1" t="s">
        <v>75</v>
      </c>
      <c r="M360" s="1" t="s">
        <v>37</v>
      </c>
      <c r="N360" s="3">
        <v>438</v>
      </c>
      <c r="O360" s="6">
        <f>Table1[[#This Row],[Invoice Qty]]-Table1[[#This Row],[ExFactory Qty]]</f>
        <v>0</v>
      </c>
      <c r="P360" s="1" t="s">
        <v>1233</v>
      </c>
      <c r="Q360" s="2">
        <v>46278.404594907399</v>
      </c>
      <c r="R360" s="2">
        <v>46285</v>
      </c>
      <c r="S360" s="1" t="s">
        <v>39</v>
      </c>
      <c r="U360" s="1" t="s">
        <v>40</v>
      </c>
      <c r="V360" s="1" t="s">
        <v>77</v>
      </c>
      <c r="W360" s="1" t="s">
        <v>40</v>
      </c>
      <c r="X360" s="1" t="s">
        <v>40</v>
      </c>
      <c r="Z360" s="2">
        <v>46285</v>
      </c>
      <c r="AA360" s="1" t="s">
        <v>1239</v>
      </c>
      <c r="AB360" s="2">
        <v>46279</v>
      </c>
      <c r="AC360" s="2">
        <v>46278</v>
      </c>
      <c r="AE360" s="1" t="s">
        <v>40</v>
      </c>
      <c r="AF360" s="1" t="s">
        <v>79</v>
      </c>
    </row>
    <row r="361" spans="1:32" ht="12.75" hidden="1" customHeight="1" x14ac:dyDescent="0.2">
      <c r="A361" s="1" t="s">
        <v>30</v>
      </c>
      <c r="B361" s="1" t="s">
        <v>1240</v>
      </c>
      <c r="C361" s="1" t="s">
        <v>71</v>
      </c>
      <c r="D361" s="1" t="s">
        <v>72</v>
      </c>
      <c r="E361" s="1" t="s">
        <v>976</v>
      </c>
      <c r="F361" s="1" t="s">
        <v>600</v>
      </c>
      <c r="G361" s="3">
        <v>38</v>
      </c>
      <c r="H361" s="4">
        <v>1</v>
      </c>
      <c r="I361" s="5">
        <v>105.26</v>
      </c>
      <c r="J361" s="5">
        <v>0</v>
      </c>
      <c r="K361" s="1" t="s">
        <v>36</v>
      </c>
      <c r="L361" s="1" t="s">
        <v>75</v>
      </c>
      <c r="M361" s="1" t="s">
        <v>37</v>
      </c>
      <c r="N361" s="3">
        <v>38</v>
      </c>
      <c r="O361" s="6">
        <f>Table1[[#This Row],[Invoice Qty]]-Table1[[#This Row],[ExFactory Qty]]</f>
        <v>0</v>
      </c>
      <c r="P361" s="1" t="s">
        <v>1236</v>
      </c>
      <c r="Q361" s="2">
        <v>46278.404189814799</v>
      </c>
      <c r="R361" s="2">
        <v>46287</v>
      </c>
      <c r="S361" s="1" t="s">
        <v>39</v>
      </c>
      <c r="U361" s="1" t="s">
        <v>40</v>
      </c>
      <c r="V361" s="1" t="s">
        <v>77</v>
      </c>
      <c r="W361" s="1" t="s">
        <v>40</v>
      </c>
      <c r="X361" s="1" t="s">
        <v>40</v>
      </c>
      <c r="Z361" s="2">
        <v>46287</v>
      </c>
      <c r="AA361" s="1" t="s">
        <v>1241</v>
      </c>
      <c r="AB361" s="2">
        <v>46279</v>
      </c>
      <c r="AC361" s="2">
        <v>46278.659375000003</v>
      </c>
      <c r="AE361" s="1" t="s">
        <v>40</v>
      </c>
      <c r="AF361" s="1" t="s">
        <v>79</v>
      </c>
    </row>
    <row r="362" spans="1:32" ht="12.75" hidden="1" customHeight="1" x14ac:dyDescent="0.2">
      <c r="A362" s="1" t="s">
        <v>30</v>
      </c>
      <c r="B362" s="1" t="s">
        <v>1242</v>
      </c>
      <c r="C362" s="1" t="s">
        <v>71</v>
      </c>
      <c r="D362" s="1" t="s">
        <v>72</v>
      </c>
      <c r="E362" s="1" t="s">
        <v>979</v>
      </c>
      <c r="F362" s="1" t="s">
        <v>608</v>
      </c>
      <c r="G362" s="3">
        <v>820</v>
      </c>
      <c r="H362" s="4">
        <v>9</v>
      </c>
      <c r="I362" s="5">
        <v>2082.8000000000002</v>
      </c>
      <c r="J362" s="5">
        <v>0</v>
      </c>
      <c r="K362" s="1" t="s">
        <v>36</v>
      </c>
      <c r="L362" s="1" t="s">
        <v>75</v>
      </c>
      <c r="M362" s="1" t="s">
        <v>37</v>
      </c>
      <c r="N362" s="3">
        <v>820</v>
      </c>
      <c r="O362" s="6">
        <f>Table1[[#This Row],[Invoice Qty]]-Table1[[#This Row],[ExFactory Qty]]</f>
        <v>0</v>
      </c>
      <c r="P362" s="1" t="s">
        <v>1233</v>
      </c>
      <c r="Q362" s="2">
        <v>46278.404594907399</v>
      </c>
      <c r="R362" s="2">
        <v>46285</v>
      </c>
      <c r="S362" s="1" t="s">
        <v>39</v>
      </c>
      <c r="U362" s="1" t="s">
        <v>40</v>
      </c>
      <c r="V362" s="1" t="s">
        <v>77</v>
      </c>
      <c r="W362" s="1" t="s">
        <v>40</v>
      </c>
      <c r="X362" s="1" t="s">
        <v>40</v>
      </c>
      <c r="Z362" s="2">
        <v>46285</v>
      </c>
      <c r="AA362" s="1" t="s">
        <v>1243</v>
      </c>
      <c r="AB362" s="2">
        <v>46279</v>
      </c>
      <c r="AC362" s="2">
        <v>46278</v>
      </c>
      <c r="AE362" s="1" t="s">
        <v>40</v>
      </c>
      <c r="AF362" s="1" t="s">
        <v>79</v>
      </c>
    </row>
    <row r="363" spans="1:32" ht="12.75" hidden="1" customHeight="1" x14ac:dyDescent="0.2">
      <c r="A363" s="1" t="s">
        <v>30</v>
      </c>
      <c r="B363" s="1" t="s">
        <v>1244</v>
      </c>
      <c r="C363" s="1" t="s">
        <v>71</v>
      </c>
      <c r="D363" s="1" t="s">
        <v>72</v>
      </c>
      <c r="E363" s="1" t="s">
        <v>979</v>
      </c>
      <c r="F363" s="1" t="s">
        <v>600</v>
      </c>
      <c r="G363" s="3">
        <v>92</v>
      </c>
      <c r="H363" s="4">
        <v>1</v>
      </c>
      <c r="I363" s="5">
        <v>233.68</v>
      </c>
      <c r="J363" s="5">
        <v>0</v>
      </c>
      <c r="K363" s="1" t="s">
        <v>36</v>
      </c>
      <c r="L363" s="1" t="s">
        <v>75</v>
      </c>
      <c r="M363" s="1" t="s">
        <v>37</v>
      </c>
      <c r="N363" s="3">
        <v>92</v>
      </c>
      <c r="O363" s="6">
        <f>Table1[[#This Row],[Invoice Qty]]-Table1[[#This Row],[ExFactory Qty]]</f>
        <v>0</v>
      </c>
      <c r="P363" s="1" t="s">
        <v>1236</v>
      </c>
      <c r="Q363" s="2">
        <v>46278.404189814799</v>
      </c>
      <c r="R363" s="2">
        <v>46287</v>
      </c>
      <c r="S363" s="1" t="s">
        <v>39</v>
      </c>
      <c r="U363" s="1" t="s">
        <v>40</v>
      </c>
      <c r="V363" s="1" t="s">
        <v>77</v>
      </c>
      <c r="W363" s="1" t="s">
        <v>40</v>
      </c>
      <c r="X363" s="1" t="s">
        <v>40</v>
      </c>
      <c r="Z363" s="2">
        <v>46287</v>
      </c>
      <c r="AA363" s="1" t="s">
        <v>1245</v>
      </c>
      <c r="AB363" s="2">
        <v>46279</v>
      </c>
      <c r="AC363" s="2">
        <v>46278.659375000003</v>
      </c>
      <c r="AE363" s="1" t="s">
        <v>40</v>
      </c>
      <c r="AF363" s="1" t="s">
        <v>79</v>
      </c>
    </row>
    <row r="364" spans="1:32" ht="12.75" hidden="1" customHeight="1" x14ac:dyDescent="0.2">
      <c r="A364" s="1" t="s">
        <v>30</v>
      </c>
      <c r="B364" s="1" t="s">
        <v>1246</v>
      </c>
      <c r="C364" s="1" t="s">
        <v>71</v>
      </c>
      <c r="D364" s="1" t="s">
        <v>72</v>
      </c>
      <c r="E364" s="1" t="s">
        <v>1247</v>
      </c>
      <c r="F364" s="1" t="s">
        <v>615</v>
      </c>
      <c r="G364" s="3">
        <v>567</v>
      </c>
      <c r="H364" s="4">
        <v>7</v>
      </c>
      <c r="I364" s="5">
        <v>992.25</v>
      </c>
      <c r="J364" s="5">
        <v>0</v>
      </c>
      <c r="K364" s="1" t="s">
        <v>36</v>
      </c>
      <c r="L364" s="1" t="s">
        <v>75</v>
      </c>
      <c r="M364" s="1" t="s">
        <v>37</v>
      </c>
      <c r="N364" s="3">
        <v>567</v>
      </c>
      <c r="O364" s="6">
        <f>Table1[[#This Row],[Invoice Qty]]-Table1[[#This Row],[ExFactory Qty]]</f>
        <v>0</v>
      </c>
      <c r="P364" s="1" t="s">
        <v>1233</v>
      </c>
      <c r="Q364" s="2">
        <v>46278.404594907399</v>
      </c>
      <c r="R364" s="2">
        <v>46289</v>
      </c>
      <c r="S364" s="1" t="s">
        <v>39</v>
      </c>
      <c r="U364" s="1" t="s">
        <v>40</v>
      </c>
      <c r="V364" s="1" t="s">
        <v>77</v>
      </c>
      <c r="W364" s="1" t="s">
        <v>40</v>
      </c>
      <c r="X364" s="1" t="s">
        <v>40</v>
      </c>
      <c r="Z364" s="2">
        <v>46288</v>
      </c>
      <c r="AA364" s="1" t="s">
        <v>1248</v>
      </c>
      <c r="AB364" s="2">
        <v>46279</v>
      </c>
      <c r="AC364" s="2">
        <v>46278</v>
      </c>
      <c r="AD364" s="2">
        <v>46280</v>
      </c>
      <c r="AE364" s="1" t="s">
        <v>1249</v>
      </c>
      <c r="AF364" s="1" t="s">
        <v>79</v>
      </c>
    </row>
    <row r="365" spans="1:32" ht="12.75" hidden="1" customHeight="1" x14ac:dyDescent="0.2">
      <c r="A365" s="1" t="s">
        <v>30</v>
      </c>
      <c r="B365" s="1" t="s">
        <v>1250</v>
      </c>
      <c r="C365" s="1" t="s">
        <v>71</v>
      </c>
      <c r="D365" s="1" t="s">
        <v>72</v>
      </c>
      <c r="E365" s="1" t="s">
        <v>982</v>
      </c>
      <c r="F365" s="1" t="s">
        <v>713</v>
      </c>
      <c r="G365" s="3">
        <v>261</v>
      </c>
      <c r="H365" s="4">
        <v>3</v>
      </c>
      <c r="I365" s="5">
        <v>503.73</v>
      </c>
      <c r="J365" s="5">
        <v>0</v>
      </c>
      <c r="K365" s="1" t="s">
        <v>36</v>
      </c>
      <c r="L365" s="1" t="s">
        <v>75</v>
      </c>
      <c r="M365" s="1" t="s">
        <v>37</v>
      </c>
      <c r="N365" s="3">
        <v>261</v>
      </c>
      <c r="O365" s="6">
        <f>Table1[[#This Row],[Invoice Qty]]-Table1[[#This Row],[ExFactory Qty]]</f>
        <v>0</v>
      </c>
      <c r="P365" s="1" t="s">
        <v>1233</v>
      </c>
      <c r="Q365" s="2">
        <v>46278.404594907399</v>
      </c>
      <c r="R365" s="2">
        <v>46286</v>
      </c>
      <c r="S365" s="1" t="s">
        <v>39</v>
      </c>
      <c r="U365" s="1" t="s">
        <v>40</v>
      </c>
      <c r="V365" s="1" t="s">
        <v>77</v>
      </c>
      <c r="W365" s="1" t="s">
        <v>40</v>
      </c>
      <c r="X365" s="1" t="s">
        <v>40</v>
      </c>
      <c r="Z365" s="2">
        <v>46286</v>
      </c>
      <c r="AA365" s="1" t="s">
        <v>1251</v>
      </c>
      <c r="AB365" s="2">
        <v>46279</v>
      </c>
      <c r="AC365" s="2">
        <v>46278</v>
      </c>
      <c r="AD365" s="2">
        <v>46280</v>
      </c>
      <c r="AE365" s="1" t="s">
        <v>1252</v>
      </c>
      <c r="AF365" s="1" t="s">
        <v>79</v>
      </c>
    </row>
    <row r="366" spans="1:32" ht="12.75" hidden="1" customHeight="1" x14ac:dyDescent="0.2">
      <c r="A366" s="1" t="s">
        <v>30</v>
      </c>
      <c r="B366" s="1" t="s">
        <v>1253</v>
      </c>
      <c r="C366" s="1" t="s">
        <v>71</v>
      </c>
      <c r="D366" s="1" t="s">
        <v>72</v>
      </c>
      <c r="E366" s="1" t="s">
        <v>982</v>
      </c>
      <c r="F366" s="1" t="s">
        <v>1254</v>
      </c>
      <c r="G366" s="3">
        <v>114</v>
      </c>
      <c r="H366" s="4">
        <v>1</v>
      </c>
      <c r="I366" s="5">
        <v>220.02</v>
      </c>
      <c r="J366" s="5">
        <v>0</v>
      </c>
      <c r="K366" s="1" t="s">
        <v>36</v>
      </c>
      <c r="L366" s="1" t="s">
        <v>75</v>
      </c>
      <c r="M366" s="1" t="s">
        <v>37</v>
      </c>
      <c r="N366" s="3">
        <v>114</v>
      </c>
      <c r="O366" s="6">
        <f>Table1[[#This Row],[Invoice Qty]]-Table1[[#This Row],[ExFactory Qty]]</f>
        <v>0</v>
      </c>
      <c r="P366" s="1" t="s">
        <v>1255</v>
      </c>
      <c r="Q366" s="2">
        <v>46278.596435185202</v>
      </c>
      <c r="R366" s="2">
        <v>46286</v>
      </c>
      <c r="S366" s="1" t="s">
        <v>39</v>
      </c>
      <c r="U366" s="1" t="s">
        <v>40</v>
      </c>
      <c r="V366" s="1" t="s">
        <v>77</v>
      </c>
      <c r="W366" s="1" t="s">
        <v>40</v>
      </c>
      <c r="X366" s="1" t="s">
        <v>40</v>
      </c>
      <c r="Z366" s="2">
        <v>46286</v>
      </c>
      <c r="AA366" s="1" t="s">
        <v>1256</v>
      </c>
      <c r="AB366" s="2">
        <v>46279</v>
      </c>
      <c r="AC366" s="2">
        <v>46278</v>
      </c>
      <c r="AE366" s="1" t="s">
        <v>40</v>
      </c>
      <c r="AF366" s="1" t="s">
        <v>79</v>
      </c>
    </row>
    <row r="367" spans="1:32" ht="12.75" hidden="1" customHeight="1" x14ac:dyDescent="0.2">
      <c r="A367" s="1" t="s">
        <v>30</v>
      </c>
      <c r="B367" s="1" t="s">
        <v>1257</v>
      </c>
      <c r="C367" s="1" t="s">
        <v>71</v>
      </c>
      <c r="D367" s="1" t="s">
        <v>72</v>
      </c>
      <c r="E367" s="1" t="s">
        <v>484</v>
      </c>
      <c r="F367" s="1" t="s">
        <v>605</v>
      </c>
      <c r="G367" s="3">
        <v>10</v>
      </c>
      <c r="H367" s="4">
        <v>1</v>
      </c>
      <c r="I367" s="5">
        <v>27.3</v>
      </c>
      <c r="J367" s="5">
        <v>0</v>
      </c>
      <c r="K367" s="1" t="s">
        <v>36</v>
      </c>
      <c r="L367" s="1" t="s">
        <v>75</v>
      </c>
      <c r="M367" s="1" t="s">
        <v>37</v>
      </c>
      <c r="N367" s="3">
        <v>10</v>
      </c>
      <c r="O367" s="6">
        <f>Table1[[#This Row],[Invoice Qty]]-Table1[[#This Row],[ExFactory Qty]]</f>
        <v>0</v>
      </c>
      <c r="P367" s="1" t="s">
        <v>1236</v>
      </c>
      <c r="Q367" s="2">
        <v>46278.404189814799</v>
      </c>
      <c r="R367" s="2">
        <v>46287</v>
      </c>
      <c r="S367" s="1" t="s">
        <v>39</v>
      </c>
      <c r="U367" s="1" t="s">
        <v>40</v>
      </c>
      <c r="V367" s="1" t="s">
        <v>77</v>
      </c>
      <c r="W367" s="1" t="s">
        <v>40</v>
      </c>
      <c r="X367" s="1" t="s">
        <v>40</v>
      </c>
      <c r="Z367" s="2">
        <v>46287</v>
      </c>
      <c r="AA367" s="1" t="s">
        <v>1258</v>
      </c>
      <c r="AB367" s="2">
        <v>46279</v>
      </c>
      <c r="AC367" s="2">
        <v>46278</v>
      </c>
      <c r="AE367" s="1" t="s">
        <v>40</v>
      </c>
      <c r="AF367" s="1" t="s">
        <v>79</v>
      </c>
    </row>
    <row r="368" spans="1:32" ht="12.75" hidden="1" customHeight="1" x14ac:dyDescent="0.2">
      <c r="A368" s="1" t="s">
        <v>30</v>
      </c>
      <c r="B368" s="1" t="s">
        <v>1259</v>
      </c>
      <c r="C368" s="1" t="s">
        <v>71</v>
      </c>
      <c r="D368" s="1" t="s">
        <v>72</v>
      </c>
      <c r="E368" s="1" t="s">
        <v>484</v>
      </c>
      <c r="F368" s="1" t="s">
        <v>134</v>
      </c>
      <c r="G368" s="3">
        <v>21</v>
      </c>
      <c r="H368" s="4">
        <v>1</v>
      </c>
      <c r="I368" s="5">
        <v>57.33</v>
      </c>
      <c r="J368" s="5">
        <v>0</v>
      </c>
      <c r="K368" s="1" t="s">
        <v>36</v>
      </c>
      <c r="L368" s="1" t="s">
        <v>75</v>
      </c>
      <c r="M368" s="1" t="s">
        <v>37</v>
      </c>
      <c r="N368" s="3">
        <v>21</v>
      </c>
      <c r="O368" s="6">
        <f>Table1[[#This Row],[Invoice Qty]]-Table1[[#This Row],[ExFactory Qty]]</f>
        <v>0</v>
      </c>
      <c r="P368" s="1" t="s">
        <v>1255</v>
      </c>
      <c r="Q368" s="2">
        <v>46278.596435185202</v>
      </c>
      <c r="R368" s="2">
        <v>46288</v>
      </c>
      <c r="S368" s="1" t="s">
        <v>39</v>
      </c>
      <c r="U368" s="1" t="s">
        <v>40</v>
      </c>
      <c r="V368" s="1" t="s">
        <v>77</v>
      </c>
      <c r="W368" s="1" t="s">
        <v>40</v>
      </c>
      <c r="X368" s="1" t="s">
        <v>40</v>
      </c>
      <c r="Z368" s="2">
        <v>46288</v>
      </c>
      <c r="AA368" s="1" t="s">
        <v>1260</v>
      </c>
      <c r="AB368" s="2">
        <v>46279</v>
      </c>
      <c r="AC368" s="2">
        <v>46278.659375000003</v>
      </c>
      <c r="AE368" s="1" t="s">
        <v>40</v>
      </c>
      <c r="AF368" s="1" t="s">
        <v>79</v>
      </c>
    </row>
    <row r="369" spans="1:32" ht="12.75" hidden="1" customHeight="1" x14ac:dyDescent="0.2">
      <c r="A369" s="1" t="s">
        <v>30</v>
      </c>
      <c r="B369" s="1" t="s">
        <v>1261</v>
      </c>
      <c r="C369" s="1" t="s">
        <v>71</v>
      </c>
      <c r="D369" s="1" t="s">
        <v>72</v>
      </c>
      <c r="E369" s="1" t="s">
        <v>484</v>
      </c>
      <c r="F369" s="1" t="s">
        <v>615</v>
      </c>
      <c r="G369" s="3">
        <v>10</v>
      </c>
      <c r="H369" s="4">
        <v>1</v>
      </c>
      <c r="I369" s="5">
        <v>27.3</v>
      </c>
      <c r="J369" s="5">
        <v>0</v>
      </c>
      <c r="K369" s="1" t="s">
        <v>36</v>
      </c>
      <c r="L369" s="1" t="s">
        <v>75</v>
      </c>
      <c r="M369" s="1" t="s">
        <v>37</v>
      </c>
      <c r="N369" s="3">
        <v>10</v>
      </c>
      <c r="O369" s="6">
        <f>Table1[[#This Row],[Invoice Qty]]-Table1[[#This Row],[ExFactory Qty]]</f>
        <v>0</v>
      </c>
      <c r="P369" s="1" t="s">
        <v>1233</v>
      </c>
      <c r="Q369" s="2">
        <v>46278.404594907399</v>
      </c>
      <c r="R369" s="2">
        <v>46289</v>
      </c>
      <c r="S369" s="1" t="s">
        <v>39</v>
      </c>
      <c r="U369" s="1" t="s">
        <v>40</v>
      </c>
      <c r="V369" s="1" t="s">
        <v>77</v>
      </c>
      <c r="W369" s="1" t="s">
        <v>40</v>
      </c>
      <c r="X369" s="1" t="s">
        <v>40</v>
      </c>
      <c r="Z369" s="2">
        <v>46288</v>
      </c>
      <c r="AA369" s="1" t="s">
        <v>1262</v>
      </c>
      <c r="AB369" s="2">
        <v>46279</v>
      </c>
      <c r="AC369" s="2">
        <v>46278</v>
      </c>
      <c r="AD369" s="2">
        <v>46280</v>
      </c>
      <c r="AE369" s="1" t="s">
        <v>1263</v>
      </c>
      <c r="AF369" s="1" t="s">
        <v>79</v>
      </c>
    </row>
    <row r="370" spans="1:32" ht="12.75" hidden="1" customHeight="1" x14ac:dyDescent="0.2">
      <c r="A370" s="1" t="s">
        <v>30</v>
      </c>
      <c r="B370" s="1" t="s">
        <v>1264</v>
      </c>
      <c r="C370" s="1" t="s">
        <v>71</v>
      </c>
      <c r="D370" s="1" t="s">
        <v>323</v>
      </c>
      <c r="E370" s="1" t="s">
        <v>1033</v>
      </c>
      <c r="F370" s="1" t="s">
        <v>134</v>
      </c>
      <c r="G370" s="3">
        <v>174</v>
      </c>
      <c r="H370" s="4">
        <v>2</v>
      </c>
      <c r="I370" s="5">
        <v>396.72</v>
      </c>
      <c r="J370" s="5">
        <v>0</v>
      </c>
      <c r="K370" s="1" t="s">
        <v>36</v>
      </c>
      <c r="L370" s="1" t="s">
        <v>75</v>
      </c>
      <c r="M370" s="1" t="s">
        <v>37</v>
      </c>
      <c r="N370" s="3">
        <v>174</v>
      </c>
      <c r="O370" s="6">
        <f>Table1[[#This Row],[Invoice Qty]]-Table1[[#This Row],[ExFactory Qty]]</f>
        <v>0</v>
      </c>
      <c r="P370" s="1" t="s">
        <v>1255</v>
      </c>
      <c r="Q370" s="2">
        <v>46278.596435185202</v>
      </c>
      <c r="R370" s="2">
        <v>46288</v>
      </c>
      <c r="S370" s="1" t="s">
        <v>39</v>
      </c>
      <c r="U370" s="1" t="s">
        <v>40</v>
      </c>
      <c r="V370" s="1" t="s">
        <v>77</v>
      </c>
      <c r="W370" s="1" t="s">
        <v>40</v>
      </c>
      <c r="X370" s="1" t="s">
        <v>40</v>
      </c>
      <c r="Z370" s="2">
        <v>46288</v>
      </c>
      <c r="AA370" s="1" t="s">
        <v>1265</v>
      </c>
      <c r="AB370" s="2">
        <v>46279</v>
      </c>
      <c r="AC370" s="2">
        <v>46278.659375000003</v>
      </c>
      <c r="AE370" s="1" t="s">
        <v>40</v>
      </c>
      <c r="AF370" s="1" t="s">
        <v>326</v>
      </c>
    </row>
    <row r="371" spans="1:32" ht="12.75" hidden="1" customHeight="1" x14ac:dyDescent="0.2">
      <c r="A371" s="1" t="s">
        <v>30</v>
      </c>
      <c r="B371" s="1" t="s">
        <v>1266</v>
      </c>
      <c r="C371" s="1" t="s">
        <v>71</v>
      </c>
      <c r="D371" s="1" t="s">
        <v>72</v>
      </c>
      <c r="E371" s="1" t="s">
        <v>1267</v>
      </c>
      <c r="F371" s="1" t="s">
        <v>384</v>
      </c>
      <c r="G371" s="3">
        <v>535</v>
      </c>
      <c r="H371" s="4">
        <v>8</v>
      </c>
      <c r="I371" s="5">
        <v>1492.65</v>
      </c>
      <c r="J371" s="5">
        <v>0</v>
      </c>
      <c r="K371" s="1" t="s">
        <v>36</v>
      </c>
      <c r="L371" s="1" t="s">
        <v>75</v>
      </c>
      <c r="M371" s="1" t="s">
        <v>37</v>
      </c>
      <c r="N371" s="3">
        <v>535</v>
      </c>
      <c r="O371" s="6">
        <f>Table1[[#This Row],[Invoice Qty]]-Table1[[#This Row],[ExFactory Qty]]</f>
        <v>0</v>
      </c>
      <c r="P371" s="1" t="s">
        <v>1233</v>
      </c>
      <c r="Q371" s="2">
        <v>46278.404594907399</v>
      </c>
      <c r="R371" s="2">
        <v>46287</v>
      </c>
      <c r="S371" s="1" t="s">
        <v>39</v>
      </c>
      <c r="U371" s="1" t="s">
        <v>40</v>
      </c>
      <c r="V371" s="1" t="s">
        <v>77</v>
      </c>
      <c r="W371" s="1" t="s">
        <v>40</v>
      </c>
      <c r="X371" s="1" t="s">
        <v>40</v>
      </c>
      <c r="Z371" s="2">
        <v>46289</v>
      </c>
      <c r="AA371" s="1" t="s">
        <v>1268</v>
      </c>
      <c r="AB371" s="2">
        <v>46279</v>
      </c>
      <c r="AC371" s="2">
        <v>46278.659375000003</v>
      </c>
      <c r="AE371" s="1" t="s">
        <v>40</v>
      </c>
      <c r="AF371" s="1" t="s">
        <v>79</v>
      </c>
    </row>
    <row r="372" spans="1:32" ht="12.75" hidden="1" customHeight="1" x14ac:dyDescent="0.2">
      <c r="A372" s="1" t="s">
        <v>30</v>
      </c>
      <c r="B372" s="1" t="s">
        <v>1269</v>
      </c>
      <c r="C372" s="1" t="s">
        <v>71</v>
      </c>
      <c r="D372" s="1" t="s">
        <v>72</v>
      </c>
      <c r="E372" s="1" t="s">
        <v>1267</v>
      </c>
      <c r="F372" s="1" t="s">
        <v>183</v>
      </c>
      <c r="G372" s="3">
        <v>208</v>
      </c>
      <c r="H372" s="4">
        <v>5</v>
      </c>
      <c r="I372" s="5">
        <v>580.32000000000005</v>
      </c>
      <c r="J372" s="5">
        <v>0</v>
      </c>
      <c r="K372" s="1" t="s">
        <v>36</v>
      </c>
      <c r="L372" s="1" t="s">
        <v>75</v>
      </c>
      <c r="M372" s="1" t="s">
        <v>37</v>
      </c>
      <c r="N372" s="3">
        <v>208</v>
      </c>
      <c r="O372" s="6">
        <f>Table1[[#This Row],[Invoice Qty]]-Table1[[#This Row],[ExFactory Qty]]</f>
        <v>0</v>
      </c>
      <c r="P372" s="1" t="s">
        <v>1236</v>
      </c>
      <c r="Q372" s="2">
        <v>46278.404189814799</v>
      </c>
      <c r="R372" s="2">
        <v>46288</v>
      </c>
      <c r="S372" s="1" t="s">
        <v>39</v>
      </c>
      <c r="U372" s="1" t="s">
        <v>40</v>
      </c>
      <c r="V372" s="1" t="s">
        <v>77</v>
      </c>
      <c r="W372" s="1" t="s">
        <v>40</v>
      </c>
      <c r="X372" s="1" t="s">
        <v>40</v>
      </c>
      <c r="Z372" s="2">
        <v>46288</v>
      </c>
      <c r="AA372" s="1" t="s">
        <v>1270</v>
      </c>
      <c r="AB372" s="2">
        <v>46279</v>
      </c>
      <c r="AC372" s="2">
        <v>46278.659375000003</v>
      </c>
      <c r="AE372" s="1" t="s">
        <v>40</v>
      </c>
      <c r="AF372" s="1" t="s">
        <v>79</v>
      </c>
    </row>
    <row r="373" spans="1:32" ht="12.75" hidden="1" customHeight="1" x14ac:dyDescent="0.2">
      <c r="A373" s="1" t="s">
        <v>30</v>
      </c>
      <c r="B373" s="1" t="s">
        <v>1271</v>
      </c>
      <c r="C373" s="1" t="s">
        <v>71</v>
      </c>
      <c r="D373" s="1" t="s">
        <v>72</v>
      </c>
      <c r="E373" s="1" t="s">
        <v>1267</v>
      </c>
      <c r="F373" s="1" t="s">
        <v>252</v>
      </c>
      <c r="G373" s="3">
        <v>72</v>
      </c>
      <c r="H373" s="4">
        <v>1</v>
      </c>
      <c r="I373" s="5">
        <v>200.88</v>
      </c>
      <c r="J373" s="5">
        <v>0</v>
      </c>
      <c r="K373" s="1" t="s">
        <v>36</v>
      </c>
      <c r="L373" s="1" t="s">
        <v>75</v>
      </c>
      <c r="M373" s="1" t="s">
        <v>37</v>
      </c>
      <c r="N373" s="3">
        <v>72</v>
      </c>
      <c r="O373" s="6">
        <f>Table1[[#This Row],[Invoice Qty]]-Table1[[#This Row],[ExFactory Qty]]</f>
        <v>0</v>
      </c>
      <c r="P373" s="1" t="s">
        <v>1236</v>
      </c>
      <c r="Q373" s="2">
        <v>46278.404189814799</v>
      </c>
      <c r="R373" s="2">
        <v>46290</v>
      </c>
      <c r="S373" s="1" t="s">
        <v>39</v>
      </c>
      <c r="U373" s="1" t="s">
        <v>40</v>
      </c>
      <c r="V373" s="1" t="s">
        <v>77</v>
      </c>
      <c r="W373" s="1" t="s">
        <v>40</v>
      </c>
      <c r="X373" s="1" t="s">
        <v>40</v>
      </c>
      <c r="Z373" s="2">
        <v>46290</v>
      </c>
      <c r="AA373" s="1" t="s">
        <v>1272</v>
      </c>
      <c r="AB373" s="2">
        <v>46279</v>
      </c>
      <c r="AC373" s="2">
        <v>46278.659375000003</v>
      </c>
      <c r="AE373" s="1" t="s">
        <v>40</v>
      </c>
      <c r="AF373" s="1" t="s">
        <v>79</v>
      </c>
    </row>
    <row r="374" spans="1:32" ht="12.75" hidden="1" customHeight="1" x14ac:dyDescent="0.2">
      <c r="A374" s="1" t="s">
        <v>30</v>
      </c>
      <c r="B374" s="1" t="s">
        <v>1273</v>
      </c>
      <c r="C374" s="1" t="s">
        <v>71</v>
      </c>
      <c r="D374" s="1" t="s">
        <v>72</v>
      </c>
      <c r="E374" s="1" t="s">
        <v>1267</v>
      </c>
      <c r="F374" s="1" t="s">
        <v>727</v>
      </c>
      <c r="G374" s="3">
        <v>59</v>
      </c>
      <c r="H374" s="4">
        <v>1</v>
      </c>
      <c r="I374" s="5">
        <v>164.61</v>
      </c>
      <c r="J374" s="5">
        <v>0</v>
      </c>
      <c r="K374" s="1" t="s">
        <v>36</v>
      </c>
      <c r="L374" s="1" t="s">
        <v>75</v>
      </c>
      <c r="M374" s="1" t="s">
        <v>37</v>
      </c>
      <c r="N374" s="3">
        <v>59</v>
      </c>
      <c r="O374" s="6">
        <f>Table1[[#This Row],[Invoice Qty]]-Table1[[#This Row],[ExFactory Qty]]</f>
        <v>0</v>
      </c>
      <c r="P374" s="1" t="s">
        <v>1233</v>
      </c>
      <c r="Q374" s="2">
        <v>46278.404594907399</v>
      </c>
      <c r="R374" s="2">
        <v>46288</v>
      </c>
      <c r="S374" s="1" t="s">
        <v>39</v>
      </c>
      <c r="U374" s="1" t="s">
        <v>40</v>
      </c>
      <c r="V374" s="1" t="s">
        <v>77</v>
      </c>
      <c r="W374" s="1" t="s">
        <v>40</v>
      </c>
      <c r="X374" s="1" t="s">
        <v>40</v>
      </c>
      <c r="Z374" s="2">
        <v>46288</v>
      </c>
      <c r="AA374" s="1" t="s">
        <v>1274</v>
      </c>
      <c r="AB374" s="2">
        <v>46279</v>
      </c>
      <c r="AC374" s="2">
        <v>46278.659375000003</v>
      </c>
      <c r="AE374" s="1" t="s">
        <v>40</v>
      </c>
      <c r="AF374" s="1" t="s">
        <v>79</v>
      </c>
    </row>
    <row r="375" spans="1:32" ht="12.75" hidden="1" customHeight="1" x14ac:dyDescent="0.2">
      <c r="A375" s="1" t="s">
        <v>30</v>
      </c>
      <c r="B375" s="1" t="s">
        <v>1275</v>
      </c>
      <c r="C375" s="1" t="s">
        <v>71</v>
      </c>
      <c r="D375" s="1" t="s">
        <v>72</v>
      </c>
      <c r="E375" s="1" t="s">
        <v>1267</v>
      </c>
      <c r="F375" s="1" t="s">
        <v>269</v>
      </c>
      <c r="G375" s="3">
        <v>380</v>
      </c>
      <c r="H375" s="4">
        <v>7</v>
      </c>
      <c r="I375" s="5">
        <v>1060.2</v>
      </c>
      <c r="J375" s="5">
        <v>0</v>
      </c>
      <c r="K375" s="1" t="s">
        <v>36</v>
      </c>
      <c r="L375" s="1" t="s">
        <v>75</v>
      </c>
      <c r="M375" s="1" t="s">
        <v>37</v>
      </c>
      <c r="N375" s="3">
        <v>380</v>
      </c>
      <c r="O375" s="6">
        <f>Table1[[#This Row],[Invoice Qty]]-Table1[[#This Row],[ExFactory Qty]]</f>
        <v>0</v>
      </c>
      <c r="P375" s="1" t="s">
        <v>1276</v>
      </c>
      <c r="Q375" s="2">
        <v>46278.725104166697</v>
      </c>
      <c r="R375" s="2">
        <v>46287</v>
      </c>
      <c r="S375" s="1" t="s">
        <v>39</v>
      </c>
      <c r="U375" s="1" t="s">
        <v>40</v>
      </c>
      <c r="V375" s="1" t="s">
        <v>77</v>
      </c>
      <c r="W375" s="1" t="s">
        <v>40</v>
      </c>
      <c r="X375" s="1" t="s">
        <v>40</v>
      </c>
      <c r="Z375" s="2">
        <v>46285</v>
      </c>
      <c r="AA375" s="1" t="s">
        <v>1277</v>
      </c>
      <c r="AB375" s="2">
        <v>46279</v>
      </c>
      <c r="AC375" s="2">
        <v>46278.659375000003</v>
      </c>
      <c r="AE375" s="1" t="s">
        <v>40</v>
      </c>
      <c r="AF375" s="1" t="s">
        <v>79</v>
      </c>
    </row>
    <row r="376" spans="1:32" ht="12.75" hidden="1" customHeight="1" x14ac:dyDescent="0.2">
      <c r="A376" s="1" t="s">
        <v>30</v>
      </c>
      <c r="B376" s="1" t="s">
        <v>1278</v>
      </c>
      <c r="C376" s="1" t="s">
        <v>71</v>
      </c>
      <c r="D376" s="1" t="s">
        <v>72</v>
      </c>
      <c r="E376" s="1" t="s">
        <v>1267</v>
      </c>
      <c r="F376" s="1" t="s">
        <v>651</v>
      </c>
      <c r="G376" s="3">
        <v>177</v>
      </c>
      <c r="H376" s="4">
        <v>3</v>
      </c>
      <c r="I376" s="5">
        <v>493.83</v>
      </c>
      <c r="J376" s="5">
        <v>0</v>
      </c>
      <c r="K376" s="1" t="s">
        <v>36</v>
      </c>
      <c r="L376" s="1" t="s">
        <v>75</v>
      </c>
      <c r="M376" s="1" t="s">
        <v>37</v>
      </c>
      <c r="N376" s="3">
        <v>177</v>
      </c>
      <c r="O376" s="6">
        <f>Table1[[#This Row],[Invoice Qty]]-Table1[[#This Row],[ExFactory Qty]]</f>
        <v>0</v>
      </c>
      <c r="P376" s="1" t="s">
        <v>1276</v>
      </c>
      <c r="Q376" s="2">
        <v>46278.725104166697</v>
      </c>
      <c r="R376" s="2">
        <v>46287</v>
      </c>
      <c r="S376" s="1" t="s">
        <v>39</v>
      </c>
      <c r="U376" s="1" t="s">
        <v>40</v>
      </c>
      <c r="V376" s="1" t="s">
        <v>77</v>
      </c>
      <c r="W376" s="1" t="s">
        <v>40</v>
      </c>
      <c r="X376" s="1" t="s">
        <v>40</v>
      </c>
      <c r="Z376" s="2">
        <v>46286</v>
      </c>
      <c r="AA376" s="1" t="s">
        <v>1279</v>
      </c>
      <c r="AB376" s="2">
        <v>46279</v>
      </c>
      <c r="AC376" s="2">
        <v>46278.659375000003</v>
      </c>
      <c r="AE376" s="1" t="s">
        <v>40</v>
      </c>
      <c r="AF376" s="1" t="s">
        <v>79</v>
      </c>
    </row>
    <row r="377" spans="1:32" ht="12.75" hidden="1" customHeight="1" x14ac:dyDescent="0.2">
      <c r="A377" s="1" t="s">
        <v>30</v>
      </c>
      <c r="B377" s="1" t="s">
        <v>1280</v>
      </c>
      <c r="C377" s="1" t="s">
        <v>71</v>
      </c>
      <c r="D377" s="1" t="s">
        <v>72</v>
      </c>
      <c r="E377" s="1" t="s">
        <v>1267</v>
      </c>
      <c r="F377" s="1" t="s">
        <v>654</v>
      </c>
      <c r="G377" s="3">
        <v>530</v>
      </c>
      <c r="H377" s="4">
        <v>9</v>
      </c>
      <c r="I377" s="5">
        <v>1478.7</v>
      </c>
      <c r="J377" s="5">
        <v>0</v>
      </c>
      <c r="K377" s="1" t="s">
        <v>36</v>
      </c>
      <c r="L377" s="1" t="s">
        <v>75</v>
      </c>
      <c r="M377" s="1" t="s">
        <v>37</v>
      </c>
      <c r="N377" s="3">
        <v>530</v>
      </c>
      <c r="O377" s="6">
        <f>Table1[[#This Row],[Invoice Qty]]-Table1[[#This Row],[ExFactory Qty]]</f>
        <v>0</v>
      </c>
      <c r="P377" s="1" t="s">
        <v>1255</v>
      </c>
      <c r="Q377" s="2">
        <v>46278.596435185202</v>
      </c>
      <c r="R377" s="2">
        <v>46288</v>
      </c>
      <c r="S377" s="1" t="s">
        <v>39</v>
      </c>
      <c r="U377" s="1" t="s">
        <v>40</v>
      </c>
      <c r="V377" s="1" t="s">
        <v>77</v>
      </c>
      <c r="W377" s="1" t="s">
        <v>40</v>
      </c>
      <c r="X377" s="1" t="s">
        <v>40</v>
      </c>
      <c r="Z377" s="2">
        <v>46287</v>
      </c>
      <c r="AA377" s="1" t="s">
        <v>1281</v>
      </c>
      <c r="AB377" s="2">
        <v>46279</v>
      </c>
      <c r="AC377" s="2">
        <v>46278.659375000003</v>
      </c>
      <c r="AE377" s="1" t="s">
        <v>40</v>
      </c>
      <c r="AF377" s="1" t="s">
        <v>79</v>
      </c>
    </row>
    <row r="378" spans="1:32" ht="12.75" hidden="1" customHeight="1" x14ac:dyDescent="0.2">
      <c r="A378" s="1" t="s">
        <v>30</v>
      </c>
      <c r="B378" s="1" t="s">
        <v>1282</v>
      </c>
      <c r="C378" s="1" t="s">
        <v>71</v>
      </c>
      <c r="D378" s="1" t="s">
        <v>72</v>
      </c>
      <c r="E378" s="1" t="s">
        <v>685</v>
      </c>
      <c r="F378" s="1" t="s">
        <v>661</v>
      </c>
      <c r="G378" s="3">
        <v>154</v>
      </c>
      <c r="H378" s="4">
        <v>2</v>
      </c>
      <c r="I378" s="5">
        <v>406.56</v>
      </c>
      <c r="J378" s="5">
        <v>0</v>
      </c>
      <c r="K378" s="1" t="s">
        <v>36</v>
      </c>
      <c r="L378" s="1" t="s">
        <v>75</v>
      </c>
      <c r="M378" s="1" t="s">
        <v>37</v>
      </c>
      <c r="N378" s="3">
        <v>154</v>
      </c>
      <c r="O378" s="6">
        <f>Table1[[#This Row],[Invoice Qty]]-Table1[[#This Row],[ExFactory Qty]]</f>
        <v>0</v>
      </c>
      <c r="P378" s="1" t="s">
        <v>1233</v>
      </c>
      <c r="Q378" s="2">
        <v>46278.404594907399</v>
      </c>
      <c r="R378" s="2">
        <v>46288</v>
      </c>
      <c r="S378" s="1" t="s">
        <v>39</v>
      </c>
      <c r="U378" s="1" t="s">
        <v>40</v>
      </c>
      <c r="V378" s="1" t="s">
        <v>77</v>
      </c>
      <c r="W378" s="1" t="s">
        <v>40</v>
      </c>
      <c r="X378" s="1" t="s">
        <v>40</v>
      </c>
      <c r="Z378" s="2">
        <v>46288</v>
      </c>
      <c r="AA378" s="1" t="s">
        <v>1283</v>
      </c>
      <c r="AB378" s="2">
        <v>46279</v>
      </c>
      <c r="AC378" s="2">
        <v>46278.659375000003</v>
      </c>
      <c r="AE378" s="1" t="s">
        <v>40</v>
      </c>
      <c r="AF378" s="1" t="s">
        <v>79</v>
      </c>
    </row>
    <row r="379" spans="1:32" ht="12.75" hidden="1" customHeight="1" x14ac:dyDescent="0.2">
      <c r="A379" s="1" t="s">
        <v>30</v>
      </c>
      <c r="B379" s="1" t="s">
        <v>1284</v>
      </c>
      <c r="C379" s="1" t="s">
        <v>71</v>
      </c>
      <c r="D379" s="1" t="s">
        <v>72</v>
      </c>
      <c r="E379" s="1" t="s">
        <v>685</v>
      </c>
      <c r="F379" s="1" t="s">
        <v>269</v>
      </c>
      <c r="G379" s="3">
        <v>4909</v>
      </c>
      <c r="H379" s="4">
        <v>47</v>
      </c>
      <c r="I379" s="5">
        <v>12959.76</v>
      </c>
      <c r="J379" s="5">
        <v>0</v>
      </c>
      <c r="K379" s="1" t="s">
        <v>36</v>
      </c>
      <c r="L379" s="1" t="s">
        <v>75</v>
      </c>
      <c r="M379" s="1" t="s">
        <v>37</v>
      </c>
      <c r="N379" s="3">
        <v>4909</v>
      </c>
      <c r="O379" s="6">
        <f>Table1[[#This Row],[Invoice Qty]]-Table1[[#This Row],[ExFactory Qty]]</f>
        <v>0</v>
      </c>
      <c r="P379" s="1" t="s">
        <v>1276</v>
      </c>
      <c r="Q379" s="2">
        <v>46278.725104166697</v>
      </c>
      <c r="R379" s="2">
        <v>46287</v>
      </c>
      <c r="S379" s="1" t="s">
        <v>39</v>
      </c>
      <c r="U379" s="1" t="s">
        <v>40</v>
      </c>
      <c r="V379" s="1" t="s">
        <v>77</v>
      </c>
      <c r="W379" s="1" t="s">
        <v>40</v>
      </c>
      <c r="X379" s="1" t="s">
        <v>40</v>
      </c>
      <c r="Z379" s="2">
        <v>46287</v>
      </c>
      <c r="AA379" s="1" t="s">
        <v>1285</v>
      </c>
      <c r="AB379" s="2">
        <v>46279</v>
      </c>
      <c r="AC379" s="2">
        <v>46278.659375000003</v>
      </c>
      <c r="AE379" s="1" t="s">
        <v>40</v>
      </c>
      <c r="AF379" s="1" t="s">
        <v>79</v>
      </c>
    </row>
    <row r="380" spans="1:32" ht="12.75" hidden="1" customHeight="1" x14ac:dyDescent="0.2">
      <c r="A380" s="1" t="s">
        <v>30</v>
      </c>
      <c r="B380" s="1" t="s">
        <v>1286</v>
      </c>
      <c r="C380" s="1" t="s">
        <v>71</v>
      </c>
      <c r="D380" s="1" t="s">
        <v>72</v>
      </c>
      <c r="E380" s="1" t="s">
        <v>685</v>
      </c>
      <c r="F380" s="1" t="s">
        <v>269</v>
      </c>
      <c r="G380" s="3">
        <v>2125</v>
      </c>
      <c r="H380" s="4">
        <v>21</v>
      </c>
      <c r="I380" s="5">
        <v>5610</v>
      </c>
      <c r="J380" s="5">
        <v>0</v>
      </c>
      <c r="K380" s="1" t="s">
        <v>36</v>
      </c>
      <c r="L380" s="1" t="s">
        <v>75</v>
      </c>
      <c r="M380" s="1" t="s">
        <v>37</v>
      </c>
      <c r="N380" s="3">
        <v>2125</v>
      </c>
      <c r="O380" s="6">
        <f>Table1[[#This Row],[Invoice Qty]]-Table1[[#This Row],[ExFactory Qty]]</f>
        <v>0</v>
      </c>
      <c r="P380" s="1" t="s">
        <v>1276</v>
      </c>
      <c r="Q380" s="2">
        <v>46278.725104166697</v>
      </c>
      <c r="R380" s="2">
        <v>46287</v>
      </c>
      <c r="S380" s="1" t="s">
        <v>39</v>
      </c>
      <c r="U380" s="1" t="s">
        <v>40</v>
      </c>
      <c r="V380" s="1" t="s">
        <v>77</v>
      </c>
      <c r="W380" s="1" t="s">
        <v>40</v>
      </c>
      <c r="X380" s="1" t="s">
        <v>40</v>
      </c>
      <c r="Z380" s="2">
        <v>46288</v>
      </c>
      <c r="AA380" s="1" t="s">
        <v>1287</v>
      </c>
      <c r="AB380" s="2">
        <v>46279</v>
      </c>
      <c r="AC380" s="2">
        <v>46278.659375000003</v>
      </c>
      <c r="AE380" s="1" t="s">
        <v>40</v>
      </c>
      <c r="AF380" s="1" t="s">
        <v>79</v>
      </c>
    </row>
    <row r="381" spans="1:32" ht="12.75" hidden="1" customHeight="1" x14ac:dyDescent="0.2">
      <c r="A381" s="1" t="s">
        <v>30</v>
      </c>
      <c r="B381" s="1" t="s">
        <v>1288</v>
      </c>
      <c r="C381" s="1" t="s">
        <v>71</v>
      </c>
      <c r="D381" s="1" t="s">
        <v>72</v>
      </c>
      <c r="E381" s="1" t="s">
        <v>1289</v>
      </c>
      <c r="F381" s="1" t="s">
        <v>727</v>
      </c>
      <c r="G381" s="3">
        <v>81</v>
      </c>
      <c r="H381" s="4">
        <v>1</v>
      </c>
      <c r="I381" s="5">
        <v>211.41</v>
      </c>
      <c r="J381" s="5">
        <v>0</v>
      </c>
      <c r="K381" s="1" t="s">
        <v>36</v>
      </c>
      <c r="L381" s="1" t="s">
        <v>75</v>
      </c>
      <c r="M381" s="1" t="s">
        <v>37</v>
      </c>
      <c r="N381" s="3">
        <v>81</v>
      </c>
      <c r="O381" s="6">
        <f>Table1[[#This Row],[Invoice Qty]]-Table1[[#This Row],[ExFactory Qty]]</f>
        <v>0</v>
      </c>
      <c r="P381" s="1" t="s">
        <v>1233</v>
      </c>
      <c r="Q381" s="2">
        <v>46278.404594907399</v>
      </c>
      <c r="R381" s="2">
        <v>46288</v>
      </c>
      <c r="S381" s="1" t="s">
        <v>39</v>
      </c>
      <c r="U381" s="1" t="s">
        <v>40</v>
      </c>
      <c r="V381" s="1" t="s">
        <v>77</v>
      </c>
      <c r="W381" s="1" t="s">
        <v>40</v>
      </c>
      <c r="X381" s="1" t="s">
        <v>40</v>
      </c>
      <c r="Z381" s="2">
        <v>46288</v>
      </c>
      <c r="AA381" s="1" t="s">
        <v>1290</v>
      </c>
      <c r="AB381" s="2">
        <v>46279</v>
      </c>
      <c r="AC381" s="2">
        <v>46278.659375000003</v>
      </c>
      <c r="AE381" s="1" t="s">
        <v>40</v>
      </c>
      <c r="AF381" s="1" t="s">
        <v>79</v>
      </c>
    </row>
    <row r="382" spans="1:32" ht="12.75" hidden="1" customHeight="1" x14ac:dyDescent="0.2">
      <c r="A382" s="1" t="s">
        <v>30</v>
      </c>
      <c r="B382" s="1" t="s">
        <v>1291</v>
      </c>
      <c r="C382" s="1" t="s">
        <v>71</v>
      </c>
      <c r="D382" s="1" t="s">
        <v>72</v>
      </c>
      <c r="E382" s="1" t="s">
        <v>1289</v>
      </c>
      <c r="F382" s="1" t="s">
        <v>269</v>
      </c>
      <c r="G382" s="3">
        <v>1071</v>
      </c>
      <c r="H382" s="4">
        <v>10</v>
      </c>
      <c r="I382" s="5">
        <v>2795.31</v>
      </c>
      <c r="J382" s="5">
        <v>0</v>
      </c>
      <c r="K382" s="1" t="s">
        <v>36</v>
      </c>
      <c r="L382" s="1" t="s">
        <v>75</v>
      </c>
      <c r="M382" s="1" t="s">
        <v>37</v>
      </c>
      <c r="N382" s="3">
        <v>1071</v>
      </c>
      <c r="O382" s="6">
        <f>Table1[[#This Row],[Invoice Qty]]-Table1[[#This Row],[ExFactory Qty]]</f>
        <v>0</v>
      </c>
      <c r="P382" s="1" t="s">
        <v>1276</v>
      </c>
      <c r="Q382" s="2">
        <v>46278.725104166697</v>
      </c>
      <c r="R382" s="2">
        <v>46287</v>
      </c>
      <c r="S382" s="1" t="s">
        <v>39</v>
      </c>
      <c r="U382" s="1" t="s">
        <v>40</v>
      </c>
      <c r="V382" s="1" t="s">
        <v>77</v>
      </c>
      <c r="W382" s="1" t="s">
        <v>40</v>
      </c>
      <c r="X382" s="1" t="s">
        <v>40</v>
      </c>
      <c r="Z382" s="2">
        <v>46285</v>
      </c>
      <c r="AA382" s="1" t="s">
        <v>1292</v>
      </c>
      <c r="AB382" s="2">
        <v>46279</v>
      </c>
      <c r="AC382" s="2">
        <v>46278.659375000003</v>
      </c>
      <c r="AE382" s="1" t="s">
        <v>40</v>
      </c>
      <c r="AF382" s="1" t="s">
        <v>79</v>
      </c>
    </row>
    <row r="383" spans="1:32" ht="12.75" hidden="1" customHeight="1" x14ac:dyDescent="0.2">
      <c r="A383" s="1" t="s">
        <v>30</v>
      </c>
      <c r="B383" s="1" t="s">
        <v>1293</v>
      </c>
      <c r="C383" s="1" t="s">
        <v>71</v>
      </c>
      <c r="D383" s="1" t="s">
        <v>72</v>
      </c>
      <c r="E383" s="1" t="s">
        <v>1289</v>
      </c>
      <c r="F383" s="1" t="s">
        <v>651</v>
      </c>
      <c r="G383" s="3">
        <v>507</v>
      </c>
      <c r="H383" s="4">
        <v>7</v>
      </c>
      <c r="I383" s="5">
        <v>1323.27</v>
      </c>
      <c r="J383" s="5">
        <v>0</v>
      </c>
      <c r="K383" s="1" t="s">
        <v>36</v>
      </c>
      <c r="L383" s="1" t="s">
        <v>75</v>
      </c>
      <c r="M383" s="1" t="s">
        <v>37</v>
      </c>
      <c r="N383" s="3">
        <v>507</v>
      </c>
      <c r="O383" s="6">
        <f>Table1[[#This Row],[Invoice Qty]]-Table1[[#This Row],[ExFactory Qty]]</f>
        <v>0</v>
      </c>
      <c r="P383" s="1" t="s">
        <v>1276</v>
      </c>
      <c r="Q383" s="2">
        <v>46278.725104166697</v>
      </c>
      <c r="R383" s="2">
        <v>46287</v>
      </c>
      <c r="S383" s="1" t="s">
        <v>39</v>
      </c>
      <c r="U383" s="1" t="s">
        <v>40</v>
      </c>
      <c r="V383" s="1" t="s">
        <v>77</v>
      </c>
      <c r="W383" s="1" t="s">
        <v>40</v>
      </c>
      <c r="X383" s="1" t="s">
        <v>40</v>
      </c>
      <c r="Z383" s="2">
        <v>46286</v>
      </c>
      <c r="AA383" s="1" t="s">
        <v>1294</v>
      </c>
      <c r="AB383" s="2">
        <v>46279</v>
      </c>
      <c r="AC383" s="2">
        <v>46278.659375000003</v>
      </c>
      <c r="AE383" s="1" t="s">
        <v>40</v>
      </c>
      <c r="AF383" s="1" t="s">
        <v>79</v>
      </c>
    </row>
    <row r="384" spans="1:32" ht="12.75" hidden="1" customHeight="1" x14ac:dyDescent="0.2">
      <c r="A384" s="1" t="s">
        <v>30</v>
      </c>
      <c r="B384" s="1" t="s">
        <v>1295</v>
      </c>
      <c r="C384" s="1" t="s">
        <v>71</v>
      </c>
      <c r="D384" s="1" t="s">
        <v>72</v>
      </c>
      <c r="E384" s="1" t="s">
        <v>1289</v>
      </c>
      <c r="F384" s="1" t="s">
        <v>384</v>
      </c>
      <c r="G384" s="3">
        <v>70</v>
      </c>
      <c r="H384" s="4">
        <v>1</v>
      </c>
      <c r="I384" s="5">
        <v>182.7</v>
      </c>
      <c r="J384" s="5">
        <v>0</v>
      </c>
      <c r="K384" s="1" t="s">
        <v>36</v>
      </c>
      <c r="L384" s="1" t="s">
        <v>75</v>
      </c>
      <c r="M384" s="1" t="s">
        <v>37</v>
      </c>
      <c r="N384" s="3">
        <v>70</v>
      </c>
      <c r="O384" s="6">
        <f>Table1[[#This Row],[Invoice Qty]]-Table1[[#This Row],[ExFactory Qty]]</f>
        <v>0</v>
      </c>
      <c r="P384" s="1" t="s">
        <v>1233</v>
      </c>
      <c r="Q384" s="2">
        <v>46278.404594907399</v>
      </c>
      <c r="R384" s="2">
        <v>46287</v>
      </c>
      <c r="S384" s="1" t="s">
        <v>39</v>
      </c>
      <c r="U384" s="1" t="s">
        <v>40</v>
      </c>
      <c r="V384" s="1" t="s">
        <v>77</v>
      </c>
      <c r="W384" s="1" t="s">
        <v>40</v>
      </c>
      <c r="X384" s="1" t="s">
        <v>40</v>
      </c>
      <c r="AA384" s="1" t="s">
        <v>1296</v>
      </c>
      <c r="AB384" s="2">
        <v>46279</v>
      </c>
      <c r="AC384" s="2">
        <v>46278.659375000003</v>
      </c>
      <c r="AE384" s="1" t="s">
        <v>40</v>
      </c>
      <c r="AF384" s="1" t="s">
        <v>79</v>
      </c>
    </row>
    <row r="385" spans="1:32" ht="12.75" hidden="1" customHeight="1" x14ac:dyDescent="0.2">
      <c r="A385" s="1" t="s">
        <v>30</v>
      </c>
      <c r="B385" s="1" t="s">
        <v>1297</v>
      </c>
      <c r="C385" s="1" t="s">
        <v>71</v>
      </c>
      <c r="D385" s="1" t="s">
        <v>72</v>
      </c>
      <c r="E385" s="1" t="s">
        <v>1289</v>
      </c>
      <c r="F385" s="1" t="s">
        <v>654</v>
      </c>
      <c r="G385" s="3">
        <v>1165</v>
      </c>
      <c r="H385" s="4">
        <v>11</v>
      </c>
      <c r="I385" s="5">
        <v>3040.65</v>
      </c>
      <c r="J385" s="5">
        <v>0</v>
      </c>
      <c r="K385" s="1" t="s">
        <v>36</v>
      </c>
      <c r="L385" s="1" t="s">
        <v>75</v>
      </c>
      <c r="M385" s="1" t="s">
        <v>37</v>
      </c>
      <c r="N385" s="3">
        <v>1165</v>
      </c>
      <c r="O385" s="6">
        <f>Table1[[#This Row],[Invoice Qty]]-Table1[[#This Row],[ExFactory Qty]]</f>
        <v>0</v>
      </c>
      <c r="P385" s="1" t="s">
        <v>1255</v>
      </c>
      <c r="Q385" s="2">
        <v>46278.596435185202</v>
      </c>
      <c r="R385" s="2">
        <v>46288</v>
      </c>
      <c r="S385" s="1" t="s">
        <v>39</v>
      </c>
      <c r="U385" s="1" t="s">
        <v>40</v>
      </c>
      <c r="V385" s="1" t="s">
        <v>77</v>
      </c>
      <c r="W385" s="1" t="s">
        <v>40</v>
      </c>
      <c r="X385" s="1" t="s">
        <v>40</v>
      </c>
      <c r="Z385" s="2">
        <v>46287</v>
      </c>
      <c r="AA385" s="1" t="s">
        <v>1298</v>
      </c>
      <c r="AB385" s="2">
        <v>46279</v>
      </c>
      <c r="AC385" s="2">
        <v>46278.659375000003</v>
      </c>
      <c r="AE385" s="1" t="s">
        <v>40</v>
      </c>
      <c r="AF385" s="1" t="s">
        <v>79</v>
      </c>
    </row>
    <row r="386" spans="1:32" ht="12.75" hidden="1" customHeight="1" x14ac:dyDescent="0.2">
      <c r="A386" s="1" t="s">
        <v>30</v>
      </c>
      <c r="B386" s="1" t="s">
        <v>1299</v>
      </c>
      <c r="C386" s="1" t="s">
        <v>71</v>
      </c>
      <c r="D386" s="1" t="s">
        <v>323</v>
      </c>
      <c r="E386" s="1" t="s">
        <v>504</v>
      </c>
      <c r="F386" s="1" t="s">
        <v>713</v>
      </c>
      <c r="G386" s="3">
        <v>153</v>
      </c>
      <c r="H386" s="4">
        <v>2</v>
      </c>
      <c r="I386" s="5">
        <v>348.84</v>
      </c>
      <c r="J386" s="5">
        <v>0</v>
      </c>
      <c r="K386" s="1" t="s">
        <v>36</v>
      </c>
      <c r="L386" s="1" t="s">
        <v>75</v>
      </c>
      <c r="M386" s="1" t="s">
        <v>37</v>
      </c>
      <c r="N386" s="3">
        <v>153</v>
      </c>
      <c r="O386" s="6">
        <f>Table1[[#This Row],[Invoice Qty]]-Table1[[#This Row],[ExFactory Qty]]</f>
        <v>0</v>
      </c>
      <c r="P386" s="1" t="s">
        <v>1233</v>
      </c>
      <c r="Q386" s="2">
        <v>46278.404594907399</v>
      </c>
      <c r="R386" s="2">
        <v>46286</v>
      </c>
      <c r="S386" s="1" t="s">
        <v>39</v>
      </c>
      <c r="U386" s="1" t="s">
        <v>40</v>
      </c>
      <c r="V386" s="1" t="s">
        <v>77</v>
      </c>
      <c r="W386" s="1" t="s">
        <v>40</v>
      </c>
      <c r="X386" s="1" t="s">
        <v>40</v>
      </c>
      <c r="Z386" s="2">
        <v>46286</v>
      </c>
      <c r="AA386" s="1" t="s">
        <v>1300</v>
      </c>
      <c r="AB386" s="2">
        <v>46279</v>
      </c>
      <c r="AC386" s="2">
        <v>46278</v>
      </c>
      <c r="AD386" s="2">
        <v>46280</v>
      </c>
      <c r="AE386" s="1" t="s">
        <v>1301</v>
      </c>
      <c r="AF386" s="1" t="s">
        <v>326</v>
      </c>
    </row>
    <row r="387" spans="1:32" ht="12.75" hidden="1" customHeight="1" x14ac:dyDescent="0.2">
      <c r="A387" s="1" t="s">
        <v>30</v>
      </c>
      <c r="B387" s="1" t="s">
        <v>1302</v>
      </c>
      <c r="C387" s="1" t="s">
        <v>71</v>
      </c>
      <c r="D387" s="1" t="s">
        <v>72</v>
      </c>
      <c r="E387" s="1" t="s">
        <v>1303</v>
      </c>
      <c r="F387" s="1" t="s">
        <v>384</v>
      </c>
      <c r="G387" s="3">
        <v>794</v>
      </c>
      <c r="H387" s="4">
        <v>12</v>
      </c>
      <c r="I387" s="5">
        <v>2191.44</v>
      </c>
      <c r="J387" s="5">
        <v>0</v>
      </c>
      <c r="K387" s="1" t="s">
        <v>36</v>
      </c>
      <c r="L387" s="1" t="s">
        <v>75</v>
      </c>
      <c r="M387" s="1" t="s">
        <v>37</v>
      </c>
      <c r="N387" s="3">
        <v>794</v>
      </c>
      <c r="O387" s="6">
        <f>Table1[[#This Row],[Invoice Qty]]-Table1[[#This Row],[ExFactory Qty]]</f>
        <v>0</v>
      </c>
      <c r="P387" s="1" t="s">
        <v>1233</v>
      </c>
      <c r="Q387" s="2">
        <v>46278.404594907399</v>
      </c>
      <c r="R387" s="2">
        <v>46287</v>
      </c>
      <c r="S387" s="1" t="s">
        <v>39</v>
      </c>
      <c r="U387" s="1" t="s">
        <v>40</v>
      </c>
      <c r="V387" s="1" t="s">
        <v>77</v>
      </c>
      <c r="W387" s="1" t="s">
        <v>40</v>
      </c>
      <c r="X387" s="1" t="s">
        <v>40</v>
      </c>
      <c r="Z387" s="2">
        <v>46289</v>
      </c>
      <c r="AA387" s="1" t="s">
        <v>1304</v>
      </c>
      <c r="AB387" s="2">
        <v>46279</v>
      </c>
      <c r="AC387" s="2">
        <v>46278.659375000003</v>
      </c>
      <c r="AE387" s="1" t="s">
        <v>40</v>
      </c>
      <c r="AF387" s="1" t="s">
        <v>79</v>
      </c>
    </row>
    <row r="388" spans="1:32" ht="12.75" hidden="1" customHeight="1" x14ac:dyDescent="0.2">
      <c r="A388" s="1" t="s">
        <v>86</v>
      </c>
      <c r="B388" s="1" t="s">
        <v>1305</v>
      </c>
      <c r="C388" s="1" t="s">
        <v>71</v>
      </c>
      <c r="D388" s="1" t="s">
        <v>72</v>
      </c>
      <c r="E388" s="1" t="s">
        <v>1303</v>
      </c>
      <c r="F388" s="1" t="s">
        <v>134</v>
      </c>
      <c r="G388" s="3">
        <v>35</v>
      </c>
      <c r="H388" s="4">
        <v>1</v>
      </c>
      <c r="I388" s="5">
        <v>96.6</v>
      </c>
      <c r="J388" s="5">
        <v>0</v>
      </c>
      <c r="K388" s="1" t="s">
        <v>36</v>
      </c>
      <c r="L388" s="1" t="s">
        <v>75</v>
      </c>
      <c r="M388" s="1" t="s">
        <v>37</v>
      </c>
      <c r="N388" s="3">
        <v>35</v>
      </c>
      <c r="O388" s="6">
        <f>Table1[[#This Row],[Invoice Qty]]-Table1[[#This Row],[ExFactory Qty]]</f>
        <v>0</v>
      </c>
      <c r="P388" s="1" t="s">
        <v>1306</v>
      </c>
      <c r="Q388" s="2">
        <v>46285.719444444403</v>
      </c>
      <c r="S388" s="1" t="s">
        <v>39</v>
      </c>
      <c r="U388" s="1" t="s">
        <v>40</v>
      </c>
      <c r="V388" s="1" t="s">
        <v>77</v>
      </c>
      <c r="W388" s="1" t="s">
        <v>40</v>
      </c>
      <c r="X388" s="1" t="s">
        <v>40</v>
      </c>
      <c r="AA388" s="1" t="s">
        <v>1307</v>
      </c>
      <c r="AB388" s="2">
        <v>46279</v>
      </c>
      <c r="AC388" s="2">
        <v>46278.659375000003</v>
      </c>
      <c r="AE388" s="1" t="s">
        <v>40</v>
      </c>
      <c r="AF388" s="1" t="s">
        <v>79</v>
      </c>
    </row>
    <row r="389" spans="1:32" ht="12.75" hidden="1" customHeight="1" x14ac:dyDescent="0.2">
      <c r="A389" s="1" t="s">
        <v>30</v>
      </c>
      <c r="B389" s="1" t="s">
        <v>1308</v>
      </c>
      <c r="C389" s="1" t="s">
        <v>71</v>
      </c>
      <c r="D389" s="1" t="s">
        <v>72</v>
      </c>
      <c r="E389" s="1" t="s">
        <v>1303</v>
      </c>
      <c r="F389" s="1" t="s">
        <v>183</v>
      </c>
      <c r="G389" s="3">
        <v>460</v>
      </c>
      <c r="H389" s="4">
        <v>8</v>
      </c>
      <c r="I389" s="5">
        <v>1269.5999999999999</v>
      </c>
      <c r="J389" s="5">
        <v>0</v>
      </c>
      <c r="K389" s="1" t="s">
        <v>36</v>
      </c>
      <c r="L389" s="1" t="s">
        <v>75</v>
      </c>
      <c r="M389" s="1" t="s">
        <v>37</v>
      </c>
      <c r="N389" s="3">
        <v>460</v>
      </c>
      <c r="O389" s="6">
        <f>Table1[[#This Row],[Invoice Qty]]-Table1[[#This Row],[ExFactory Qty]]</f>
        <v>0</v>
      </c>
      <c r="P389" s="1" t="s">
        <v>1236</v>
      </c>
      <c r="Q389" s="2">
        <v>46278.404189814799</v>
      </c>
      <c r="R389" s="2">
        <v>46288</v>
      </c>
      <c r="S389" s="1" t="s">
        <v>39</v>
      </c>
      <c r="U389" s="1" t="s">
        <v>40</v>
      </c>
      <c r="V389" s="1" t="s">
        <v>77</v>
      </c>
      <c r="W389" s="1" t="s">
        <v>40</v>
      </c>
      <c r="X389" s="1" t="s">
        <v>40</v>
      </c>
      <c r="Z389" s="2">
        <v>46288</v>
      </c>
      <c r="AA389" s="1" t="s">
        <v>1309</v>
      </c>
      <c r="AB389" s="2">
        <v>46279</v>
      </c>
      <c r="AC389" s="2">
        <v>46278.659375000003</v>
      </c>
      <c r="AE389" s="1" t="s">
        <v>40</v>
      </c>
      <c r="AF389" s="1" t="s">
        <v>79</v>
      </c>
    </row>
    <row r="390" spans="1:32" ht="12.75" hidden="1" customHeight="1" x14ac:dyDescent="0.2">
      <c r="A390" s="1" t="s">
        <v>30</v>
      </c>
      <c r="B390" s="1" t="s">
        <v>1310</v>
      </c>
      <c r="C390" s="1" t="s">
        <v>71</v>
      </c>
      <c r="D390" s="1" t="s">
        <v>72</v>
      </c>
      <c r="E390" s="1" t="s">
        <v>1303</v>
      </c>
      <c r="F390" s="1" t="s">
        <v>252</v>
      </c>
      <c r="G390" s="3">
        <v>153</v>
      </c>
      <c r="H390" s="4">
        <v>2</v>
      </c>
      <c r="I390" s="5">
        <v>422.28</v>
      </c>
      <c r="J390" s="5">
        <v>0</v>
      </c>
      <c r="K390" s="1" t="s">
        <v>36</v>
      </c>
      <c r="L390" s="1" t="s">
        <v>75</v>
      </c>
      <c r="M390" s="1" t="s">
        <v>37</v>
      </c>
      <c r="N390" s="3">
        <v>153</v>
      </c>
      <c r="O390" s="6">
        <f>Table1[[#This Row],[Invoice Qty]]-Table1[[#This Row],[ExFactory Qty]]</f>
        <v>0</v>
      </c>
      <c r="P390" s="1" t="s">
        <v>1236</v>
      </c>
      <c r="Q390" s="2">
        <v>46278.404189814799</v>
      </c>
      <c r="R390" s="2">
        <v>46290</v>
      </c>
      <c r="S390" s="1" t="s">
        <v>39</v>
      </c>
      <c r="U390" s="1" t="s">
        <v>40</v>
      </c>
      <c r="V390" s="1" t="s">
        <v>77</v>
      </c>
      <c r="W390" s="1" t="s">
        <v>40</v>
      </c>
      <c r="X390" s="1" t="s">
        <v>40</v>
      </c>
      <c r="Z390" s="2">
        <v>46290</v>
      </c>
      <c r="AA390" s="1" t="s">
        <v>1311</v>
      </c>
      <c r="AB390" s="2">
        <v>46279</v>
      </c>
      <c r="AC390" s="2">
        <v>46278.659375000003</v>
      </c>
      <c r="AE390" s="1" t="s">
        <v>40</v>
      </c>
      <c r="AF390" s="1" t="s">
        <v>79</v>
      </c>
    </row>
    <row r="391" spans="1:32" ht="12.75" hidden="1" customHeight="1" x14ac:dyDescent="0.2">
      <c r="A391" s="1" t="s">
        <v>30</v>
      </c>
      <c r="B391" s="1" t="s">
        <v>1312</v>
      </c>
      <c r="C391" s="1" t="s">
        <v>71</v>
      </c>
      <c r="D391" s="1" t="s">
        <v>72</v>
      </c>
      <c r="E391" s="1" t="s">
        <v>1303</v>
      </c>
      <c r="F391" s="1" t="s">
        <v>727</v>
      </c>
      <c r="G391" s="3">
        <v>91</v>
      </c>
      <c r="H391" s="4">
        <v>2</v>
      </c>
      <c r="I391" s="5">
        <v>251.16</v>
      </c>
      <c r="J391" s="5">
        <v>0</v>
      </c>
      <c r="K391" s="1" t="s">
        <v>36</v>
      </c>
      <c r="L391" s="1" t="s">
        <v>75</v>
      </c>
      <c r="M391" s="1" t="s">
        <v>37</v>
      </c>
      <c r="N391" s="3">
        <v>91</v>
      </c>
      <c r="O391" s="6">
        <f>Table1[[#This Row],[Invoice Qty]]-Table1[[#This Row],[ExFactory Qty]]</f>
        <v>0</v>
      </c>
      <c r="P391" s="1" t="s">
        <v>1233</v>
      </c>
      <c r="Q391" s="2">
        <v>46278.404594907399</v>
      </c>
      <c r="R391" s="2">
        <v>46288</v>
      </c>
      <c r="S391" s="1" t="s">
        <v>39</v>
      </c>
      <c r="U391" s="1" t="s">
        <v>40</v>
      </c>
      <c r="V391" s="1" t="s">
        <v>77</v>
      </c>
      <c r="W391" s="1" t="s">
        <v>40</v>
      </c>
      <c r="X391" s="1" t="s">
        <v>40</v>
      </c>
      <c r="Z391" s="2">
        <v>46288</v>
      </c>
      <c r="AA391" s="1" t="s">
        <v>1313</v>
      </c>
      <c r="AB391" s="2">
        <v>46279</v>
      </c>
      <c r="AC391" s="2">
        <v>46278.659375000003</v>
      </c>
      <c r="AE391" s="1" t="s">
        <v>40</v>
      </c>
      <c r="AF391" s="1" t="s">
        <v>79</v>
      </c>
    </row>
    <row r="392" spans="1:32" ht="12.75" hidden="1" customHeight="1" x14ac:dyDescent="0.2">
      <c r="A392" s="1" t="s">
        <v>30</v>
      </c>
      <c r="B392" s="1" t="s">
        <v>1314</v>
      </c>
      <c r="C392" s="1" t="s">
        <v>71</v>
      </c>
      <c r="D392" s="1" t="s">
        <v>72</v>
      </c>
      <c r="E392" s="1" t="s">
        <v>1303</v>
      </c>
      <c r="F392" s="1" t="s">
        <v>269</v>
      </c>
      <c r="G392" s="3">
        <v>401</v>
      </c>
      <c r="H392" s="4">
        <v>7</v>
      </c>
      <c r="I392" s="5">
        <v>1106.76</v>
      </c>
      <c r="J392" s="5">
        <v>0</v>
      </c>
      <c r="K392" s="1" t="s">
        <v>36</v>
      </c>
      <c r="L392" s="1" t="s">
        <v>75</v>
      </c>
      <c r="M392" s="1" t="s">
        <v>37</v>
      </c>
      <c r="N392" s="3">
        <v>401</v>
      </c>
      <c r="O392" s="6">
        <f>Table1[[#This Row],[Invoice Qty]]-Table1[[#This Row],[ExFactory Qty]]</f>
        <v>0</v>
      </c>
      <c r="P392" s="1" t="s">
        <v>1276</v>
      </c>
      <c r="Q392" s="2">
        <v>46278.725104166697</v>
      </c>
      <c r="R392" s="2">
        <v>46287</v>
      </c>
      <c r="S392" s="1" t="s">
        <v>39</v>
      </c>
      <c r="U392" s="1" t="s">
        <v>40</v>
      </c>
      <c r="V392" s="1" t="s">
        <v>77</v>
      </c>
      <c r="W392" s="1" t="s">
        <v>40</v>
      </c>
      <c r="X392" s="1" t="s">
        <v>40</v>
      </c>
      <c r="AA392" s="1" t="s">
        <v>1315</v>
      </c>
      <c r="AB392" s="2">
        <v>46279</v>
      </c>
      <c r="AC392" s="2">
        <v>46278.659375000003</v>
      </c>
      <c r="AE392" s="1" t="s">
        <v>40</v>
      </c>
      <c r="AF392" s="1" t="s">
        <v>79</v>
      </c>
    </row>
    <row r="393" spans="1:32" ht="12.75" hidden="1" customHeight="1" x14ac:dyDescent="0.2">
      <c r="A393" s="1" t="s">
        <v>30</v>
      </c>
      <c r="B393" s="1" t="s">
        <v>1316</v>
      </c>
      <c r="C393" s="1" t="s">
        <v>71</v>
      </c>
      <c r="D393" s="1" t="s">
        <v>72</v>
      </c>
      <c r="E393" s="1" t="s">
        <v>1303</v>
      </c>
      <c r="F393" s="1" t="s">
        <v>651</v>
      </c>
      <c r="G393" s="3">
        <v>175</v>
      </c>
      <c r="H393" s="4">
        <v>3</v>
      </c>
      <c r="I393" s="5">
        <v>483</v>
      </c>
      <c r="J393" s="5">
        <v>0</v>
      </c>
      <c r="K393" s="1" t="s">
        <v>36</v>
      </c>
      <c r="L393" s="1" t="s">
        <v>75</v>
      </c>
      <c r="M393" s="1" t="s">
        <v>37</v>
      </c>
      <c r="N393" s="3">
        <v>175</v>
      </c>
      <c r="O393" s="6">
        <f>Table1[[#This Row],[Invoice Qty]]-Table1[[#This Row],[ExFactory Qty]]</f>
        <v>0</v>
      </c>
      <c r="P393" s="1" t="s">
        <v>1276</v>
      </c>
      <c r="Q393" s="2">
        <v>46278.725104166697</v>
      </c>
      <c r="R393" s="2">
        <v>46287</v>
      </c>
      <c r="S393" s="1" t="s">
        <v>39</v>
      </c>
      <c r="U393" s="1" t="s">
        <v>40</v>
      </c>
      <c r="V393" s="1" t="s">
        <v>77</v>
      </c>
      <c r="W393" s="1" t="s">
        <v>40</v>
      </c>
      <c r="X393" s="1" t="s">
        <v>40</v>
      </c>
      <c r="AA393" s="1" t="s">
        <v>1317</v>
      </c>
      <c r="AB393" s="2">
        <v>46279</v>
      </c>
      <c r="AC393" s="2">
        <v>46278.659375000003</v>
      </c>
      <c r="AE393" s="1" t="s">
        <v>40</v>
      </c>
      <c r="AF393" s="1" t="s">
        <v>79</v>
      </c>
    </row>
    <row r="394" spans="1:32" ht="12.75" hidden="1" customHeight="1" x14ac:dyDescent="0.2">
      <c r="A394" s="1" t="s">
        <v>30</v>
      </c>
      <c r="B394" s="1" t="s">
        <v>1318</v>
      </c>
      <c r="C394" s="1" t="s">
        <v>71</v>
      </c>
      <c r="D394" s="1" t="s">
        <v>72</v>
      </c>
      <c r="E394" s="1" t="s">
        <v>1303</v>
      </c>
      <c r="F394" s="1" t="s">
        <v>654</v>
      </c>
      <c r="G394" s="3">
        <v>362</v>
      </c>
      <c r="H394" s="4">
        <v>7</v>
      </c>
      <c r="I394" s="5">
        <v>999.12</v>
      </c>
      <c r="J394" s="5">
        <v>0</v>
      </c>
      <c r="K394" s="1" t="s">
        <v>36</v>
      </c>
      <c r="L394" s="1" t="s">
        <v>75</v>
      </c>
      <c r="M394" s="1" t="s">
        <v>37</v>
      </c>
      <c r="N394" s="3">
        <v>362</v>
      </c>
      <c r="O394" s="6">
        <f>Table1[[#This Row],[Invoice Qty]]-Table1[[#This Row],[ExFactory Qty]]</f>
        <v>0</v>
      </c>
      <c r="P394" s="1" t="s">
        <v>1255</v>
      </c>
      <c r="Q394" s="2">
        <v>46278.596435185202</v>
      </c>
      <c r="R394" s="2">
        <v>46288</v>
      </c>
      <c r="S394" s="1" t="s">
        <v>39</v>
      </c>
      <c r="U394" s="1" t="s">
        <v>40</v>
      </c>
      <c r="V394" s="1" t="s">
        <v>77</v>
      </c>
      <c r="W394" s="1" t="s">
        <v>40</v>
      </c>
      <c r="X394" s="1" t="s">
        <v>40</v>
      </c>
      <c r="Z394" s="2">
        <v>46287</v>
      </c>
      <c r="AA394" s="1" t="s">
        <v>1319</v>
      </c>
      <c r="AB394" s="2">
        <v>46279</v>
      </c>
      <c r="AC394" s="2">
        <v>46278.659375000003</v>
      </c>
      <c r="AE394" s="1" t="s">
        <v>40</v>
      </c>
      <c r="AF394" s="1" t="s">
        <v>79</v>
      </c>
    </row>
    <row r="395" spans="1:32" ht="12.75" hidden="1" customHeight="1" x14ac:dyDescent="0.2">
      <c r="A395" s="1" t="s">
        <v>30</v>
      </c>
      <c r="B395" s="1" t="s">
        <v>1320</v>
      </c>
      <c r="C395" s="1" t="s">
        <v>71</v>
      </c>
      <c r="D395" s="1" t="s">
        <v>72</v>
      </c>
      <c r="E395" s="1" t="s">
        <v>1321</v>
      </c>
      <c r="F395" s="1" t="s">
        <v>727</v>
      </c>
      <c r="G395" s="3">
        <v>45</v>
      </c>
      <c r="H395" s="4">
        <v>1</v>
      </c>
      <c r="I395" s="5">
        <v>87.3</v>
      </c>
      <c r="J395" s="5">
        <v>0</v>
      </c>
      <c r="K395" s="1" t="s">
        <v>36</v>
      </c>
      <c r="L395" s="1" t="s">
        <v>75</v>
      </c>
      <c r="M395" s="1" t="s">
        <v>37</v>
      </c>
      <c r="N395" s="3">
        <v>45</v>
      </c>
      <c r="O395" s="6">
        <f>Table1[[#This Row],[Invoice Qty]]-Table1[[#This Row],[ExFactory Qty]]</f>
        <v>0</v>
      </c>
      <c r="P395" s="1" t="s">
        <v>1233</v>
      </c>
      <c r="Q395" s="2">
        <v>46278.404594907399</v>
      </c>
      <c r="R395" s="2">
        <v>46288</v>
      </c>
      <c r="S395" s="1" t="s">
        <v>39</v>
      </c>
      <c r="U395" s="1" t="s">
        <v>40</v>
      </c>
      <c r="V395" s="1" t="s">
        <v>77</v>
      </c>
      <c r="W395" s="1" t="s">
        <v>40</v>
      </c>
      <c r="X395" s="1" t="s">
        <v>40</v>
      </c>
      <c r="Z395" s="2">
        <v>46288</v>
      </c>
      <c r="AA395" s="1" t="s">
        <v>1322</v>
      </c>
      <c r="AB395" s="2">
        <v>46279</v>
      </c>
      <c r="AC395" s="2">
        <v>46278.659375000003</v>
      </c>
      <c r="AE395" s="1" t="s">
        <v>40</v>
      </c>
      <c r="AF395" s="1" t="s">
        <v>79</v>
      </c>
    </row>
    <row r="396" spans="1:32" ht="12.75" hidden="1" customHeight="1" x14ac:dyDescent="0.2">
      <c r="A396" s="1" t="s">
        <v>30</v>
      </c>
      <c r="B396" s="1" t="s">
        <v>1323</v>
      </c>
      <c r="C396" s="1" t="s">
        <v>71</v>
      </c>
      <c r="D396" s="1" t="s">
        <v>72</v>
      </c>
      <c r="E396" s="1" t="s">
        <v>1321</v>
      </c>
      <c r="F396" s="1" t="s">
        <v>654</v>
      </c>
      <c r="G396" s="3">
        <v>10</v>
      </c>
      <c r="H396" s="4">
        <v>1</v>
      </c>
      <c r="I396" s="5">
        <v>19.399999999999999</v>
      </c>
      <c r="J396" s="5">
        <v>0</v>
      </c>
      <c r="K396" s="1" t="s">
        <v>36</v>
      </c>
      <c r="L396" s="1" t="s">
        <v>75</v>
      </c>
      <c r="M396" s="1" t="s">
        <v>37</v>
      </c>
      <c r="N396" s="3">
        <v>10</v>
      </c>
      <c r="O396" s="6">
        <f>Table1[[#This Row],[Invoice Qty]]-Table1[[#This Row],[ExFactory Qty]]</f>
        <v>0</v>
      </c>
      <c r="P396" s="1" t="s">
        <v>1255</v>
      </c>
      <c r="Q396" s="2">
        <v>46278.596435185202</v>
      </c>
      <c r="R396" s="2">
        <v>46288</v>
      </c>
      <c r="S396" s="1" t="s">
        <v>39</v>
      </c>
      <c r="U396" s="1" t="s">
        <v>40</v>
      </c>
      <c r="V396" s="1" t="s">
        <v>77</v>
      </c>
      <c r="W396" s="1" t="s">
        <v>40</v>
      </c>
      <c r="X396" s="1" t="s">
        <v>40</v>
      </c>
      <c r="Z396" s="2">
        <v>46287</v>
      </c>
      <c r="AA396" s="1" t="s">
        <v>1324</v>
      </c>
      <c r="AB396" s="2">
        <v>46279</v>
      </c>
      <c r="AC396" s="2">
        <v>46278.659375000003</v>
      </c>
      <c r="AE396" s="1" t="s">
        <v>40</v>
      </c>
      <c r="AF396" s="1" t="s">
        <v>79</v>
      </c>
    </row>
    <row r="397" spans="1:32" ht="12.75" hidden="1" customHeight="1" x14ac:dyDescent="0.2">
      <c r="A397" s="1" t="s">
        <v>30</v>
      </c>
      <c r="B397" s="1" t="s">
        <v>1325</v>
      </c>
      <c r="C397" s="1" t="s">
        <v>71</v>
      </c>
      <c r="D397" s="1" t="s">
        <v>72</v>
      </c>
      <c r="E397" s="1" t="s">
        <v>738</v>
      </c>
      <c r="F397" s="1" t="s">
        <v>384</v>
      </c>
      <c r="G397" s="3">
        <v>2263</v>
      </c>
      <c r="H397" s="4">
        <v>21</v>
      </c>
      <c r="I397" s="5">
        <v>4367.59</v>
      </c>
      <c r="J397" s="5">
        <v>0</v>
      </c>
      <c r="K397" s="1" t="s">
        <v>36</v>
      </c>
      <c r="L397" s="1" t="s">
        <v>75</v>
      </c>
      <c r="M397" s="1" t="s">
        <v>37</v>
      </c>
      <c r="N397" s="3">
        <v>2263</v>
      </c>
      <c r="O397" s="6">
        <f>Table1[[#This Row],[Invoice Qty]]-Table1[[#This Row],[ExFactory Qty]]</f>
        <v>0</v>
      </c>
      <c r="P397" s="1" t="s">
        <v>1233</v>
      </c>
      <c r="Q397" s="2">
        <v>46278.404594907399</v>
      </c>
      <c r="R397" s="2">
        <v>46287</v>
      </c>
      <c r="S397" s="1" t="s">
        <v>39</v>
      </c>
      <c r="U397" s="1" t="s">
        <v>40</v>
      </c>
      <c r="V397" s="1" t="s">
        <v>77</v>
      </c>
      <c r="W397" s="1" t="s">
        <v>40</v>
      </c>
      <c r="X397" s="1" t="s">
        <v>40</v>
      </c>
      <c r="Z397" s="2">
        <v>46289</v>
      </c>
      <c r="AA397" s="1" t="s">
        <v>1326</v>
      </c>
      <c r="AB397" s="2">
        <v>46279</v>
      </c>
      <c r="AC397" s="2">
        <v>46278.659375000003</v>
      </c>
      <c r="AE397" s="1" t="s">
        <v>40</v>
      </c>
      <c r="AF397" s="1" t="s">
        <v>79</v>
      </c>
    </row>
    <row r="398" spans="1:32" ht="12.75" hidden="1" customHeight="1" x14ac:dyDescent="0.2">
      <c r="A398" s="1" t="s">
        <v>30</v>
      </c>
      <c r="B398" s="1" t="s">
        <v>1327</v>
      </c>
      <c r="C398" s="1" t="s">
        <v>71</v>
      </c>
      <c r="D398" s="1" t="s">
        <v>72</v>
      </c>
      <c r="E398" s="1" t="s">
        <v>1328</v>
      </c>
      <c r="F398" s="1" t="s">
        <v>654</v>
      </c>
      <c r="G398" s="3">
        <v>4037</v>
      </c>
      <c r="H398" s="4">
        <v>57</v>
      </c>
      <c r="I398" s="5">
        <v>11263.23</v>
      </c>
      <c r="J398" s="5">
        <v>0</v>
      </c>
      <c r="K398" s="1" t="s">
        <v>36</v>
      </c>
      <c r="L398" s="1" t="s">
        <v>75</v>
      </c>
      <c r="M398" s="1" t="s">
        <v>37</v>
      </c>
      <c r="N398" s="3">
        <v>4037</v>
      </c>
      <c r="O398" s="6">
        <f>Table1[[#This Row],[Invoice Qty]]-Table1[[#This Row],[ExFactory Qty]]</f>
        <v>0</v>
      </c>
      <c r="P398" s="1" t="s">
        <v>1255</v>
      </c>
      <c r="Q398" s="2">
        <v>46278.596435185202</v>
      </c>
      <c r="R398" s="2">
        <v>46288</v>
      </c>
      <c r="S398" s="1" t="s">
        <v>39</v>
      </c>
      <c r="U398" s="1" t="s">
        <v>40</v>
      </c>
      <c r="V398" s="1" t="s">
        <v>77</v>
      </c>
      <c r="W398" s="1" t="s">
        <v>40</v>
      </c>
      <c r="X398" s="1" t="s">
        <v>40</v>
      </c>
      <c r="Z398" s="2">
        <v>46288</v>
      </c>
      <c r="AA398" s="1" t="s">
        <v>1329</v>
      </c>
      <c r="AB398" s="2">
        <v>46279</v>
      </c>
      <c r="AC398" s="2">
        <v>46278.659375000003</v>
      </c>
      <c r="AE398" s="1" t="s">
        <v>40</v>
      </c>
      <c r="AF398" s="1" t="s">
        <v>79</v>
      </c>
    </row>
    <row r="399" spans="1:32" ht="12.75" hidden="1" customHeight="1" x14ac:dyDescent="0.2">
      <c r="A399" s="1" t="s">
        <v>30</v>
      </c>
      <c r="B399" s="1" t="s">
        <v>1330</v>
      </c>
      <c r="C399" s="1" t="s">
        <v>71</v>
      </c>
      <c r="D399" s="1" t="s">
        <v>72</v>
      </c>
      <c r="E399" s="1" t="s">
        <v>1331</v>
      </c>
      <c r="F399" s="1" t="s">
        <v>269</v>
      </c>
      <c r="G399" s="3">
        <v>617</v>
      </c>
      <c r="H399" s="4">
        <v>8</v>
      </c>
      <c r="I399" s="5">
        <v>1888.02</v>
      </c>
      <c r="J399" s="5">
        <v>0</v>
      </c>
      <c r="K399" s="1" t="s">
        <v>36</v>
      </c>
      <c r="L399" s="1" t="s">
        <v>75</v>
      </c>
      <c r="M399" s="1" t="s">
        <v>37</v>
      </c>
      <c r="N399" s="3">
        <v>617</v>
      </c>
      <c r="O399" s="6">
        <f>Table1[[#This Row],[Invoice Qty]]-Table1[[#This Row],[ExFactory Qty]]</f>
        <v>0</v>
      </c>
      <c r="P399" s="1" t="s">
        <v>1276</v>
      </c>
      <c r="Q399" s="2">
        <v>46278.725104166697</v>
      </c>
      <c r="R399" s="2">
        <v>46287</v>
      </c>
      <c r="S399" s="1" t="s">
        <v>39</v>
      </c>
      <c r="U399" s="1" t="s">
        <v>40</v>
      </c>
      <c r="V399" s="1" t="s">
        <v>77</v>
      </c>
      <c r="W399" s="1" t="s">
        <v>40</v>
      </c>
      <c r="X399" s="1" t="s">
        <v>40</v>
      </c>
      <c r="Z399" s="2">
        <v>46285</v>
      </c>
      <c r="AA399" s="1" t="s">
        <v>1332</v>
      </c>
      <c r="AB399" s="2">
        <v>46279</v>
      </c>
      <c r="AC399" s="2">
        <v>46278.659375000003</v>
      </c>
      <c r="AE399" s="1" t="s">
        <v>40</v>
      </c>
      <c r="AF399" s="1" t="s">
        <v>79</v>
      </c>
    </row>
    <row r="400" spans="1:32" ht="12.75" hidden="1" customHeight="1" x14ac:dyDescent="0.2">
      <c r="A400" s="1" t="s">
        <v>30</v>
      </c>
      <c r="B400" s="1" t="s">
        <v>1333</v>
      </c>
      <c r="C400" s="1" t="s">
        <v>71</v>
      </c>
      <c r="D400" s="1" t="s">
        <v>72</v>
      </c>
      <c r="E400" s="1" t="s">
        <v>1334</v>
      </c>
      <c r="F400" s="1" t="s">
        <v>658</v>
      </c>
      <c r="G400" s="3">
        <v>900</v>
      </c>
      <c r="H400" s="4">
        <v>10</v>
      </c>
      <c r="I400" s="5">
        <v>2970</v>
      </c>
      <c r="J400" s="5">
        <v>0</v>
      </c>
      <c r="K400" s="1" t="s">
        <v>36</v>
      </c>
      <c r="L400" s="1" t="s">
        <v>75</v>
      </c>
      <c r="M400" s="1" t="s">
        <v>37</v>
      </c>
      <c r="N400" s="3">
        <v>900</v>
      </c>
      <c r="O400" s="6">
        <f>Table1[[#This Row],[Invoice Qty]]-Table1[[#This Row],[ExFactory Qty]]</f>
        <v>0</v>
      </c>
      <c r="P400" s="1" t="s">
        <v>1233</v>
      </c>
      <c r="Q400" s="2">
        <v>46278.404594907399</v>
      </c>
      <c r="R400" s="2">
        <v>46288</v>
      </c>
      <c r="S400" s="1" t="s">
        <v>39</v>
      </c>
      <c r="U400" s="1" t="s">
        <v>40</v>
      </c>
      <c r="V400" s="1" t="s">
        <v>77</v>
      </c>
      <c r="W400" s="1" t="s">
        <v>40</v>
      </c>
      <c r="X400" s="1" t="s">
        <v>40</v>
      </c>
      <c r="Z400" s="2">
        <v>46288</v>
      </c>
      <c r="AA400" s="1" t="s">
        <v>1335</v>
      </c>
      <c r="AB400" s="2">
        <v>46279</v>
      </c>
      <c r="AC400" s="2">
        <v>46278.659375000003</v>
      </c>
      <c r="AE400" s="1" t="s">
        <v>40</v>
      </c>
      <c r="AF400" s="1" t="s">
        <v>79</v>
      </c>
    </row>
    <row r="401" spans="1:32" ht="12.75" hidden="1" customHeight="1" x14ac:dyDescent="0.2">
      <c r="A401" s="1" t="s">
        <v>30</v>
      </c>
      <c r="B401" s="1" t="s">
        <v>1336</v>
      </c>
      <c r="C401" s="1" t="s">
        <v>71</v>
      </c>
      <c r="D401" s="1" t="s">
        <v>72</v>
      </c>
      <c r="E401" s="1" t="s">
        <v>1334</v>
      </c>
      <c r="F401" s="1" t="s">
        <v>661</v>
      </c>
      <c r="G401" s="3">
        <v>223</v>
      </c>
      <c r="H401" s="4">
        <v>3</v>
      </c>
      <c r="I401" s="5">
        <v>735.9</v>
      </c>
      <c r="J401" s="5">
        <v>0</v>
      </c>
      <c r="K401" s="1" t="s">
        <v>36</v>
      </c>
      <c r="L401" s="1" t="s">
        <v>75</v>
      </c>
      <c r="M401" s="1" t="s">
        <v>37</v>
      </c>
      <c r="N401" s="3">
        <v>223</v>
      </c>
      <c r="O401" s="6">
        <f>Table1[[#This Row],[Invoice Qty]]-Table1[[#This Row],[ExFactory Qty]]</f>
        <v>0</v>
      </c>
      <c r="P401" s="1" t="s">
        <v>1233</v>
      </c>
      <c r="Q401" s="2">
        <v>46278.404594907399</v>
      </c>
      <c r="R401" s="2">
        <v>46288</v>
      </c>
      <c r="S401" s="1" t="s">
        <v>39</v>
      </c>
      <c r="U401" s="1" t="s">
        <v>40</v>
      </c>
      <c r="V401" s="1" t="s">
        <v>77</v>
      </c>
      <c r="W401" s="1" t="s">
        <v>40</v>
      </c>
      <c r="X401" s="1" t="s">
        <v>40</v>
      </c>
      <c r="Z401" s="2">
        <v>46288</v>
      </c>
      <c r="AA401" s="1" t="s">
        <v>1337</v>
      </c>
      <c r="AB401" s="2">
        <v>46279</v>
      </c>
      <c r="AC401" s="2">
        <v>46278.659375000003</v>
      </c>
      <c r="AE401" s="1" t="s">
        <v>40</v>
      </c>
      <c r="AF401" s="1" t="s">
        <v>79</v>
      </c>
    </row>
    <row r="402" spans="1:32" ht="12.75" hidden="1" customHeight="1" x14ac:dyDescent="0.2">
      <c r="A402" s="1" t="s">
        <v>30</v>
      </c>
      <c r="B402" s="1" t="s">
        <v>1338</v>
      </c>
      <c r="C402" s="1" t="s">
        <v>71</v>
      </c>
      <c r="D402" s="1" t="s">
        <v>72</v>
      </c>
      <c r="E402" s="1" t="s">
        <v>1334</v>
      </c>
      <c r="F402" s="1" t="s">
        <v>269</v>
      </c>
      <c r="G402" s="3">
        <v>763</v>
      </c>
      <c r="H402" s="4">
        <v>9</v>
      </c>
      <c r="I402" s="5">
        <v>2517.9</v>
      </c>
      <c r="J402" s="5">
        <v>0</v>
      </c>
      <c r="K402" s="1" t="s">
        <v>36</v>
      </c>
      <c r="L402" s="1" t="s">
        <v>75</v>
      </c>
      <c r="M402" s="1" t="s">
        <v>37</v>
      </c>
      <c r="N402" s="3">
        <v>763</v>
      </c>
      <c r="O402" s="6">
        <f>Table1[[#This Row],[Invoice Qty]]-Table1[[#This Row],[ExFactory Qty]]</f>
        <v>0</v>
      </c>
      <c r="P402" s="1" t="s">
        <v>1276</v>
      </c>
      <c r="Q402" s="2">
        <v>46278.725104166697</v>
      </c>
      <c r="R402" s="2">
        <v>46287</v>
      </c>
      <c r="S402" s="1" t="s">
        <v>39</v>
      </c>
      <c r="U402" s="1" t="s">
        <v>40</v>
      </c>
      <c r="V402" s="1" t="s">
        <v>77</v>
      </c>
      <c r="W402" s="1" t="s">
        <v>40</v>
      </c>
      <c r="X402" s="1" t="s">
        <v>40</v>
      </c>
      <c r="Z402" s="2">
        <v>46287</v>
      </c>
      <c r="AA402" s="1" t="s">
        <v>1339</v>
      </c>
      <c r="AB402" s="2">
        <v>46279</v>
      </c>
      <c r="AC402" s="2">
        <v>46278.659375000003</v>
      </c>
      <c r="AE402" s="1" t="s">
        <v>40</v>
      </c>
      <c r="AF402" s="1" t="s">
        <v>79</v>
      </c>
    </row>
    <row r="403" spans="1:32" ht="12.75" hidden="1" customHeight="1" x14ac:dyDescent="0.2">
      <c r="A403" s="1" t="s">
        <v>30</v>
      </c>
      <c r="B403" s="1" t="s">
        <v>1340</v>
      </c>
      <c r="C403" s="1" t="s">
        <v>71</v>
      </c>
      <c r="D403" s="1" t="s">
        <v>72</v>
      </c>
      <c r="E403" s="1" t="s">
        <v>1334</v>
      </c>
      <c r="F403" s="1" t="s">
        <v>269</v>
      </c>
      <c r="G403" s="3">
        <v>522</v>
      </c>
      <c r="H403" s="4">
        <v>8</v>
      </c>
      <c r="I403" s="5">
        <v>1722.6</v>
      </c>
      <c r="J403" s="5">
        <v>0</v>
      </c>
      <c r="K403" s="1" t="s">
        <v>36</v>
      </c>
      <c r="L403" s="1" t="s">
        <v>75</v>
      </c>
      <c r="M403" s="1" t="s">
        <v>37</v>
      </c>
      <c r="N403" s="3">
        <v>522</v>
      </c>
      <c r="O403" s="6">
        <f>Table1[[#This Row],[Invoice Qty]]-Table1[[#This Row],[ExFactory Qty]]</f>
        <v>0</v>
      </c>
      <c r="P403" s="1" t="s">
        <v>1276</v>
      </c>
      <c r="Q403" s="2">
        <v>46278.725104166697</v>
      </c>
      <c r="R403" s="2">
        <v>46287</v>
      </c>
      <c r="S403" s="1" t="s">
        <v>39</v>
      </c>
      <c r="U403" s="1" t="s">
        <v>40</v>
      </c>
      <c r="V403" s="1" t="s">
        <v>77</v>
      </c>
      <c r="W403" s="1" t="s">
        <v>40</v>
      </c>
      <c r="X403" s="1" t="s">
        <v>40</v>
      </c>
      <c r="Z403" s="2">
        <v>46288</v>
      </c>
      <c r="AA403" s="1" t="s">
        <v>1341</v>
      </c>
      <c r="AB403" s="2">
        <v>46279</v>
      </c>
      <c r="AC403" s="2">
        <v>46278.659375000003</v>
      </c>
      <c r="AE403" s="1" t="s">
        <v>40</v>
      </c>
      <c r="AF403" s="1" t="s">
        <v>79</v>
      </c>
    </row>
    <row r="404" spans="1:32" ht="12.75" hidden="1" customHeight="1" x14ac:dyDescent="0.2">
      <c r="A404" s="1" t="s">
        <v>30</v>
      </c>
      <c r="B404" s="1" t="s">
        <v>1342</v>
      </c>
      <c r="C404" s="1" t="s">
        <v>71</v>
      </c>
      <c r="D404" s="1" t="s">
        <v>457</v>
      </c>
      <c r="E404" s="1" t="s">
        <v>1343</v>
      </c>
      <c r="F404" s="1" t="s">
        <v>727</v>
      </c>
      <c r="G404" s="3">
        <v>103</v>
      </c>
      <c r="H404" s="4">
        <v>3</v>
      </c>
      <c r="I404" s="5">
        <v>434.66</v>
      </c>
      <c r="J404" s="5">
        <v>0</v>
      </c>
      <c r="K404" s="1" t="s">
        <v>36</v>
      </c>
      <c r="L404" s="1" t="s">
        <v>75</v>
      </c>
      <c r="M404" s="1" t="s">
        <v>37</v>
      </c>
      <c r="N404" s="3">
        <v>103</v>
      </c>
      <c r="O404" s="6">
        <f>Table1[[#This Row],[Invoice Qty]]-Table1[[#This Row],[ExFactory Qty]]</f>
        <v>0</v>
      </c>
      <c r="P404" s="1" t="s">
        <v>1233</v>
      </c>
      <c r="Q404" s="2">
        <v>46278.404594907399</v>
      </c>
      <c r="R404" s="2">
        <v>46288</v>
      </c>
      <c r="S404" s="1" t="s">
        <v>39</v>
      </c>
      <c r="U404" s="1" t="s">
        <v>40</v>
      </c>
      <c r="V404" s="1" t="s">
        <v>77</v>
      </c>
      <c r="W404" s="1" t="s">
        <v>40</v>
      </c>
      <c r="X404" s="1" t="s">
        <v>40</v>
      </c>
      <c r="Z404" s="2">
        <v>46288</v>
      </c>
      <c r="AA404" s="1" t="s">
        <v>1344</v>
      </c>
      <c r="AB404" s="2">
        <v>46279</v>
      </c>
      <c r="AC404" s="2">
        <v>46278.659375000003</v>
      </c>
      <c r="AE404" s="1" t="s">
        <v>40</v>
      </c>
      <c r="AF404" s="1" t="s">
        <v>326</v>
      </c>
    </row>
    <row r="405" spans="1:32" ht="12.75" hidden="1" customHeight="1" x14ac:dyDescent="0.2">
      <c r="A405" s="1" t="s">
        <v>30</v>
      </c>
      <c r="B405" s="1" t="s">
        <v>1345</v>
      </c>
      <c r="C405" s="1" t="s">
        <v>766</v>
      </c>
      <c r="D405" s="1" t="s">
        <v>767</v>
      </c>
      <c r="E405" s="1" t="s">
        <v>1346</v>
      </c>
      <c r="F405" s="1" t="s">
        <v>35</v>
      </c>
      <c r="G405" s="3">
        <v>38797</v>
      </c>
      <c r="H405" s="4">
        <v>835</v>
      </c>
      <c r="I405" s="5">
        <v>187336.52</v>
      </c>
      <c r="J405" s="5">
        <v>0</v>
      </c>
      <c r="K405" s="1" t="s">
        <v>36</v>
      </c>
      <c r="L405" s="1" t="s">
        <v>75</v>
      </c>
      <c r="M405" s="1" t="s">
        <v>75</v>
      </c>
      <c r="N405" s="3">
        <v>38797</v>
      </c>
      <c r="O405" s="6">
        <f>Table1[[#This Row],[Invoice Qty]]-Table1[[#This Row],[ExFactory Qty]]</f>
        <v>0</v>
      </c>
      <c r="P405" s="1" t="s">
        <v>1347</v>
      </c>
      <c r="Q405" s="2">
        <v>46278.5155324074</v>
      </c>
      <c r="R405" s="2">
        <v>46285</v>
      </c>
      <c r="S405" s="1" t="s">
        <v>39</v>
      </c>
      <c r="U405" s="1" t="s">
        <v>40</v>
      </c>
      <c r="V405" s="1" t="s">
        <v>64</v>
      </c>
      <c r="W405" s="1" t="s">
        <v>40</v>
      </c>
      <c r="X405" s="1" t="s">
        <v>40</v>
      </c>
      <c r="AA405" s="1" t="s">
        <v>1348</v>
      </c>
      <c r="AB405" s="2">
        <v>46278</v>
      </c>
      <c r="AC405" s="2">
        <v>46278</v>
      </c>
      <c r="AE405" s="1" t="s">
        <v>40</v>
      </c>
      <c r="AF405" s="1" t="s">
        <v>144</v>
      </c>
    </row>
    <row r="406" spans="1:32" ht="12.75" hidden="1" customHeight="1" x14ac:dyDescent="0.2">
      <c r="A406" s="1" t="s">
        <v>30</v>
      </c>
      <c r="B406" s="1" t="s">
        <v>1349</v>
      </c>
      <c r="C406" s="1" t="s">
        <v>244</v>
      </c>
      <c r="D406" s="1" t="s">
        <v>1350</v>
      </c>
      <c r="E406" s="1" t="s">
        <v>1351</v>
      </c>
      <c r="F406" s="1" t="s">
        <v>183</v>
      </c>
      <c r="G406" s="3">
        <v>4550</v>
      </c>
      <c r="H406" s="4">
        <v>455</v>
      </c>
      <c r="I406" s="5">
        <v>15015</v>
      </c>
      <c r="J406" s="5">
        <v>0</v>
      </c>
      <c r="K406" s="1" t="s">
        <v>36</v>
      </c>
      <c r="L406" s="1" t="s">
        <v>51</v>
      </c>
      <c r="M406" s="1" t="s">
        <v>247</v>
      </c>
      <c r="N406" s="3">
        <v>4550</v>
      </c>
      <c r="O406" s="6">
        <f>Table1[[#This Row],[Invoice Qty]]-Table1[[#This Row],[ExFactory Qty]]</f>
        <v>0</v>
      </c>
      <c r="P406" s="1" t="s">
        <v>1352</v>
      </c>
      <c r="Q406" s="2">
        <v>46279.7878009259</v>
      </c>
      <c r="R406" s="2">
        <v>46287</v>
      </c>
      <c r="S406" s="1" t="s">
        <v>39</v>
      </c>
      <c r="U406" s="1" t="s">
        <v>40</v>
      </c>
      <c r="V406" s="1" t="s">
        <v>55</v>
      </c>
      <c r="W406" s="1" t="s">
        <v>40</v>
      </c>
      <c r="X406" s="1" t="s">
        <v>40</v>
      </c>
      <c r="Z406" s="2">
        <v>46287</v>
      </c>
      <c r="AA406" s="1" t="s">
        <v>1353</v>
      </c>
      <c r="AB406" s="2">
        <v>46280</v>
      </c>
      <c r="AC406" s="2">
        <v>46279</v>
      </c>
      <c r="AD406" s="2">
        <v>46282</v>
      </c>
      <c r="AE406" s="1" t="s">
        <v>1354</v>
      </c>
      <c r="AF406" s="1" t="s">
        <v>174</v>
      </c>
    </row>
    <row r="407" spans="1:32" ht="12.75" hidden="1" customHeight="1" x14ac:dyDescent="0.2">
      <c r="A407" s="1" t="s">
        <v>30</v>
      </c>
      <c r="B407" s="1" t="s">
        <v>1355</v>
      </c>
      <c r="C407" s="1" t="s">
        <v>244</v>
      </c>
      <c r="D407" s="1" t="s">
        <v>1350</v>
      </c>
      <c r="E407" s="1" t="s">
        <v>1351</v>
      </c>
      <c r="F407" s="1" t="s">
        <v>262</v>
      </c>
      <c r="G407" s="3">
        <v>1710</v>
      </c>
      <c r="H407" s="4">
        <v>171</v>
      </c>
      <c r="I407" s="5">
        <v>5643</v>
      </c>
      <c r="J407" s="5">
        <v>0</v>
      </c>
      <c r="K407" s="1" t="s">
        <v>36</v>
      </c>
      <c r="L407" s="1" t="s">
        <v>51</v>
      </c>
      <c r="M407" s="1" t="s">
        <v>247</v>
      </c>
      <c r="N407" s="3">
        <v>1710</v>
      </c>
      <c r="O407" s="6">
        <f>Table1[[#This Row],[Invoice Qty]]-Table1[[#This Row],[ExFactory Qty]]</f>
        <v>0</v>
      </c>
      <c r="P407" s="1" t="s">
        <v>1352</v>
      </c>
      <c r="Q407" s="2">
        <v>46279.7878009259</v>
      </c>
      <c r="R407" s="2">
        <v>46290</v>
      </c>
      <c r="S407" s="1" t="s">
        <v>39</v>
      </c>
      <c r="U407" s="1" t="s">
        <v>40</v>
      </c>
      <c r="V407" s="1" t="s">
        <v>55</v>
      </c>
      <c r="W407" s="1" t="s">
        <v>40</v>
      </c>
      <c r="X407" s="1" t="s">
        <v>40</v>
      </c>
      <c r="AA407" s="1" t="s">
        <v>1356</v>
      </c>
      <c r="AB407" s="2">
        <v>46280</v>
      </c>
      <c r="AC407" s="2">
        <v>46279</v>
      </c>
      <c r="AD407" s="2">
        <v>46282</v>
      </c>
      <c r="AE407" s="1" t="s">
        <v>1357</v>
      </c>
      <c r="AF407" s="1" t="s">
        <v>174</v>
      </c>
    </row>
    <row r="408" spans="1:32" ht="12.75" hidden="1" customHeight="1" x14ac:dyDescent="0.2">
      <c r="A408" s="1" t="s">
        <v>30</v>
      </c>
      <c r="B408" s="1" t="s">
        <v>1358</v>
      </c>
      <c r="C408" s="1" t="s">
        <v>244</v>
      </c>
      <c r="D408" s="1" t="s">
        <v>1350</v>
      </c>
      <c r="E408" s="1" t="s">
        <v>1351</v>
      </c>
      <c r="F408" s="1" t="s">
        <v>252</v>
      </c>
      <c r="G408" s="3">
        <v>1850</v>
      </c>
      <c r="H408" s="4">
        <v>185</v>
      </c>
      <c r="I408" s="5">
        <v>6105</v>
      </c>
      <c r="J408" s="5">
        <v>0</v>
      </c>
      <c r="K408" s="1" t="s">
        <v>36</v>
      </c>
      <c r="L408" s="1" t="s">
        <v>51</v>
      </c>
      <c r="M408" s="1" t="s">
        <v>247</v>
      </c>
      <c r="N408" s="3">
        <v>1850</v>
      </c>
      <c r="O408" s="6">
        <f>Table1[[#This Row],[Invoice Qty]]-Table1[[#This Row],[ExFactory Qty]]</f>
        <v>0</v>
      </c>
      <c r="P408" s="1" t="s">
        <v>1352</v>
      </c>
      <c r="Q408" s="2">
        <v>46279.7878009259</v>
      </c>
      <c r="R408" s="2">
        <v>46287</v>
      </c>
      <c r="S408" s="1" t="s">
        <v>39</v>
      </c>
      <c r="U408" s="1" t="s">
        <v>40</v>
      </c>
      <c r="V408" s="1" t="s">
        <v>55</v>
      </c>
      <c r="W408" s="1" t="s">
        <v>40</v>
      </c>
      <c r="X408" s="1" t="s">
        <v>40</v>
      </c>
      <c r="Z408" s="2">
        <v>46287</v>
      </c>
      <c r="AA408" s="1" t="s">
        <v>1359</v>
      </c>
      <c r="AB408" s="2">
        <v>46280</v>
      </c>
      <c r="AC408" s="2">
        <v>46279</v>
      </c>
      <c r="AD408" s="2">
        <v>46282</v>
      </c>
      <c r="AE408" s="1" t="s">
        <v>1360</v>
      </c>
      <c r="AF408" s="1" t="s">
        <v>174</v>
      </c>
    </row>
    <row r="409" spans="1:32" ht="12.75" hidden="1" customHeight="1" x14ac:dyDescent="0.2">
      <c r="A409" s="1" t="s">
        <v>30</v>
      </c>
      <c r="B409" s="1" t="s">
        <v>1361</v>
      </c>
      <c r="C409" s="1" t="s">
        <v>244</v>
      </c>
      <c r="D409" s="1" t="s">
        <v>1350</v>
      </c>
      <c r="E409" s="1" t="s">
        <v>1351</v>
      </c>
      <c r="F409" s="1" t="s">
        <v>262</v>
      </c>
      <c r="G409" s="3">
        <v>270</v>
      </c>
      <c r="H409" s="4">
        <v>27</v>
      </c>
      <c r="I409" s="5">
        <v>891</v>
      </c>
      <c r="J409" s="5">
        <v>0</v>
      </c>
      <c r="K409" s="1" t="s">
        <v>36</v>
      </c>
      <c r="L409" s="1" t="s">
        <v>51</v>
      </c>
      <c r="M409" s="1" t="s">
        <v>247</v>
      </c>
      <c r="N409" s="3">
        <v>270</v>
      </c>
      <c r="O409" s="6">
        <f>Table1[[#This Row],[Invoice Qty]]-Table1[[#This Row],[ExFactory Qty]]</f>
        <v>0</v>
      </c>
      <c r="P409" s="1" t="s">
        <v>1352</v>
      </c>
      <c r="Q409" s="2">
        <v>46279.7878009259</v>
      </c>
      <c r="R409" s="2">
        <v>46288</v>
      </c>
      <c r="S409" s="1" t="s">
        <v>39</v>
      </c>
      <c r="U409" s="1" t="s">
        <v>40</v>
      </c>
      <c r="V409" s="1" t="s">
        <v>55</v>
      </c>
      <c r="W409" s="1" t="s">
        <v>40</v>
      </c>
      <c r="X409" s="1" t="s">
        <v>40</v>
      </c>
      <c r="AA409" s="1" t="s">
        <v>1362</v>
      </c>
      <c r="AB409" s="2">
        <v>46280</v>
      </c>
      <c r="AC409" s="2">
        <v>46279</v>
      </c>
      <c r="AD409" s="2">
        <v>46282</v>
      </c>
      <c r="AE409" s="1" t="s">
        <v>1363</v>
      </c>
      <c r="AF409" s="1" t="s">
        <v>174</v>
      </c>
    </row>
    <row r="410" spans="1:32" ht="12.75" hidden="1" customHeight="1" x14ac:dyDescent="0.2">
      <c r="A410" s="1" t="s">
        <v>30</v>
      </c>
      <c r="B410" s="1" t="s">
        <v>1364</v>
      </c>
      <c r="C410" s="1" t="s">
        <v>244</v>
      </c>
      <c r="D410" s="1" t="s">
        <v>1350</v>
      </c>
      <c r="E410" s="1" t="s">
        <v>1351</v>
      </c>
      <c r="F410" s="1" t="s">
        <v>252</v>
      </c>
      <c r="G410" s="3">
        <v>2160</v>
      </c>
      <c r="H410" s="4">
        <v>216</v>
      </c>
      <c r="I410" s="5">
        <v>7128</v>
      </c>
      <c r="J410" s="5">
        <v>0</v>
      </c>
      <c r="K410" s="1" t="s">
        <v>36</v>
      </c>
      <c r="L410" s="1" t="s">
        <v>51</v>
      </c>
      <c r="M410" s="1" t="s">
        <v>247</v>
      </c>
      <c r="N410" s="3">
        <v>2160</v>
      </c>
      <c r="O410" s="6">
        <f>Table1[[#This Row],[Invoice Qty]]-Table1[[#This Row],[ExFactory Qty]]</f>
        <v>0</v>
      </c>
      <c r="P410" s="1" t="s">
        <v>1352</v>
      </c>
      <c r="Q410" s="2">
        <v>46279.7878009259</v>
      </c>
      <c r="R410" s="2">
        <v>46287</v>
      </c>
      <c r="S410" s="1" t="s">
        <v>39</v>
      </c>
      <c r="U410" s="1" t="s">
        <v>40</v>
      </c>
      <c r="V410" s="1" t="s">
        <v>55</v>
      </c>
      <c r="W410" s="1" t="s">
        <v>40</v>
      </c>
      <c r="X410" s="1" t="s">
        <v>40</v>
      </c>
      <c r="AA410" s="1" t="s">
        <v>1365</v>
      </c>
      <c r="AB410" s="2">
        <v>46280</v>
      </c>
      <c r="AC410" s="2">
        <v>46279</v>
      </c>
      <c r="AD410" s="2">
        <v>46282</v>
      </c>
      <c r="AE410" s="1" t="s">
        <v>1366</v>
      </c>
      <c r="AF410" s="1" t="s">
        <v>174</v>
      </c>
    </row>
    <row r="411" spans="1:32" ht="12.75" hidden="1" customHeight="1" x14ac:dyDescent="0.2">
      <c r="A411" s="1" t="s">
        <v>86</v>
      </c>
      <c r="B411" s="1" t="s">
        <v>1367</v>
      </c>
      <c r="C411" s="1" t="s">
        <v>146</v>
      </c>
      <c r="D411" s="1" t="s">
        <v>147</v>
      </c>
      <c r="E411" s="1" t="s">
        <v>1368</v>
      </c>
      <c r="F411" s="1" t="s">
        <v>124</v>
      </c>
      <c r="G411" s="3">
        <v>2776</v>
      </c>
      <c r="H411" s="4">
        <v>43</v>
      </c>
      <c r="I411" s="5">
        <v>10075.549999999999</v>
      </c>
      <c r="J411" s="5">
        <v>419.81</v>
      </c>
      <c r="K411" s="1" t="s">
        <v>36</v>
      </c>
      <c r="L411" s="1" t="s">
        <v>37</v>
      </c>
      <c r="M411" s="1" t="s">
        <v>37</v>
      </c>
      <c r="N411" s="3">
        <v>2776</v>
      </c>
      <c r="O411" s="6">
        <f>Table1[[#This Row],[Invoice Qty]]-Table1[[#This Row],[ExFactory Qty]]</f>
        <v>0</v>
      </c>
      <c r="P411" s="1" t="s">
        <v>1369</v>
      </c>
      <c r="Q411" s="2">
        <v>46278.5952777778</v>
      </c>
      <c r="S411" s="1" t="s">
        <v>39</v>
      </c>
      <c r="U411" s="1" t="s">
        <v>40</v>
      </c>
      <c r="V411" s="1" t="s">
        <v>64</v>
      </c>
      <c r="W411" s="1" t="s">
        <v>40</v>
      </c>
      <c r="X411" s="1" t="s">
        <v>40</v>
      </c>
      <c r="AA411" s="1" t="s">
        <v>1370</v>
      </c>
      <c r="AB411" s="2">
        <v>46279</v>
      </c>
      <c r="AC411" s="2">
        <v>46279</v>
      </c>
      <c r="AE411" s="1" t="s">
        <v>40</v>
      </c>
      <c r="AF411" s="1" t="s">
        <v>43</v>
      </c>
    </row>
    <row r="412" spans="1:32" ht="12.75" hidden="1" customHeight="1" x14ac:dyDescent="0.2">
      <c r="A412" s="1" t="s">
        <v>86</v>
      </c>
      <c r="B412" s="1" t="s">
        <v>1371</v>
      </c>
      <c r="C412" s="1" t="s">
        <v>138</v>
      </c>
      <c r="D412" s="1" t="s">
        <v>139</v>
      </c>
      <c r="E412" s="1" t="s">
        <v>1372</v>
      </c>
      <c r="F412" s="1" t="s">
        <v>258</v>
      </c>
      <c r="G412" s="3">
        <v>500</v>
      </c>
      <c r="H412" s="4">
        <v>22</v>
      </c>
      <c r="I412" s="5">
        <v>2750</v>
      </c>
      <c r="J412" s="5">
        <v>0</v>
      </c>
      <c r="K412" s="1" t="s">
        <v>36</v>
      </c>
      <c r="L412" s="1" t="s">
        <v>51</v>
      </c>
      <c r="M412" s="1" t="s">
        <v>51</v>
      </c>
      <c r="N412" s="3">
        <v>500</v>
      </c>
      <c r="O412" s="6">
        <f>Table1[[#This Row],[Invoice Qty]]-Table1[[#This Row],[ExFactory Qty]]</f>
        <v>0</v>
      </c>
      <c r="P412" s="1" t="s">
        <v>1373</v>
      </c>
      <c r="Q412" s="2">
        <v>46278.679317129601</v>
      </c>
      <c r="S412" s="1" t="s">
        <v>39</v>
      </c>
      <c r="U412" s="1" t="s">
        <v>40</v>
      </c>
      <c r="V412" s="1" t="s">
        <v>55</v>
      </c>
      <c r="W412" s="1" t="s">
        <v>40</v>
      </c>
      <c r="X412" s="1" t="s">
        <v>40</v>
      </c>
      <c r="AA412" s="1" t="s">
        <v>1374</v>
      </c>
      <c r="AB412" s="2">
        <v>46280</v>
      </c>
      <c r="AC412" s="2">
        <v>46279</v>
      </c>
      <c r="AE412" s="1" t="s">
        <v>40</v>
      </c>
      <c r="AF412" s="1" t="s">
        <v>144</v>
      </c>
    </row>
    <row r="413" spans="1:32" ht="12.75" hidden="1" customHeight="1" x14ac:dyDescent="0.2">
      <c r="A413" s="1" t="s">
        <v>30</v>
      </c>
      <c r="B413" s="1" t="s">
        <v>1375</v>
      </c>
      <c r="C413" s="1" t="s">
        <v>146</v>
      </c>
      <c r="D413" s="1" t="s">
        <v>147</v>
      </c>
      <c r="E413" s="1" t="s">
        <v>1376</v>
      </c>
      <c r="F413" s="1" t="s">
        <v>124</v>
      </c>
      <c r="G413" s="3">
        <v>960</v>
      </c>
      <c r="H413" s="4">
        <v>14</v>
      </c>
      <c r="I413" s="5">
        <v>2800.82</v>
      </c>
      <c r="J413" s="5">
        <v>116.7</v>
      </c>
      <c r="K413" s="1" t="s">
        <v>149</v>
      </c>
      <c r="L413" s="1" t="s">
        <v>37</v>
      </c>
      <c r="M413" s="1" t="s">
        <v>37</v>
      </c>
      <c r="N413" s="3">
        <v>960</v>
      </c>
      <c r="O413" s="6">
        <f>Table1[[#This Row],[Invoice Qty]]-Table1[[#This Row],[ExFactory Qty]]</f>
        <v>0</v>
      </c>
      <c r="P413" s="1" t="s">
        <v>1377</v>
      </c>
      <c r="Q413" s="2">
        <v>46278.592858796299</v>
      </c>
      <c r="R413" s="2">
        <v>46290</v>
      </c>
      <c r="S413" s="1" t="s">
        <v>39</v>
      </c>
      <c r="U413" s="1" t="s">
        <v>40</v>
      </c>
      <c r="V413" s="1" t="s">
        <v>64</v>
      </c>
      <c r="W413" s="1" t="s">
        <v>40</v>
      </c>
      <c r="X413" s="1" t="s">
        <v>40</v>
      </c>
      <c r="AA413" s="1" t="s">
        <v>1378</v>
      </c>
      <c r="AB413" s="2">
        <v>46279</v>
      </c>
      <c r="AC413" s="2">
        <v>46279</v>
      </c>
      <c r="AE413" s="1" t="s">
        <v>40</v>
      </c>
      <c r="AF413" s="1" t="s">
        <v>43</v>
      </c>
    </row>
    <row r="414" spans="1:32" ht="12.75" hidden="1" customHeight="1" x14ac:dyDescent="0.2">
      <c r="A414" s="1" t="s">
        <v>30</v>
      </c>
      <c r="B414" s="1" t="s">
        <v>1379</v>
      </c>
      <c r="C414" s="1" t="s">
        <v>1380</v>
      </c>
      <c r="D414" s="1" t="s">
        <v>1381</v>
      </c>
      <c r="E414" s="1" t="s">
        <v>1382</v>
      </c>
      <c r="F414" s="1" t="s">
        <v>1383</v>
      </c>
      <c r="G414" s="3">
        <v>21096</v>
      </c>
      <c r="H414" s="4">
        <v>1758</v>
      </c>
      <c r="I414" s="5">
        <v>84215.23</v>
      </c>
      <c r="J414" s="5">
        <v>0</v>
      </c>
      <c r="K414" s="1" t="s">
        <v>36</v>
      </c>
      <c r="L414" s="1" t="s">
        <v>37</v>
      </c>
      <c r="M414" s="1" t="s">
        <v>37</v>
      </c>
      <c r="N414" s="3">
        <v>21096</v>
      </c>
      <c r="O414" s="6">
        <f>Table1[[#This Row],[Invoice Qty]]-Table1[[#This Row],[ExFactory Qty]]</f>
        <v>0</v>
      </c>
      <c r="P414" s="1" t="s">
        <v>1384</v>
      </c>
      <c r="Q414" s="2">
        <v>46279.644629629598</v>
      </c>
      <c r="R414" s="2">
        <v>46292</v>
      </c>
      <c r="S414" s="1" t="s">
        <v>39</v>
      </c>
      <c r="U414" s="1" t="s">
        <v>40</v>
      </c>
      <c r="V414" s="1" t="s">
        <v>41</v>
      </c>
      <c r="W414" s="1" t="s">
        <v>40</v>
      </c>
      <c r="X414" s="1" t="s">
        <v>40</v>
      </c>
      <c r="AA414" s="1" t="s">
        <v>1385</v>
      </c>
      <c r="AB414" s="2">
        <v>46280</v>
      </c>
      <c r="AC414" s="2">
        <v>46280</v>
      </c>
      <c r="AE414" s="1" t="s">
        <v>40</v>
      </c>
      <c r="AF414" s="1" t="s">
        <v>43</v>
      </c>
    </row>
    <row r="415" spans="1:32" ht="12.75" hidden="1" customHeight="1" x14ac:dyDescent="0.2">
      <c r="A415" s="1" t="s">
        <v>30</v>
      </c>
      <c r="B415" s="1" t="s">
        <v>1386</v>
      </c>
      <c r="C415" s="1" t="s">
        <v>1387</v>
      </c>
      <c r="D415" s="1" t="s">
        <v>1388</v>
      </c>
      <c r="E415" s="1" t="s">
        <v>1389</v>
      </c>
      <c r="F415" s="1" t="s">
        <v>730</v>
      </c>
      <c r="G415" s="3">
        <v>3493</v>
      </c>
      <c r="H415" s="4">
        <v>271</v>
      </c>
      <c r="I415" s="5">
        <v>39565.449999999997</v>
      </c>
      <c r="J415" s="5">
        <v>0</v>
      </c>
      <c r="K415" s="1" t="s">
        <v>36</v>
      </c>
      <c r="L415" s="1" t="s">
        <v>51</v>
      </c>
      <c r="M415" s="1" t="s">
        <v>37</v>
      </c>
      <c r="N415" s="3">
        <v>3493</v>
      </c>
      <c r="O415" s="6">
        <f>Table1[[#This Row],[Invoice Qty]]-Table1[[#This Row],[ExFactory Qty]]</f>
        <v>0</v>
      </c>
      <c r="P415" s="1" t="s">
        <v>1390</v>
      </c>
      <c r="Q415" s="2">
        <v>46285.6941435185</v>
      </c>
      <c r="R415" s="2">
        <v>46291</v>
      </c>
      <c r="S415" s="1" t="s">
        <v>39</v>
      </c>
      <c r="U415" s="1" t="s">
        <v>40</v>
      </c>
      <c r="V415" s="1" t="s">
        <v>55</v>
      </c>
      <c r="W415" s="1" t="s">
        <v>40</v>
      </c>
      <c r="X415" s="1" t="s">
        <v>40</v>
      </c>
      <c r="AA415" s="1" t="s">
        <v>1391</v>
      </c>
      <c r="AB415" s="2">
        <v>46282</v>
      </c>
      <c r="AC415" s="2">
        <v>46280</v>
      </c>
      <c r="AE415" s="1" t="s">
        <v>40</v>
      </c>
      <c r="AF415" s="1" t="s">
        <v>43</v>
      </c>
    </row>
    <row r="416" spans="1:32" ht="12.75" hidden="1" customHeight="1" x14ac:dyDescent="0.2">
      <c r="A416" s="1" t="s">
        <v>86</v>
      </c>
      <c r="B416" s="1" t="s">
        <v>1392</v>
      </c>
      <c r="C416" s="1" t="s">
        <v>199</v>
      </c>
      <c r="D416" s="1" t="s">
        <v>200</v>
      </c>
      <c r="E416" s="1" t="s">
        <v>1393</v>
      </c>
      <c r="F416" s="1" t="s">
        <v>190</v>
      </c>
      <c r="G416" s="3">
        <v>200</v>
      </c>
      <c r="H416" s="4">
        <v>29</v>
      </c>
      <c r="I416" s="5">
        <v>2750</v>
      </c>
      <c r="J416" s="5">
        <v>0</v>
      </c>
      <c r="K416" s="1" t="s">
        <v>36</v>
      </c>
      <c r="L416" s="1" t="s">
        <v>51</v>
      </c>
      <c r="M416" s="1" t="s">
        <v>51</v>
      </c>
      <c r="N416" s="3">
        <v>200</v>
      </c>
      <c r="O416" s="6">
        <f>Table1[[#This Row],[Invoice Qty]]-Table1[[#This Row],[ExFactory Qty]]</f>
        <v>0</v>
      </c>
      <c r="P416" s="1" t="s">
        <v>1394</v>
      </c>
      <c r="Q416" s="2">
        <v>46279.465509259302</v>
      </c>
      <c r="S416" s="1" t="s">
        <v>39</v>
      </c>
      <c r="U416" s="1" t="s">
        <v>40</v>
      </c>
      <c r="V416" s="1" t="s">
        <v>185</v>
      </c>
      <c r="W416" s="1" t="s">
        <v>40</v>
      </c>
      <c r="X416" s="1" t="s">
        <v>40</v>
      </c>
      <c r="AA416" s="1" t="s">
        <v>1395</v>
      </c>
      <c r="AB416" s="2">
        <v>46280</v>
      </c>
      <c r="AC416" s="2">
        <v>46280</v>
      </c>
      <c r="AE416" s="1" t="s">
        <v>40</v>
      </c>
      <c r="AF416" s="1" t="s">
        <v>43</v>
      </c>
    </row>
    <row r="417" spans="1:32" ht="12.75" hidden="1" customHeight="1" x14ac:dyDescent="0.2">
      <c r="A417" s="1" t="s">
        <v>30</v>
      </c>
      <c r="B417" s="1" t="s">
        <v>1396</v>
      </c>
      <c r="C417" s="1" t="s">
        <v>199</v>
      </c>
      <c r="D417" s="1" t="s">
        <v>200</v>
      </c>
      <c r="E417" s="1" t="s">
        <v>1397</v>
      </c>
      <c r="F417" s="1" t="s">
        <v>183</v>
      </c>
      <c r="G417" s="3">
        <v>333</v>
      </c>
      <c r="H417" s="4">
        <v>48</v>
      </c>
      <c r="I417" s="5">
        <v>4578.75</v>
      </c>
      <c r="J417" s="5">
        <v>0</v>
      </c>
      <c r="K417" s="1" t="s">
        <v>36</v>
      </c>
      <c r="L417" s="1" t="s">
        <v>51</v>
      </c>
      <c r="M417" s="1" t="s">
        <v>51</v>
      </c>
      <c r="N417" s="3">
        <v>333</v>
      </c>
      <c r="O417" s="6">
        <f>Table1[[#This Row],[Invoice Qty]]-Table1[[#This Row],[ExFactory Qty]]</f>
        <v>0</v>
      </c>
      <c r="P417" s="1" t="s">
        <v>1398</v>
      </c>
      <c r="Q417" s="2">
        <v>46279.465590277803</v>
      </c>
      <c r="R417" s="2">
        <v>46283</v>
      </c>
      <c r="S417" s="1" t="s">
        <v>39</v>
      </c>
      <c r="U417" s="1" t="s">
        <v>40</v>
      </c>
      <c r="V417" s="1" t="s">
        <v>185</v>
      </c>
      <c r="W417" s="1" t="s">
        <v>40</v>
      </c>
      <c r="X417" s="1" t="s">
        <v>40</v>
      </c>
      <c r="AA417" s="1" t="s">
        <v>1399</v>
      </c>
      <c r="AB417" s="2">
        <v>46280</v>
      </c>
      <c r="AC417" s="2">
        <v>46280</v>
      </c>
      <c r="AE417" s="1" t="s">
        <v>40</v>
      </c>
      <c r="AF417" s="1" t="s">
        <v>43</v>
      </c>
    </row>
    <row r="418" spans="1:32" ht="12.75" hidden="1" customHeight="1" x14ac:dyDescent="0.2">
      <c r="A418" s="1" t="s">
        <v>30</v>
      </c>
      <c r="B418" s="1" t="s">
        <v>1400</v>
      </c>
      <c r="C418" s="1" t="s">
        <v>199</v>
      </c>
      <c r="D418" s="1" t="s">
        <v>200</v>
      </c>
      <c r="E418" s="1" t="s">
        <v>1401</v>
      </c>
      <c r="F418" s="1" t="s">
        <v>183</v>
      </c>
      <c r="G418" s="3">
        <v>185</v>
      </c>
      <c r="H418" s="4">
        <v>27</v>
      </c>
      <c r="I418" s="5">
        <v>2543.75</v>
      </c>
      <c r="J418" s="5">
        <v>0</v>
      </c>
      <c r="K418" s="1" t="s">
        <v>36</v>
      </c>
      <c r="L418" s="1" t="s">
        <v>51</v>
      </c>
      <c r="M418" s="1" t="s">
        <v>51</v>
      </c>
      <c r="N418" s="3">
        <v>185</v>
      </c>
      <c r="O418" s="6">
        <f>Table1[[#This Row],[Invoice Qty]]-Table1[[#This Row],[ExFactory Qty]]</f>
        <v>0</v>
      </c>
      <c r="P418" s="1" t="s">
        <v>1398</v>
      </c>
      <c r="Q418" s="2">
        <v>46279.465590277803</v>
      </c>
      <c r="R418" s="2">
        <v>46283</v>
      </c>
      <c r="S418" s="1" t="s">
        <v>39</v>
      </c>
      <c r="U418" s="1" t="s">
        <v>40</v>
      </c>
      <c r="V418" s="1" t="s">
        <v>185</v>
      </c>
      <c r="W418" s="1" t="s">
        <v>40</v>
      </c>
      <c r="X418" s="1" t="s">
        <v>40</v>
      </c>
      <c r="AA418" s="1" t="s">
        <v>1402</v>
      </c>
      <c r="AB418" s="2">
        <v>46280</v>
      </c>
      <c r="AC418" s="2">
        <v>46280</v>
      </c>
      <c r="AE418" s="1" t="s">
        <v>40</v>
      </c>
      <c r="AF418" s="1" t="s">
        <v>43</v>
      </c>
    </row>
    <row r="419" spans="1:32" ht="12.75" hidden="1" customHeight="1" x14ac:dyDescent="0.2">
      <c r="A419" s="1" t="s">
        <v>86</v>
      </c>
      <c r="B419" s="1" t="s">
        <v>1403</v>
      </c>
      <c r="C419" s="1" t="s">
        <v>199</v>
      </c>
      <c r="D419" s="1" t="s">
        <v>200</v>
      </c>
      <c r="E419" s="1" t="s">
        <v>1404</v>
      </c>
      <c r="F419" s="1" t="s">
        <v>190</v>
      </c>
      <c r="G419" s="3">
        <v>400</v>
      </c>
      <c r="H419" s="4">
        <v>58</v>
      </c>
      <c r="I419" s="5">
        <v>5500</v>
      </c>
      <c r="J419" s="5">
        <v>0</v>
      </c>
      <c r="K419" s="1" t="s">
        <v>36</v>
      </c>
      <c r="L419" s="1" t="s">
        <v>51</v>
      </c>
      <c r="M419" s="1" t="s">
        <v>51</v>
      </c>
      <c r="N419" s="3">
        <v>400</v>
      </c>
      <c r="O419" s="6">
        <f>Table1[[#This Row],[Invoice Qty]]-Table1[[#This Row],[ExFactory Qty]]</f>
        <v>0</v>
      </c>
      <c r="P419" s="1" t="s">
        <v>1394</v>
      </c>
      <c r="Q419" s="2">
        <v>46279.465509259302</v>
      </c>
      <c r="S419" s="1" t="s">
        <v>39</v>
      </c>
      <c r="U419" s="1" t="s">
        <v>40</v>
      </c>
      <c r="V419" s="1" t="s">
        <v>185</v>
      </c>
      <c r="W419" s="1" t="s">
        <v>40</v>
      </c>
      <c r="X419" s="1" t="s">
        <v>40</v>
      </c>
      <c r="AA419" s="1" t="s">
        <v>1405</v>
      </c>
      <c r="AB419" s="2">
        <v>46280</v>
      </c>
      <c r="AC419" s="2">
        <v>46280</v>
      </c>
      <c r="AE419" s="1" t="s">
        <v>40</v>
      </c>
      <c r="AF419" s="1" t="s">
        <v>43</v>
      </c>
    </row>
    <row r="420" spans="1:32" ht="12.75" hidden="1" customHeight="1" x14ac:dyDescent="0.2">
      <c r="A420" s="1" t="s">
        <v>30</v>
      </c>
      <c r="B420" s="1" t="s">
        <v>1406</v>
      </c>
      <c r="C420" s="1" t="s">
        <v>199</v>
      </c>
      <c r="D420" s="1" t="s">
        <v>200</v>
      </c>
      <c r="E420" s="1" t="s">
        <v>1407</v>
      </c>
      <c r="F420" s="1" t="s">
        <v>183</v>
      </c>
      <c r="G420" s="3">
        <v>431</v>
      </c>
      <c r="H420" s="4">
        <v>62</v>
      </c>
      <c r="I420" s="5">
        <v>5926.25</v>
      </c>
      <c r="J420" s="5">
        <v>0</v>
      </c>
      <c r="K420" s="1" t="s">
        <v>36</v>
      </c>
      <c r="L420" s="1" t="s">
        <v>51</v>
      </c>
      <c r="M420" s="1" t="s">
        <v>51</v>
      </c>
      <c r="N420" s="3">
        <v>431</v>
      </c>
      <c r="O420" s="6">
        <f>Table1[[#This Row],[Invoice Qty]]-Table1[[#This Row],[ExFactory Qty]]</f>
        <v>0</v>
      </c>
      <c r="P420" s="1" t="s">
        <v>1398</v>
      </c>
      <c r="Q420" s="2">
        <v>46279.465590277803</v>
      </c>
      <c r="R420" s="2">
        <v>46283</v>
      </c>
      <c r="S420" s="1" t="s">
        <v>39</v>
      </c>
      <c r="U420" s="1" t="s">
        <v>40</v>
      </c>
      <c r="V420" s="1" t="s">
        <v>185</v>
      </c>
      <c r="W420" s="1" t="s">
        <v>40</v>
      </c>
      <c r="X420" s="1" t="s">
        <v>40</v>
      </c>
      <c r="AA420" s="1" t="s">
        <v>1408</v>
      </c>
      <c r="AB420" s="2">
        <v>46280</v>
      </c>
      <c r="AC420" s="2">
        <v>46280</v>
      </c>
      <c r="AE420" s="1" t="s">
        <v>40</v>
      </c>
      <c r="AF420" s="1" t="s">
        <v>43</v>
      </c>
    </row>
    <row r="421" spans="1:32" ht="12.75" hidden="1" customHeight="1" x14ac:dyDescent="0.2">
      <c r="A421" s="1" t="s">
        <v>30</v>
      </c>
      <c r="B421" s="1" t="s">
        <v>1409</v>
      </c>
      <c r="C421" s="1" t="s">
        <v>199</v>
      </c>
      <c r="D421" s="1" t="s">
        <v>200</v>
      </c>
      <c r="E421" s="1" t="s">
        <v>1410</v>
      </c>
      <c r="F421" s="1" t="s">
        <v>183</v>
      </c>
      <c r="G421" s="3">
        <v>579</v>
      </c>
      <c r="H421" s="4">
        <v>58</v>
      </c>
      <c r="I421" s="5">
        <v>10132.5</v>
      </c>
      <c r="J421" s="5">
        <v>0</v>
      </c>
      <c r="K421" s="1" t="s">
        <v>36</v>
      </c>
      <c r="L421" s="1" t="s">
        <v>51</v>
      </c>
      <c r="M421" s="1" t="s">
        <v>51</v>
      </c>
      <c r="N421" s="3">
        <v>579</v>
      </c>
      <c r="O421" s="6">
        <f>Table1[[#This Row],[Invoice Qty]]-Table1[[#This Row],[ExFactory Qty]]</f>
        <v>0</v>
      </c>
      <c r="P421" s="1" t="s">
        <v>1398</v>
      </c>
      <c r="Q421" s="2">
        <v>46279.465590277803</v>
      </c>
      <c r="R421" s="2">
        <v>46283</v>
      </c>
      <c r="S421" s="1" t="s">
        <v>39</v>
      </c>
      <c r="U421" s="1" t="s">
        <v>40</v>
      </c>
      <c r="V421" s="1" t="s">
        <v>185</v>
      </c>
      <c r="W421" s="1" t="s">
        <v>40</v>
      </c>
      <c r="X421" s="1" t="s">
        <v>40</v>
      </c>
      <c r="AA421" s="1" t="s">
        <v>1411</v>
      </c>
      <c r="AB421" s="2">
        <v>46280</v>
      </c>
      <c r="AC421" s="2">
        <v>46280</v>
      </c>
      <c r="AE421" s="1" t="s">
        <v>40</v>
      </c>
      <c r="AF421" s="1" t="s">
        <v>43</v>
      </c>
    </row>
    <row r="422" spans="1:32" ht="12.75" hidden="1" customHeight="1" x14ac:dyDescent="0.2">
      <c r="A422" s="1" t="s">
        <v>86</v>
      </c>
      <c r="B422" s="1" t="s">
        <v>1412</v>
      </c>
      <c r="C422" s="1" t="s">
        <v>199</v>
      </c>
      <c r="D422" s="1" t="s">
        <v>200</v>
      </c>
      <c r="E422" s="1" t="s">
        <v>1413</v>
      </c>
      <c r="F422" s="1" t="s">
        <v>190</v>
      </c>
      <c r="G422" s="3">
        <v>200</v>
      </c>
      <c r="H422" s="4">
        <v>20</v>
      </c>
      <c r="I422" s="5">
        <v>3500</v>
      </c>
      <c r="J422" s="5">
        <v>0</v>
      </c>
      <c r="K422" s="1" t="s">
        <v>36</v>
      </c>
      <c r="L422" s="1" t="s">
        <v>51</v>
      </c>
      <c r="M422" s="1" t="s">
        <v>51</v>
      </c>
      <c r="N422" s="3">
        <v>200</v>
      </c>
      <c r="O422" s="6">
        <f>Table1[[#This Row],[Invoice Qty]]-Table1[[#This Row],[ExFactory Qty]]</f>
        <v>0</v>
      </c>
      <c r="P422" s="1" t="s">
        <v>1394</v>
      </c>
      <c r="Q422" s="2">
        <v>46279.465509259302</v>
      </c>
      <c r="S422" s="1" t="s">
        <v>39</v>
      </c>
      <c r="U422" s="1" t="s">
        <v>40</v>
      </c>
      <c r="V422" s="1" t="s">
        <v>185</v>
      </c>
      <c r="W422" s="1" t="s">
        <v>40</v>
      </c>
      <c r="X422" s="1" t="s">
        <v>40</v>
      </c>
      <c r="AA422" s="1" t="s">
        <v>1414</v>
      </c>
      <c r="AB422" s="2">
        <v>46280</v>
      </c>
      <c r="AC422" s="2">
        <v>46280</v>
      </c>
      <c r="AE422" s="1" t="s">
        <v>40</v>
      </c>
      <c r="AF422" s="1" t="s">
        <v>43</v>
      </c>
    </row>
    <row r="423" spans="1:32" ht="12.75" hidden="1" customHeight="1" x14ac:dyDescent="0.2">
      <c r="A423" s="1" t="s">
        <v>30</v>
      </c>
      <c r="B423" s="1" t="s">
        <v>1415</v>
      </c>
      <c r="C423" s="1" t="s">
        <v>180</v>
      </c>
      <c r="D423" s="1" t="s">
        <v>806</v>
      </c>
      <c r="E423" s="1" t="s">
        <v>1416</v>
      </c>
      <c r="F423" s="1" t="s">
        <v>190</v>
      </c>
      <c r="G423" s="3">
        <v>648</v>
      </c>
      <c r="H423" s="4">
        <v>50</v>
      </c>
      <c r="I423" s="5">
        <v>3556.22</v>
      </c>
      <c r="J423" s="5">
        <v>72.58</v>
      </c>
      <c r="K423" s="1" t="s">
        <v>36</v>
      </c>
      <c r="L423" s="1" t="s">
        <v>51</v>
      </c>
      <c r="M423" s="1" t="s">
        <v>51</v>
      </c>
      <c r="N423" s="3">
        <v>648</v>
      </c>
      <c r="O423" s="6">
        <f>Table1[[#This Row],[Invoice Qty]]-Table1[[#This Row],[ExFactory Qty]]</f>
        <v>0</v>
      </c>
      <c r="P423" s="1" t="s">
        <v>1417</v>
      </c>
      <c r="Q423" s="2">
        <v>46279.467604166697</v>
      </c>
      <c r="R423" s="2">
        <v>46291</v>
      </c>
      <c r="S423" s="1" t="s">
        <v>39</v>
      </c>
      <c r="U423" s="1" t="s">
        <v>40</v>
      </c>
      <c r="V423" s="1" t="s">
        <v>532</v>
      </c>
      <c r="W423" s="1" t="s">
        <v>40</v>
      </c>
      <c r="X423" s="1" t="s">
        <v>40</v>
      </c>
      <c r="AA423" s="1" t="s">
        <v>1418</v>
      </c>
      <c r="AB423" s="2">
        <v>46280</v>
      </c>
      <c r="AC423" s="2">
        <v>46280</v>
      </c>
      <c r="AE423" s="1" t="s">
        <v>40</v>
      </c>
      <c r="AF423" s="1" t="s">
        <v>187</v>
      </c>
    </row>
    <row r="424" spans="1:32" ht="12.75" customHeight="1" x14ac:dyDescent="0.2">
      <c r="A424" s="1" t="s">
        <v>30</v>
      </c>
      <c r="B424" s="1">
        <v>2610419</v>
      </c>
      <c r="C424" s="1" t="s">
        <v>180</v>
      </c>
      <c r="D424" s="1" t="s">
        <v>806</v>
      </c>
      <c r="E424" s="1" t="s">
        <v>1419</v>
      </c>
      <c r="F424" s="1" t="s">
        <v>183</v>
      </c>
      <c r="G424" s="3">
        <v>7389</v>
      </c>
      <c r="H424" s="4">
        <v>337</v>
      </c>
      <c r="I424" s="5">
        <v>40550.83</v>
      </c>
      <c r="J424" s="5">
        <v>827.57</v>
      </c>
      <c r="K424" s="1" t="s">
        <v>36</v>
      </c>
      <c r="L424" s="1" t="s">
        <v>51</v>
      </c>
      <c r="M424" s="1" t="s">
        <v>51</v>
      </c>
      <c r="N424" s="3">
        <v>7352</v>
      </c>
      <c r="O424" s="6">
        <f>Table1[[#This Row],[Invoice Qty]]-Table1[[#This Row],[ExFactory Qty]]</f>
        <v>37</v>
      </c>
      <c r="P424" s="8" t="s">
        <v>1417</v>
      </c>
      <c r="Q424" s="2">
        <v>46279.467604166697</v>
      </c>
      <c r="R424" s="2">
        <v>46292</v>
      </c>
      <c r="S424" s="1" t="s">
        <v>39</v>
      </c>
      <c r="U424" s="1" t="s">
        <v>40</v>
      </c>
      <c r="V424" s="1" t="s">
        <v>532</v>
      </c>
      <c r="W424" s="1" t="s">
        <v>40</v>
      </c>
      <c r="X424" s="1" t="s">
        <v>40</v>
      </c>
      <c r="AA424" s="1" t="s">
        <v>1420</v>
      </c>
      <c r="AB424" s="2">
        <v>46280</v>
      </c>
      <c r="AC424" s="2">
        <v>46280</v>
      </c>
      <c r="AE424" s="1" t="s">
        <v>40</v>
      </c>
      <c r="AF424" s="1" t="s">
        <v>187</v>
      </c>
    </row>
    <row r="425" spans="1:32" ht="12.75" hidden="1" customHeight="1" x14ac:dyDescent="0.2">
      <c r="A425" s="1" t="s">
        <v>86</v>
      </c>
      <c r="B425" s="1" t="s">
        <v>1421</v>
      </c>
      <c r="C425" s="1" t="s">
        <v>199</v>
      </c>
      <c r="D425" s="1" t="s">
        <v>200</v>
      </c>
      <c r="E425" s="1" t="s">
        <v>1422</v>
      </c>
      <c r="F425" s="1" t="s">
        <v>1423</v>
      </c>
      <c r="G425" s="3">
        <v>1021</v>
      </c>
      <c r="H425" s="4">
        <v>50</v>
      </c>
      <c r="I425" s="5">
        <v>5606.8</v>
      </c>
      <c r="J425" s="5">
        <v>0</v>
      </c>
      <c r="K425" s="1" t="s">
        <v>50</v>
      </c>
      <c r="L425" s="1" t="s">
        <v>51</v>
      </c>
      <c r="M425" s="1" t="s">
        <v>51</v>
      </c>
      <c r="N425" s="3">
        <v>1021</v>
      </c>
      <c r="O425" s="6">
        <f>Table1[[#This Row],[Invoice Qty]]-Table1[[#This Row],[ExFactory Qty]]</f>
        <v>0</v>
      </c>
      <c r="P425" s="1" t="s">
        <v>1424</v>
      </c>
      <c r="Q425" s="2">
        <v>46282.780428240701</v>
      </c>
      <c r="S425" s="1" t="s">
        <v>39</v>
      </c>
      <c r="U425" s="1" t="s">
        <v>40</v>
      </c>
      <c r="V425" s="1" t="s">
        <v>185</v>
      </c>
      <c r="W425" s="1" t="s">
        <v>40</v>
      </c>
      <c r="X425" s="1" t="s">
        <v>40</v>
      </c>
      <c r="AA425" s="1" t="s">
        <v>1425</v>
      </c>
      <c r="AB425" s="2">
        <v>46280</v>
      </c>
      <c r="AC425" s="2">
        <v>46280</v>
      </c>
      <c r="AE425" s="1" t="s">
        <v>40</v>
      </c>
      <c r="AF425" s="1" t="s">
        <v>43</v>
      </c>
    </row>
    <row r="426" spans="1:32" ht="12.75" hidden="1" customHeight="1" x14ac:dyDescent="0.2">
      <c r="A426" s="1" t="s">
        <v>86</v>
      </c>
      <c r="B426" s="1" t="s">
        <v>1426</v>
      </c>
      <c r="C426" s="1" t="s">
        <v>199</v>
      </c>
      <c r="D426" s="1" t="s">
        <v>200</v>
      </c>
      <c r="E426" s="1" t="s">
        <v>1427</v>
      </c>
      <c r="F426" s="1" t="s">
        <v>1423</v>
      </c>
      <c r="G426" s="3">
        <v>420</v>
      </c>
      <c r="H426" s="4">
        <v>19</v>
      </c>
      <c r="I426" s="5">
        <v>2305.8000000000002</v>
      </c>
      <c r="J426" s="5">
        <v>0</v>
      </c>
      <c r="K426" s="1" t="s">
        <v>50</v>
      </c>
      <c r="L426" s="1" t="s">
        <v>51</v>
      </c>
      <c r="M426" s="1" t="s">
        <v>51</v>
      </c>
      <c r="N426" s="3">
        <v>420</v>
      </c>
      <c r="O426" s="6">
        <f>Table1[[#This Row],[Invoice Qty]]-Table1[[#This Row],[ExFactory Qty]]</f>
        <v>0</v>
      </c>
      <c r="P426" s="1" t="s">
        <v>1424</v>
      </c>
      <c r="Q426" s="2">
        <v>46282.780428240701</v>
      </c>
      <c r="S426" s="1" t="s">
        <v>39</v>
      </c>
      <c r="U426" s="1" t="s">
        <v>40</v>
      </c>
      <c r="V426" s="1" t="s">
        <v>185</v>
      </c>
      <c r="W426" s="1" t="s">
        <v>40</v>
      </c>
      <c r="X426" s="1" t="s">
        <v>40</v>
      </c>
      <c r="AA426" s="1" t="s">
        <v>1428</v>
      </c>
      <c r="AB426" s="2">
        <v>46280</v>
      </c>
      <c r="AC426" s="2">
        <v>46280</v>
      </c>
      <c r="AE426" s="1" t="s">
        <v>40</v>
      </c>
      <c r="AF426" s="1" t="s">
        <v>43</v>
      </c>
    </row>
    <row r="427" spans="1:32" ht="12.75" hidden="1" customHeight="1" x14ac:dyDescent="0.2">
      <c r="A427" s="1" t="s">
        <v>86</v>
      </c>
      <c r="B427" s="1" t="s">
        <v>1429</v>
      </c>
      <c r="C427" s="1" t="s">
        <v>199</v>
      </c>
      <c r="D427" s="1" t="s">
        <v>200</v>
      </c>
      <c r="E427" s="1" t="s">
        <v>1401</v>
      </c>
      <c r="F427" s="1" t="s">
        <v>1423</v>
      </c>
      <c r="G427" s="3">
        <v>1297</v>
      </c>
      <c r="H427" s="4">
        <v>202</v>
      </c>
      <c r="I427" s="5">
        <v>17833.75</v>
      </c>
      <c r="J427" s="5">
        <v>0</v>
      </c>
      <c r="K427" s="1" t="s">
        <v>50</v>
      </c>
      <c r="L427" s="1" t="s">
        <v>51</v>
      </c>
      <c r="M427" s="1" t="s">
        <v>51</v>
      </c>
      <c r="N427" s="3">
        <v>1297</v>
      </c>
      <c r="O427" s="6">
        <f>Table1[[#This Row],[Invoice Qty]]-Table1[[#This Row],[ExFactory Qty]]</f>
        <v>0</v>
      </c>
      <c r="P427" s="1" t="s">
        <v>1430</v>
      </c>
      <c r="Q427" s="2">
        <v>46282.792858796303</v>
      </c>
      <c r="S427" s="1" t="s">
        <v>39</v>
      </c>
      <c r="U427" s="1" t="s">
        <v>40</v>
      </c>
      <c r="V427" s="1" t="s">
        <v>185</v>
      </c>
      <c r="W427" s="1" t="s">
        <v>40</v>
      </c>
      <c r="X427" s="1" t="s">
        <v>40</v>
      </c>
      <c r="AA427" s="1" t="s">
        <v>1431</v>
      </c>
      <c r="AB427" s="2">
        <v>46280</v>
      </c>
      <c r="AC427" s="2">
        <v>46280</v>
      </c>
      <c r="AE427" s="1" t="s">
        <v>40</v>
      </c>
      <c r="AF427" s="1" t="s">
        <v>43</v>
      </c>
    </row>
    <row r="428" spans="1:32" ht="12.75" hidden="1" customHeight="1" x14ac:dyDescent="0.2">
      <c r="A428" s="1" t="s">
        <v>86</v>
      </c>
      <c r="B428" s="1" t="s">
        <v>1432</v>
      </c>
      <c r="C428" s="1" t="s">
        <v>199</v>
      </c>
      <c r="D428" s="1" t="s">
        <v>200</v>
      </c>
      <c r="E428" s="1" t="s">
        <v>1404</v>
      </c>
      <c r="F428" s="1" t="s">
        <v>190</v>
      </c>
      <c r="G428" s="3">
        <v>800</v>
      </c>
      <c r="H428" s="4">
        <v>116</v>
      </c>
      <c r="I428" s="5">
        <v>11000</v>
      </c>
      <c r="J428" s="5">
        <v>0</v>
      </c>
      <c r="K428" s="1" t="s">
        <v>50</v>
      </c>
      <c r="L428" s="1" t="s">
        <v>51</v>
      </c>
      <c r="M428" s="1" t="s">
        <v>51</v>
      </c>
      <c r="N428" s="3">
        <v>800</v>
      </c>
      <c r="O428" s="6">
        <f>Table1[[#This Row],[Invoice Qty]]-Table1[[#This Row],[ExFactory Qty]]</f>
        <v>0</v>
      </c>
      <c r="P428" s="1" t="s">
        <v>1433</v>
      </c>
      <c r="Q428" s="2">
        <v>46284.373541666697</v>
      </c>
      <c r="S428" s="1" t="s">
        <v>39</v>
      </c>
      <c r="U428" s="1" t="s">
        <v>40</v>
      </c>
      <c r="V428" s="1" t="s">
        <v>185</v>
      </c>
      <c r="W428" s="1" t="s">
        <v>40</v>
      </c>
      <c r="X428" s="1" t="s">
        <v>40</v>
      </c>
      <c r="AA428" s="1" t="s">
        <v>1434</v>
      </c>
      <c r="AB428" s="2">
        <v>46280</v>
      </c>
      <c r="AC428" s="2">
        <v>46280</v>
      </c>
      <c r="AE428" s="1" t="s">
        <v>40</v>
      </c>
      <c r="AF428" s="1" t="s">
        <v>43</v>
      </c>
    </row>
    <row r="429" spans="1:32" ht="12.75" hidden="1" customHeight="1" x14ac:dyDescent="0.2">
      <c r="A429" s="1" t="s">
        <v>86</v>
      </c>
      <c r="B429" s="1" t="s">
        <v>1435</v>
      </c>
      <c r="C429" s="1" t="s">
        <v>199</v>
      </c>
      <c r="D429" s="1" t="s">
        <v>200</v>
      </c>
      <c r="E429" s="1" t="s">
        <v>1407</v>
      </c>
      <c r="F429" s="1" t="s">
        <v>1423</v>
      </c>
      <c r="G429" s="3">
        <v>1297</v>
      </c>
      <c r="H429" s="4">
        <v>202</v>
      </c>
      <c r="I429" s="5">
        <v>17833.75</v>
      </c>
      <c r="J429" s="5">
        <v>0</v>
      </c>
      <c r="K429" s="1" t="s">
        <v>50</v>
      </c>
      <c r="L429" s="1" t="s">
        <v>51</v>
      </c>
      <c r="M429" s="1" t="s">
        <v>51</v>
      </c>
      <c r="N429" s="3">
        <v>1297</v>
      </c>
      <c r="O429" s="6">
        <f>Table1[[#This Row],[Invoice Qty]]-Table1[[#This Row],[ExFactory Qty]]</f>
        <v>0</v>
      </c>
      <c r="P429" s="1" t="s">
        <v>1430</v>
      </c>
      <c r="Q429" s="2">
        <v>46282.792858796303</v>
      </c>
      <c r="S429" s="1" t="s">
        <v>39</v>
      </c>
      <c r="U429" s="1" t="s">
        <v>40</v>
      </c>
      <c r="V429" s="1" t="s">
        <v>185</v>
      </c>
      <c r="W429" s="1" t="s">
        <v>40</v>
      </c>
      <c r="X429" s="1" t="s">
        <v>40</v>
      </c>
      <c r="AA429" s="1" t="s">
        <v>1436</v>
      </c>
      <c r="AB429" s="2">
        <v>46280</v>
      </c>
      <c r="AC429" s="2">
        <v>46280</v>
      </c>
      <c r="AE429" s="1" t="s">
        <v>40</v>
      </c>
      <c r="AF429" s="1" t="s">
        <v>43</v>
      </c>
    </row>
    <row r="430" spans="1:32" ht="12.75" hidden="1" customHeight="1" x14ac:dyDescent="0.2">
      <c r="A430" s="1" t="s">
        <v>86</v>
      </c>
      <c r="B430" s="1" t="s">
        <v>1437</v>
      </c>
      <c r="C430" s="1" t="s">
        <v>199</v>
      </c>
      <c r="D430" s="1" t="s">
        <v>200</v>
      </c>
      <c r="E430" s="1" t="s">
        <v>1410</v>
      </c>
      <c r="F430" s="1" t="s">
        <v>1423</v>
      </c>
      <c r="G430" s="3">
        <v>858</v>
      </c>
      <c r="H430" s="4">
        <v>146</v>
      </c>
      <c r="I430" s="5">
        <v>15015</v>
      </c>
      <c r="J430" s="5">
        <v>0</v>
      </c>
      <c r="K430" s="1" t="s">
        <v>50</v>
      </c>
      <c r="L430" s="1" t="s">
        <v>51</v>
      </c>
      <c r="M430" s="1" t="s">
        <v>51</v>
      </c>
      <c r="N430" s="3">
        <v>858</v>
      </c>
      <c r="O430" s="6">
        <f>Table1[[#This Row],[Invoice Qty]]-Table1[[#This Row],[ExFactory Qty]]</f>
        <v>0</v>
      </c>
      <c r="P430" s="1" t="s">
        <v>1424</v>
      </c>
      <c r="Q430" s="2">
        <v>46282.780428240701</v>
      </c>
      <c r="S430" s="1" t="s">
        <v>39</v>
      </c>
      <c r="U430" s="1" t="s">
        <v>40</v>
      </c>
      <c r="V430" s="1" t="s">
        <v>185</v>
      </c>
      <c r="W430" s="1" t="s">
        <v>40</v>
      </c>
      <c r="X430" s="1" t="s">
        <v>40</v>
      </c>
      <c r="AA430" s="1" t="s">
        <v>1438</v>
      </c>
      <c r="AB430" s="2">
        <v>46280</v>
      </c>
      <c r="AC430" s="2">
        <v>46280</v>
      </c>
      <c r="AE430" s="1" t="s">
        <v>40</v>
      </c>
      <c r="AF430" s="1" t="s">
        <v>43</v>
      </c>
    </row>
    <row r="431" spans="1:32" ht="12.75" hidden="1" customHeight="1" x14ac:dyDescent="0.2">
      <c r="A431" s="1" t="s">
        <v>86</v>
      </c>
      <c r="B431" s="1" t="s">
        <v>1439</v>
      </c>
      <c r="C431" s="1" t="s">
        <v>199</v>
      </c>
      <c r="D431" s="1" t="s">
        <v>200</v>
      </c>
      <c r="E431" s="1" t="s">
        <v>1413</v>
      </c>
      <c r="F431" s="1" t="s">
        <v>190</v>
      </c>
      <c r="G431" s="3">
        <v>400</v>
      </c>
      <c r="H431" s="4">
        <v>40</v>
      </c>
      <c r="I431" s="5">
        <v>7000</v>
      </c>
      <c r="J431" s="5">
        <v>0</v>
      </c>
      <c r="K431" s="1" t="s">
        <v>50</v>
      </c>
      <c r="L431" s="1" t="s">
        <v>51</v>
      </c>
      <c r="M431" s="1" t="s">
        <v>51</v>
      </c>
      <c r="N431" s="3">
        <v>400</v>
      </c>
      <c r="O431" s="6">
        <f>Table1[[#This Row],[Invoice Qty]]-Table1[[#This Row],[ExFactory Qty]]</f>
        <v>0</v>
      </c>
      <c r="P431" s="1" t="s">
        <v>1440</v>
      </c>
      <c r="Q431" s="2">
        <v>46284.373935185198</v>
      </c>
      <c r="S431" s="1" t="s">
        <v>39</v>
      </c>
      <c r="U431" s="1" t="s">
        <v>40</v>
      </c>
      <c r="V431" s="1" t="s">
        <v>185</v>
      </c>
      <c r="W431" s="1" t="s">
        <v>40</v>
      </c>
      <c r="X431" s="1" t="s">
        <v>40</v>
      </c>
      <c r="AA431" s="1" t="s">
        <v>1441</v>
      </c>
      <c r="AB431" s="2">
        <v>46280</v>
      </c>
      <c r="AC431" s="2">
        <v>46280</v>
      </c>
      <c r="AE431" s="1" t="s">
        <v>40</v>
      </c>
      <c r="AF431" s="1" t="s">
        <v>43</v>
      </c>
    </row>
    <row r="432" spans="1:32" ht="12.75" hidden="1" customHeight="1" x14ac:dyDescent="0.2">
      <c r="A432" s="1" t="s">
        <v>86</v>
      </c>
      <c r="B432" s="1" t="s">
        <v>1442</v>
      </c>
      <c r="C432" s="1" t="s">
        <v>199</v>
      </c>
      <c r="D432" s="1" t="s">
        <v>200</v>
      </c>
      <c r="E432" s="1" t="s">
        <v>1393</v>
      </c>
      <c r="F432" s="1" t="s">
        <v>190</v>
      </c>
      <c r="G432" s="3">
        <v>400</v>
      </c>
      <c r="H432" s="4">
        <v>57</v>
      </c>
      <c r="I432" s="5">
        <v>5500</v>
      </c>
      <c r="J432" s="5">
        <v>0</v>
      </c>
      <c r="K432" s="1" t="s">
        <v>50</v>
      </c>
      <c r="L432" s="1" t="s">
        <v>51</v>
      </c>
      <c r="M432" s="1" t="s">
        <v>51</v>
      </c>
      <c r="N432" s="3">
        <v>400</v>
      </c>
      <c r="O432" s="6">
        <f>Table1[[#This Row],[Invoice Qty]]-Table1[[#This Row],[ExFactory Qty]]</f>
        <v>0</v>
      </c>
      <c r="P432" s="1" t="s">
        <v>1440</v>
      </c>
      <c r="Q432" s="2">
        <v>46284.373935185198</v>
      </c>
      <c r="S432" s="1" t="s">
        <v>39</v>
      </c>
      <c r="U432" s="1" t="s">
        <v>40</v>
      </c>
      <c r="V432" s="1" t="s">
        <v>185</v>
      </c>
      <c r="W432" s="1" t="s">
        <v>40</v>
      </c>
      <c r="X432" s="1" t="s">
        <v>40</v>
      </c>
      <c r="AA432" s="1" t="s">
        <v>1443</v>
      </c>
      <c r="AB432" s="2">
        <v>46280</v>
      </c>
      <c r="AC432" s="2">
        <v>46280</v>
      </c>
      <c r="AE432" s="1" t="s">
        <v>40</v>
      </c>
      <c r="AF432" s="1" t="s">
        <v>43</v>
      </c>
    </row>
    <row r="433" spans="1:32" ht="12.75" hidden="1" customHeight="1" x14ac:dyDescent="0.2">
      <c r="A433" s="1" t="s">
        <v>86</v>
      </c>
      <c r="B433" s="1" t="s">
        <v>1444</v>
      </c>
      <c r="C433" s="1" t="s">
        <v>199</v>
      </c>
      <c r="D433" s="1" t="s">
        <v>200</v>
      </c>
      <c r="E433" s="1" t="s">
        <v>1397</v>
      </c>
      <c r="F433" s="1" t="s">
        <v>1423</v>
      </c>
      <c r="G433" s="3">
        <v>782</v>
      </c>
      <c r="H433" s="4">
        <v>125</v>
      </c>
      <c r="I433" s="5">
        <v>10752.5</v>
      </c>
      <c r="J433" s="5">
        <v>0</v>
      </c>
      <c r="K433" s="1" t="s">
        <v>50</v>
      </c>
      <c r="L433" s="1" t="s">
        <v>51</v>
      </c>
      <c r="M433" s="1" t="s">
        <v>51</v>
      </c>
      <c r="N433" s="3">
        <v>782</v>
      </c>
      <c r="O433" s="6">
        <f>Table1[[#This Row],[Invoice Qty]]-Table1[[#This Row],[ExFactory Qty]]</f>
        <v>0</v>
      </c>
      <c r="P433" s="1" t="s">
        <v>1424</v>
      </c>
      <c r="Q433" s="2">
        <v>46282.780428240701</v>
      </c>
      <c r="S433" s="1" t="s">
        <v>39</v>
      </c>
      <c r="U433" s="1" t="s">
        <v>40</v>
      </c>
      <c r="V433" s="1" t="s">
        <v>185</v>
      </c>
      <c r="W433" s="1" t="s">
        <v>40</v>
      </c>
      <c r="X433" s="1" t="s">
        <v>40</v>
      </c>
      <c r="AA433" s="1" t="s">
        <v>1445</v>
      </c>
      <c r="AB433" s="2">
        <v>46280</v>
      </c>
      <c r="AC433" s="2">
        <v>46280</v>
      </c>
      <c r="AE433" s="1" t="s">
        <v>40</v>
      </c>
      <c r="AF433" s="1" t="s">
        <v>43</v>
      </c>
    </row>
    <row r="434" spans="1:32" ht="12.75" hidden="1" customHeight="1" x14ac:dyDescent="0.2">
      <c r="A434" s="1" t="s">
        <v>86</v>
      </c>
      <c r="B434" s="1" t="s">
        <v>1446</v>
      </c>
      <c r="C434" s="1" t="s">
        <v>199</v>
      </c>
      <c r="D434" s="1" t="s">
        <v>200</v>
      </c>
      <c r="E434" s="1" t="s">
        <v>883</v>
      </c>
      <c r="F434" s="1" t="s">
        <v>1423</v>
      </c>
      <c r="G434" s="3">
        <v>622</v>
      </c>
      <c r="H434" s="4">
        <v>50</v>
      </c>
      <c r="I434" s="5">
        <v>4136.3</v>
      </c>
      <c r="J434" s="5">
        <v>0</v>
      </c>
      <c r="K434" s="1" t="s">
        <v>50</v>
      </c>
      <c r="L434" s="1" t="s">
        <v>51</v>
      </c>
      <c r="M434" s="1" t="s">
        <v>51</v>
      </c>
      <c r="N434" s="3">
        <v>622</v>
      </c>
      <c r="O434" s="6">
        <f>Table1[[#This Row],[Invoice Qty]]-Table1[[#This Row],[ExFactory Qty]]</f>
        <v>0</v>
      </c>
      <c r="P434" s="1" t="s">
        <v>1430</v>
      </c>
      <c r="Q434" s="2">
        <v>46282.792858796303</v>
      </c>
      <c r="S434" s="1" t="s">
        <v>39</v>
      </c>
      <c r="U434" s="1" t="s">
        <v>40</v>
      </c>
      <c r="V434" s="1" t="s">
        <v>185</v>
      </c>
      <c r="W434" s="1" t="s">
        <v>40</v>
      </c>
      <c r="X434" s="1" t="s">
        <v>40</v>
      </c>
      <c r="AA434" s="1" t="s">
        <v>1447</v>
      </c>
      <c r="AB434" s="2">
        <v>46280</v>
      </c>
      <c r="AC434" s="2">
        <v>46280</v>
      </c>
      <c r="AE434" s="1" t="s">
        <v>40</v>
      </c>
      <c r="AF434" s="1" t="s">
        <v>43</v>
      </c>
    </row>
    <row r="435" spans="1:32" ht="12.75" hidden="1" customHeight="1" x14ac:dyDescent="0.2">
      <c r="A435" s="1" t="s">
        <v>86</v>
      </c>
      <c r="B435" s="1" t="s">
        <v>1448</v>
      </c>
      <c r="C435" s="1" t="s">
        <v>199</v>
      </c>
      <c r="D435" s="1" t="s">
        <v>200</v>
      </c>
      <c r="E435" s="1" t="s">
        <v>887</v>
      </c>
      <c r="F435" s="1" t="s">
        <v>1423</v>
      </c>
      <c r="G435" s="3">
        <v>256</v>
      </c>
      <c r="H435" s="4">
        <v>19</v>
      </c>
      <c r="I435" s="5">
        <v>1702.4</v>
      </c>
      <c r="J435" s="5">
        <v>0</v>
      </c>
      <c r="K435" s="1" t="s">
        <v>50</v>
      </c>
      <c r="L435" s="1" t="s">
        <v>51</v>
      </c>
      <c r="M435" s="1" t="s">
        <v>51</v>
      </c>
      <c r="N435" s="3">
        <v>256</v>
      </c>
      <c r="O435" s="6">
        <f>Table1[[#This Row],[Invoice Qty]]-Table1[[#This Row],[ExFactory Qty]]</f>
        <v>0</v>
      </c>
      <c r="P435" s="1" t="s">
        <v>1430</v>
      </c>
      <c r="Q435" s="2">
        <v>46282.792858796303</v>
      </c>
      <c r="S435" s="1" t="s">
        <v>39</v>
      </c>
      <c r="U435" s="1" t="s">
        <v>40</v>
      </c>
      <c r="V435" s="1" t="s">
        <v>185</v>
      </c>
      <c r="W435" s="1" t="s">
        <v>40</v>
      </c>
      <c r="X435" s="1" t="s">
        <v>40</v>
      </c>
      <c r="AA435" s="1" t="s">
        <v>1449</v>
      </c>
      <c r="AB435" s="2">
        <v>46280</v>
      </c>
      <c r="AC435" s="2">
        <v>46280</v>
      </c>
      <c r="AE435" s="1" t="s">
        <v>40</v>
      </c>
      <c r="AF435" s="1" t="s">
        <v>43</v>
      </c>
    </row>
    <row r="436" spans="1:32" ht="12.75" hidden="1" customHeight="1" x14ac:dyDescent="0.2">
      <c r="A436" s="1" t="s">
        <v>86</v>
      </c>
      <c r="B436" s="1" t="s">
        <v>1450</v>
      </c>
      <c r="C436" s="1" t="s">
        <v>32</v>
      </c>
      <c r="D436" s="1" t="s">
        <v>33</v>
      </c>
      <c r="E436" s="1" t="s">
        <v>1451</v>
      </c>
      <c r="F436" s="1" t="s">
        <v>35</v>
      </c>
      <c r="G436" s="3">
        <v>925</v>
      </c>
      <c r="H436" s="4">
        <v>32</v>
      </c>
      <c r="I436" s="5">
        <v>4625</v>
      </c>
      <c r="J436" s="5">
        <v>0</v>
      </c>
      <c r="K436" s="1" t="s">
        <v>36</v>
      </c>
      <c r="L436" s="1" t="s">
        <v>37</v>
      </c>
      <c r="M436" s="1" t="s">
        <v>37</v>
      </c>
      <c r="N436" s="3">
        <v>925</v>
      </c>
      <c r="O436" s="6">
        <f>Table1[[#This Row],[Invoice Qty]]-Table1[[#This Row],[ExFactory Qty]]</f>
        <v>0</v>
      </c>
      <c r="P436" s="1" t="s">
        <v>105</v>
      </c>
      <c r="Q436" s="2">
        <v>46287.3534953704</v>
      </c>
      <c r="S436" s="1" t="s">
        <v>39</v>
      </c>
      <c r="U436" s="1" t="s">
        <v>40</v>
      </c>
      <c r="V436" s="1" t="s">
        <v>41</v>
      </c>
      <c r="W436" s="1" t="s">
        <v>40</v>
      </c>
      <c r="X436" s="1" t="s">
        <v>40</v>
      </c>
      <c r="AA436" s="1" t="s">
        <v>1452</v>
      </c>
      <c r="AB436" s="2">
        <v>46287</v>
      </c>
      <c r="AC436" s="2">
        <v>46280</v>
      </c>
      <c r="AE436" s="1" t="s">
        <v>40</v>
      </c>
      <c r="AF436" s="1" t="s">
        <v>43</v>
      </c>
    </row>
    <row r="437" spans="1:32" ht="12.75" hidden="1" customHeight="1" x14ac:dyDescent="0.2">
      <c r="A437" s="1" t="s">
        <v>30</v>
      </c>
      <c r="B437" s="1" t="s">
        <v>1453</v>
      </c>
      <c r="C437" s="1" t="s">
        <v>160</v>
      </c>
      <c r="D437" s="1" t="s">
        <v>161</v>
      </c>
      <c r="E437" s="1" t="s">
        <v>1454</v>
      </c>
      <c r="F437" s="1" t="s">
        <v>219</v>
      </c>
      <c r="G437" s="3">
        <v>1563</v>
      </c>
      <c r="H437" s="4">
        <v>111</v>
      </c>
      <c r="I437" s="5">
        <v>10963.24</v>
      </c>
      <c r="J437" s="5">
        <v>577.01</v>
      </c>
      <c r="K437" s="1" t="s">
        <v>36</v>
      </c>
      <c r="L437" s="1" t="s">
        <v>37</v>
      </c>
      <c r="M437" s="1" t="s">
        <v>37</v>
      </c>
      <c r="N437" s="3">
        <v>1563</v>
      </c>
      <c r="O437" s="6">
        <f>Table1[[#This Row],[Invoice Qty]]-Table1[[#This Row],[ExFactory Qty]]</f>
        <v>0</v>
      </c>
      <c r="P437" s="1" t="s">
        <v>1455</v>
      </c>
      <c r="Q437" s="2">
        <v>46280.774490740703</v>
      </c>
      <c r="R437" s="2">
        <v>46288</v>
      </c>
      <c r="S437" s="1" t="s">
        <v>39</v>
      </c>
      <c r="U437" s="1" t="s">
        <v>40</v>
      </c>
      <c r="V437" s="1" t="s">
        <v>41</v>
      </c>
      <c r="W437" s="1" t="s">
        <v>40</v>
      </c>
      <c r="X437" s="1" t="s">
        <v>40</v>
      </c>
      <c r="AA437" s="1" t="s">
        <v>1456</v>
      </c>
      <c r="AB437" s="2">
        <v>46280</v>
      </c>
      <c r="AC437" s="2">
        <v>46280</v>
      </c>
      <c r="AE437" s="1" t="s">
        <v>40</v>
      </c>
      <c r="AF437" s="1" t="s">
        <v>167</v>
      </c>
    </row>
    <row r="438" spans="1:32" ht="12.75" hidden="1" customHeight="1" x14ac:dyDescent="0.2">
      <c r="A438" s="1" t="s">
        <v>86</v>
      </c>
      <c r="B438" s="1" t="s">
        <v>1457</v>
      </c>
      <c r="C438" s="1" t="s">
        <v>1458</v>
      </c>
      <c r="D438" s="1" t="s">
        <v>1459</v>
      </c>
      <c r="E438" s="1" t="s">
        <v>1460</v>
      </c>
      <c r="F438" s="1" t="s">
        <v>1461</v>
      </c>
      <c r="G438" s="3">
        <v>2721</v>
      </c>
      <c r="H438" s="4">
        <v>73</v>
      </c>
      <c r="I438" s="5">
        <v>11836.35</v>
      </c>
      <c r="J438" s="5">
        <v>0</v>
      </c>
      <c r="K438" s="1" t="s">
        <v>36</v>
      </c>
      <c r="L438" s="1" t="s">
        <v>51</v>
      </c>
      <c r="M438" s="1" t="s">
        <v>37</v>
      </c>
      <c r="N438" s="3">
        <v>2721</v>
      </c>
      <c r="O438" s="6">
        <f>Table1[[#This Row],[Invoice Qty]]-Table1[[#This Row],[ExFactory Qty]]</f>
        <v>0</v>
      </c>
      <c r="P438" s="1" t="s">
        <v>1462</v>
      </c>
      <c r="Q438" s="2">
        <v>46286.599780092598</v>
      </c>
      <c r="S438" s="1" t="s">
        <v>39</v>
      </c>
      <c r="U438" s="1" t="s">
        <v>40</v>
      </c>
      <c r="V438" s="1" t="s">
        <v>55</v>
      </c>
      <c r="W438" s="1" t="s">
        <v>40</v>
      </c>
      <c r="X438" s="1" t="s">
        <v>40</v>
      </c>
      <c r="AA438" s="1" t="s">
        <v>1463</v>
      </c>
      <c r="AB438" s="2">
        <v>46285</v>
      </c>
      <c r="AC438" s="2">
        <v>46281</v>
      </c>
      <c r="AE438" s="1" t="s">
        <v>40</v>
      </c>
      <c r="AF438" s="1" t="s">
        <v>1464</v>
      </c>
    </row>
    <row r="439" spans="1:32" ht="12.75" hidden="1" customHeight="1" x14ac:dyDescent="0.2">
      <c r="A439" s="1" t="s">
        <v>86</v>
      </c>
      <c r="B439" s="1" t="s">
        <v>1465</v>
      </c>
      <c r="C439" s="1" t="s">
        <v>1458</v>
      </c>
      <c r="D439" s="1" t="s">
        <v>1459</v>
      </c>
      <c r="E439" s="1" t="s">
        <v>1460</v>
      </c>
      <c r="F439" s="1" t="s">
        <v>1466</v>
      </c>
      <c r="G439" s="3">
        <v>416</v>
      </c>
      <c r="H439" s="4">
        <v>14</v>
      </c>
      <c r="I439" s="5">
        <v>1809.6</v>
      </c>
      <c r="J439" s="5">
        <v>0</v>
      </c>
      <c r="K439" s="1" t="s">
        <v>36</v>
      </c>
      <c r="L439" s="1" t="s">
        <v>51</v>
      </c>
      <c r="M439" s="1" t="s">
        <v>37</v>
      </c>
      <c r="N439" s="3">
        <v>416</v>
      </c>
      <c r="O439" s="6">
        <f>Table1[[#This Row],[Invoice Qty]]-Table1[[#This Row],[ExFactory Qty]]</f>
        <v>0</v>
      </c>
      <c r="P439" s="1" t="s">
        <v>1467</v>
      </c>
      <c r="Q439" s="2">
        <v>46286.4547453704</v>
      </c>
      <c r="S439" s="1" t="s">
        <v>39</v>
      </c>
      <c r="U439" s="1" t="s">
        <v>40</v>
      </c>
      <c r="V439" s="1" t="s">
        <v>55</v>
      </c>
      <c r="W439" s="1" t="s">
        <v>40</v>
      </c>
      <c r="X439" s="1" t="s">
        <v>40</v>
      </c>
      <c r="AA439" s="1" t="s">
        <v>1468</v>
      </c>
      <c r="AB439" s="2">
        <v>46285</v>
      </c>
      <c r="AC439" s="2">
        <v>46281</v>
      </c>
      <c r="AE439" s="1" t="s">
        <v>40</v>
      </c>
      <c r="AF439" s="1" t="s">
        <v>1464</v>
      </c>
    </row>
    <row r="440" spans="1:32" ht="12.75" hidden="1" customHeight="1" x14ac:dyDescent="0.2">
      <c r="A440" s="1" t="s">
        <v>86</v>
      </c>
      <c r="B440" s="1" t="s">
        <v>1469</v>
      </c>
      <c r="C440" s="1" t="s">
        <v>146</v>
      </c>
      <c r="D440" s="1" t="s">
        <v>147</v>
      </c>
      <c r="E440" s="1" t="s">
        <v>1470</v>
      </c>
      <c r="F440" s="1" t="s">
        <v>124</v>
      </c>
      <c r="G440" s="3">
        <v>2100</v>
      </c>
      <c r="H440" s="4">
        <v>39</v>
      </c>
      <c r="I440" s="5">
        <v>8546.0400000000009</v>
      </c>
      <c r="J440" s="5">
        <v>356.09</v>
      </c>
      <c r="K440" s="1" t="s">
        <v>36</v>
      </c>
      <c r="L440" s="1" t="s">
        <v>37</v>
      </c>
      <c r="M440" s="1" t="s">
        <v>37</v>
      </c>
      <c r="N440" s="3">
        <v>2100</v>
      </c>
      <c r="O440" s="6">
        <f>Table1[[#This Row],[Invoice Qty]]-Table1[[#This Row],[ExFactory Qty]]</f>
        <v>0</v>
      </c>
      <c r="P440" s="1" t="s">
        <v>1471</v>
      </c>
      <c r="Q440" s="2">
        <v>46280.7028587963</v>
      </c>
      <c r="S440" s="1" t="s">
        <v>39</v>
      </c>
      <c r="U440" s="1" t="s">
        <v>40</v>
      </c>
      <c r="V440" s="1" t="s">
        <v>64</v>
      </c>
      <c r="W440" s="1" t="s">
        <v>40</v>
      </c>
      <c r="X440" s="1" t="s">
        <v>40</v>
      </c>
      <c r="AA440" s="1" t="s">
        <v>1472</v>
      </c>
      <c r="AB440" s="2">
        <v>46281</v>
      </c>
      <c r="AC440" s="2">
        <v>46281</v>
      </c>
      <c r="AE440" s="1" t="s">
        <v>40</v>
      </c>
      <c r="AF440" s="1" t="s">
        <v>43</v>
      </c>
    </row>
    <row r="441" spans="1:32" ht="12.75" hidden="1" customHeight="1" x14ac:dyDescent="0.2">
      <c r="A441" s="1" t="s">
        <v>86</v>
      </c>
      <c r="B441" s="1" t="s">
        <v>1473</v>
      </c>
      <c r="C441" s="1" t="s">
        <v>146</v>
      </c>
      <c r="D441" s="1" t="s">
        <v>147</v>
      </c>
      <c r="E441" s="1" t="s">
        <v>1474</v>
      </c>
      <c r="F441" s="1" t="s">
        <v>124</v>
      </c>
      <c r="G441" s="3">
        <v>2051</v>
      </c>
      <c r="H441" s="4">
        <v>26</v>
      </c>
      <c r="I441" s="5">
        <v>6113.64</v>
      </c>
      <c r="J441" s="5">
        <v>254.73</v>
      </c>
      <c r="K441" s="1" t="s">
        <v>36</v>
      </c>
      <c r="L441" s="1" t="s">
        <v>37</v>
      </c>
      <c r="M441" s="1" t="s">
        <v>37</v>
      </c>
      <c r="N441" s="3">
        <v>2051</v>
      </c>
      <c r="O441" s="6">
        <f>Table1[[#This Row],[Invoice Qty]]-Table1[[#This Row],[ExFactory Qty]]</f>
        <v>0</v>
      </c>
      <c r="P441" s="1" t="s">
        <v>1475</v>
      </c>
      <c r="Q441" s="2">
        <v>46281.702083333301</v>
      </c>
      <c r="S441" s="1" t="s">
        <v>39</v>
      </c>
      <c r="U441" s="1" t="s">
        <v>40</v>
      </c>
      <c r="V441" s="1" t="s">
        <v>64</v>
      </c>
      <c r="W441" s="1" t="s">
        <v>40</v>
      </c>
      <c r="X441" s="1" t="s">
        <v>40</v>
      </c>
      <c r="AA441" s="1" t="s">
        <v>1476</v>
      </c>
      <c r="AB441" s="2">
        <v>46282</v>
      </c>
      <c r="AC441" s="2">
        <v>46282</v>
      </c>
      <c r="AE441" s="1" t="s">
        <v>40</v>
      </c>
      <c r="AF441" s="1" t="s">
        <v>43</v>
      </c>
    </row>
    <row r="442" spans="1:32" ht="12.75" hidden="1" customHeight="1" x14ac:dyDescent="0.2">
      <c r="A442" s="1" t="s">
        <v>30</v>
      </c>
      <c r="B442" s="1" t="s">
        <v>1477</v>
      </c>
      <c r="C442" s="1" t="s">
        <v>46</v>
      </c>
      <c r="D442" s="1" t="s">
        <v>830</v>
      </c>
      <c r="E442" s="1" t="s">
        <v>1478</v>
      </c>
      <c r="F442" s="1" t="s">
        <v>49</v>
      </c>
      <c r="G442" s="3">
        <v>518</v>
      </c>
      <c r="H442" s="4">
        <v>13</v>
      </c>
      <c r="I442" s="5">
        <v>1024.2</v>
      </c>
      <c r="J442" s="5">
        <v>0</v>
      </c>
      <c r="K442" s="1" t="s">
        <v>36</v>
      </c>
      <c r="L442" s="1" t="s">
        <v>51</v>
      </c>
      <c r="M442" s="1" t="s">
        <v>247</v>
      </c>
      <c r="N442" s="3">
        <v>518</v>
      </c>
      <c r="O442" s="6">
        <f>Table1[[#This Row],[Invoice Qty]]-Table1[[#This Row],[ExFactory Qty]]</f>
        <v>0</v>
      </c>
      <c r="P442" s="1" t="s">
        <v>1479</v>
      </c>
      <c r="Q442" s="2">
        <v>46281.689780092602</v>
      </c>
      <c r="R442" s="2">
        <v>46291</v>
      </c>
      <c r="S442" s="1" t="s">
        <v>39</v>
      </c>
      <c r="U442" s="1" t="s">
        <v>40</v>
      </c>
      <c r="V442" s="1" t="s">
        <v>55</v>
      </c>
      <c r="W442" s="1" t="s">
        <v>40</v>
      </c>
      <c r="X442" s="1" t="s">
        <v>40</v>
      </c>
      <c r="AA442" s="1" t="s">
        <v>1480</v>
      </c>
      <c r="AB442" s="2">
        <v>46282</v>
      </c>
      <c r="AC442" s="2">
        <v>46282</v>
      </c>
      <c r="AE442" s="1" t="s">
        <v>40</v>
      </c>
      <c r="AF442" s="1" t="s">
        <v>43</v>
      </c>
    </row>
    <row r="443" spans="1:32" ht="12.75" hidden="1" customHeight="1" x14ac:dyDescent="0.2">
      <c r="A443" s="1" t="s">
        <v>30</v>
      </c>
      <c r="B443" s="1" t="s">
        <v>1481</v>
      </c>
      <c r="C443" s="1" t="s">
        <v>121</v>
      </c>
      <c r="D443" s="1" t="s">
        <v>1482</v>
      </c>
      <c r="E443" s="1" t="s">
        <v>1483</v>
      </c>
      <c r="F443" s="1" t="s">
        <v>269</v>
      </c>
      <c r="G443" s="3">
        <v>1900</v>
      </c>
      <c r="H443" s="4">
        <v>95</v>
      </c>
      <c r="I443" s="5">
        <v>1900</v>
      </c>
      <c r="J443" s="5">
        <v>0</v>
      </c>
      <c r="K443" s="1" t="s">
        <v>36</v>
      </c>
      <c r="L443" s="1" t="s">
        <v>51</v>
      </c>
      <c r="M443" s="1" t="s">
        <v>247</v>
      </c>
      <c r="N443" s="3">
        <v>1900</v>
      </c>
      <c r="O443" s="6">
        <f>Table1[[#This Row],[Invoice Qty]]-Table1[[#This Row],[ExFactory Qty]]</f>
        <v>0</v>
      </c>
      <c r="P443" s="1" t="s">
        <v>1484</v>
      </c>
      <c r="Q443" s="2">
        <v>46284.8582986111</v>
      </c>
      <c r="R443" s="2">
        <v>46290</v>
      </c>
      <c r="S443" s="1" t="s">
        <v>39</v>
      </c>
      <c r="U443" s="1" t="s">
        <v>40</v>
      </c>
      <c r="V443" s="1" t="s">
        <v>55</v>
      </c>
      <c r="W443" s="1" t="s">
        <v>40</v>
      </c>
      <c r="X443" s="1" t="s">
        <v>40</v>
      </c>
      <c r="AA443" s="1" t="s">
        <v>1485</v>
      </c>
      <c r="AB443" s="2">
        <v>46282</v>
      </c>
      <c r="AC443" s="2">
        <v>46282</v>
      </c>
      <c r="AD443" s="2">
        <v>46286</v>
      </c>
      <c r="AE443" s="1" t="s">
        <v>1486</v>
      </c>
      <c r="AF443" s="1" t="s">
        <v>43</v>
      </c>
    </row>
    <row r="444" spans="1:32" ht="12.75" hidden="1" customHeight="1" x14ac:dyDescent="0.2">
      <c r="A444" s="1" t="s">
        <v>30</v>
      </c>
      <c r="B444" s="1" t="s">
        <v>1487</v>
      </c>
      <c r="C444" s="1" t="s">
        <v>121</v>
      </c>
      <c r="D444" s="1" t="s">
        <v>1482</v>
      </c>
      <c r="E444" s="1" t="s">
        <v>1488</v>
      </c>
      <c r="F444" s="1" t="s">
        <v>269</v>
      </c>
      <c r="G444" s="3">
        <v>2500</v>
      </c>
      <c r="H444" s="4">
        <v>125</v>
      </c>
      <c r="I444" s="5">
        <v>2500</v>
      </c>
      <c r="J444" s="5">
        <v>0</v>
      </c>
      <c r="K444" s="1" t="s">
        <v>36</v>
      </c>
      <c r="L444" s="1" t="s">
        <v>51</v>
      </c>
      <c r="M444" s="1" t="s">
        <v>247</v>
      </c>
      <c r="N444" s="3">
        <v>2500</v>
      </c>
      <c r="O444" s="6">
        <f>Table1[[#This Row],[Invoice Qty]]-Table1[[#This Row],[ExFactory Qty]]</f>
        <v>0</v>
      </c>
      <c r="P444" s="1" t="s">
        <v>1489</v>
      </c>
      <c r="Q444" s="2">
        <v>46283.618750000001</v>
      </c>
      <c r="R444" s="2">
        <v>46290</v>
      </c>
      <c r="S444" s="1" t="s">
        <v>39</v>
      </c>
      <c r="U444" s="1" t="s">
        <v>40</v>
      </c>
      <c r="V444" s="1" t="s">
        <v>55</v>
      </c>
      <c r="W444" s="1" t="s">
        <v>40</v>
      </c>
      <c r="X444" s="1" t="s">
        <v>40</v>
      </c>
      <c r="AA444" s="1" t="s">
        <v>1490</v>
      </c>
      <c r="AB444" s="2">
        <v>46282</v>
      </c>
      <c r="AC444" s="2">
        <v>46282</v>
      </c>
      <c r="AD444" s="2">
        <v>46285</v>
      </c>
      <c r="AE444" s="1" t="s">
        <v>1491</v>
      </c>
      <c r="AF444" s="1" t="s">
        <v>43</v>
      </c>
    </row>
    <row r="445" spans="1:32" ht="12.75" hidden="1" customHeight="1" x14ac:dyDescent="0.2">
      <c r="A445" s="1" t="s">
        <v>30</v>
      </c>
      <c r="B445" s="1" t="s">
        <v>1492</v>
      </c>
      <c r="C445" s="1" t="s">
        <v>121</v>
      </c>
      <c r="D445" s="1" t="s">
        <v>1482</v>
      </c>
      <c r="E445" s="1" t="s">
        <v>1483</v>
      </c>
      <c r="F445" s="1" t="s">
        <v>262</v>
      </c>
      <c r="G445" s="3">
        <v>1340</v>
      </c>
      <c r="H445" s="4">
        <v>67</v>
      </c>
      <c r="I445" s="5">
        <v>1340</v>
      </c>
      <c r="J445" s="5">
        <v>0</v>
      </c>
      <c r="K445" s="1" t="s">
        <v>36</v>
      </c>
      <c r="L445" s="1" t="s">
        <v>51</v>
      </c>
      <c r="M445" s="1" t="s">
        <v>247</v>
      </c>
      <c r="N445" s="3">
        <v>1340</v>
      </c>
      <c r="O445" s="6">
        <f>Table1[[#This Row],[Invoice Qty]]-Table1[[#This Row],[ExFactory Qty]]</f>
        <v>0</v>
      </c>
      <c r="P445" s="1" t="s">
        <v>1484</v>
      </c>
      <c r="Q445" s="2">
        <v>46284.8582986111</v>
      </c>
      <c r="R445" s="2">
        <v>46292</v>
      </c>
      <c r="S445" s="1" t="s">
        <v>39</v>
      </c>
      <c r="U445" s="1" t="s">
        <v>40</v>
      </c>
      <c r="V445" s="1" t="s">
        <v>55</v>
      </c>
      <c r="W445" s="1" t="s">
        <v>40</v>
      </c>
      <c r="X445" s="1" t="s">
        <v>40</v>
      </c>
      <c r="AA445" s="1" t="s">
        <v>1493</v>
      </c>
      <c r="AB445" s="2">
        <v>46282</v>
      </c>
      <c r="AC445" s="2">
        <v>46282</v>
      </c>
      <c r="AD445" s="2">
        <v>46286</v>
      </c>
      <c r="AE445" s="1" t="s">
        <v>1494</v>
      </c>
      <c r="AF445" s="1" t="s">
        <v>43</v>
      </c>
    </row>
    <row r="446" spans="1:32" ht="12.75" hidden="1" customHeight="1" x14ac:dyDescent="0.2">
      <c r="A446" s="1" t="s">
        <v>30</v>
      </c>
      <c r="B446" s="1" t="s">
        <v>1495</v>
      </c>
      <c r="C446" s="1" t="s">
        <v>121</v>
      </c>
      <c r="D446" s="1" t="s">
        <v>1482</v>
      </c>
      <c r="E446" s="1" t="s">
        <v>1488</v>
      </c>
      <c r="F446" s="1" t="s">
        <v>262</v>
      </c>
      <c r="G446" s="3">
        <v>1920</v>
      </c>
      <c r="H446" s="4">
        <v>96</v>
      </c>
      <c r="I446" s="5">
        <v>1920</v>
      </c>
      <c r="J446" s="5">
        <v>0</v>
      </c>
      <c r="K446" s="1" t="s">
        <v>36</v>
      </c>
      <c r="L446" s="1" t="s">
        <v>51</v>
      </c>
      <c r="M446" s="1" t="s">
        <v>247</v>
      </c>
      <c r="N446" s="3">
        <v>1920</v>
      </c>
      <c r="O446" s="6">
        <f>Table1[[#This Row],[Invoice Qty]]-Table1[[#This Row],[ExFactory Qty]]</f>
        <v>0</v>
      </c>
      <c r="P446" s="1" t="s">
        <v>1489</v>
      </c>
      <c r="Q446" s="2">
        <v>46283.618750000001</v>
      </c>
      <c r="R446" s="2">
        <v>46290</v>
      </c>
      <c r="S446" s="1" t="s">
        <v>39</v>
      </c>
      <c r="U446" s="1" t="s">
        <v>40</v>
      </c>
      <c r="V446" s="1" t="s">
        <v>55</v>
      </c>
      <c r="W446" s="1" t="s">
        <v>40</v>
      </c>
      <c r="X446" s="1" t="s">
        <v>40</v>
      </c>
      <c r="AA446" s="1" t="s">
        <v>1496</v>
      </c>
      <c r="AB446" s="2">
        <v>46282</v>
      </c>
      <c r="AC446" s="2">
        <v>46282</v>
      </c>
      <c r="AD446" s="2">
        <v>46285</v>
      </c>
      <c r="AE446" s="1" t="s">
        <v>1497</v>
      </c>
      <c r="AF446" s="1" t="s">
        <v>43</v>
      </c>
    </row>
    <row r="447" spans="1:32" ht="12.75" hidden="1" customHeight="1" x14ac:dyDescent="0.2">
      <c r="A447" s="1" t="s">
        <v>30</v>
      </c>
      <c r="B447" s="1" t="s">
        <v>1498</v>
      </c>
      <c r="C447" s="1" t="s">
        <v>121</v>
      </c>
      <c r="D447" s="1" t="s">
        <v>1482</v>
      </c>
      <c r="E447" s="1" t="s">
        <v>1483</v>
      </c>
      <c r="F447" s="1" t="s">
        <v>252</v>
      </c>
      <c r="G447" s="3">
        <v>3700</v>
      </c>
      <c r="H447" s="4">
        <v>185</v>
      </c>
      <c r="I447" s="5">
        <v>3700</v>
      </c>
      <c r="J447" s="5">
        <v>0</v>
      </c>
      <c r="K447" s="1" t="s">
        <v>36</v>
      </c>
      <c r="L447" s="1" t="s">
        <v>51</v>
      </c>
      <c r="M447" s="1" t="s">
        <v>247</v>
      </c>
      <c r="N447" s="3">
        <v>3700</v>
      </c>
      <c r="O447" s="6">
        <f>Table1[[#This Row],[Invoice Qty]]-Table1[[#This Row],[ExFactory Qty]]</f>
        <v>0</v>
      </c>
      <c r="P447" s="1" t="s">
        <v>1499</v>
      </c>
      <c r="Q447" s="2">
        <v>46282.620555555601</v>
      </c>
      <c r="R447" s="2">
        <v>46290</v>
      </c>
      <c r="S447" s="1" t="s">
        <v>39</v>
      </c>
      <c r="U447" s="1" t="s">
        <v>40</v>
      </c>
      <c r="V447" s="1" t="s">
        <v>55</v>
      </c>
      <c r="W447" s="1" t="s">
        <v>40</v>
      </c>
      <c r="X447" s="1" t="s">
        <v>40</v>
      </c>
      <c r="Z447" s="2">
        <v>46290</v>
      </c>
      <c r="AA447" s="1" t="s">
        <v>1500</v>
      </c>
      <c r="AB447" s="2">
        <v>46282</v>
      </c>
      <c r="AC447" s="2">
        <v>46282</v>
      </c>
      <c r="AD447" s="2">
        <v>46284</v>
      </c>
      <c r="AE447" s="1" t="s">
        <v>1501</v>
      </c>
      <c r="AF447" s="1" t="s">
        <v>43</v>
      </c>
    </row>
    <row r="448" spans="1:32" ht="12.75" hidden="1" customHeight="1" x14ac:dyDescent="0.2">
      <c r="A448" s="1" t="s">
        <v>30</v>
      </c>
      <c r="B448" s="1" t="s">
        <v>1502</v>
      </c>
      <c r="C448" s="1" t="s">
        <v>121</v>
      </c>
      <c r="D448" s="1" t="s">
        <v>1482</v>
      </c>
      <c r="E448" s="1" t="s">
        <v>1488</v>
      </c>
      <c r="F448" s="1" t="s">
        <v>252</v>
      </c>
      <c r="G448" s="3">
        <v>3900</v>
      </c>
      <c r="H448" s="4">
        <v>195</v>
      </c>
      <c r="I448" s="5">
        <v>3900</v>
      </c>
      <c r="J448" s="5">
        <v>0</v>
      </c>
      <c r="K448" s="1" t="s">
        <v>36</v>
      </c>
      <c r="L448" s="1" t="s">
        <v>51</v>
      </c>
      <c r="M448" s="1" t="s">
        <v>247</v>
      </c>
      <c r="N448" s="3">
        <v>3900</v>
      </c>
      <c r="O448" s="6">
        <f>Table1[[#This Row],[Invoice Qty]]-Table1[[#This Row],[ExFactory Qty]]</f>
        <v>0</v>
      </c>
      <c r="P448" s="1" t="s">
        <v>1484</v>
      </c>
      <c r="Q448" s="2">
        <v>46284.8582986111</v>
      </c>
      <c r="R448" s="2">
        <v>46292</v>
      </c>
      <c r="S448" s="1" t="s">
        <v>39</v>
      </c>
      <c r="U448" s="1" t="s">
        <v>40</v>
      </c>
      <c r="V448" s="1" t="s">
        <v>55</v>
      </c>
      <c r="W448" s="1" t="s">
        <v>40</v>
      </c>
      <c r="X448" s="1" t="s">
        <v>40</v>
      </c>
      <c r="AA448" s="1" t="s">
        <v>1503</v>
      </c>
      <c r="AB448" s="2">
        <v>46282</v>
      </c>
      <c r="AC448" s="2">
        <v>46282</v>
      </c>
      <c r="AD448" s="2">
        <v>46286</v>
      </c>
      <c r="AE448" s="1" t="s">
        <v>1504</v>
      </c>
      <c r="AF448" s="1" t="s">
        <v>43</v>
      </c>
    </row>
    <row r="449" spans="1:32" ht="12.75" hidden="1" customHeight="1" x14ac:dyDescent="0.2">
      <c r="A449" s="1" t="s">
        <v>30</v>
      </c>
      <c r="B449" s="1" t="s">
        <v>1505</v>
      </c>
      <c r="C449" s="1" t="s">
        <v>121</v>
      </c>
      <c r="D449" s="1" t="s">
        <v>1482</v>
      </c>
      <c r="E449" s="1" t="s">
        <v>1483</v>
      </c>
      <c r="F449" s="1" t="s">
        <v>258</v>
      </c>
      <c r="G449" s="3">
        <v>600</v>
      </c>
      <c r="H449" s="4">
        <v>60</v>
      </c>
      <c r="I449" s="5">
        <v>600</v>
      </c>
      <c r="J449" s="5">
        <v>0</v>
      </c>
      <c r="K449" s="1" t="s">
        <v>36</v>
      </c>
      <c r="L449" s="1" t="s">
        <v>51</v>
      </c>
      <c r="M449" s="1" t="s">
        <v>247</v>
      </c>
      <c r="N449" s="3">
        <v>600</v>
      </c>
      <c r="O449" s="6">
        <f>Table1[[#This Row],[Invoice Qty]]-Table1[[#This Row],[ExFactory Qty]]</f>
        <v>0</v>
      </c>
      <c r="P449" s="1" t="s">
        <v>1484</v>
      </c>
      <c r="Q449" s="2">
        <v>46284.8582986111</v>
      </c>
      <c r="R449" s="2">
        <v>46292</v>
      </c>
      <c r="S449" s="1" t="s">
        <v>39</v>
      </c>
      <c r="U449" s="1" t="s">
        <v>40</v>
      </c>
      <c r="V449" s="1" t="s">
        <v>55</v>
      </c>
      <c r="W449" s="1" t="s">
        <v>40</v>
      </c>
      <c r="X449" s="1" t="s">
        <v>40</v>
      </c>
      <c r="AA449" s="1" t="s">
        <v>1506</v>
      </c>
      <c r="AB449" s="2">
        <v>46282</v>
      </c>
      <c r="AC449" s="2">
        <v>46282</v>
      </c>
      <c r="AD449" s="2">
        <v>46286</v>
      </c>
      <c r="AE449" s="1" t="s">
        <v>1507</v>
      </c>
      <c r="AF449" s="1" t="s">
        <v>43</v>
      </c>
    </row>
    <row r="450" spans="1:32" ht="12.75" hidden="1" customHeight="1" x14ac:dyDescent="0.2">
      <c r="A450" s="1" t="s">
        <v>30</v>
      </c>
      <c r="B450" s="1" t="s">
        <v>1508</v>
      </c>
      <c r="C450" s="1" t="s">
        <v>121</v>
      </c>
      <c r="D450" s="1" t="s">
        <v>1482</v>
      </c>
      <c r="E450" s="1" t="s">
        <v>1488</v>
      </c>
      <c r="F450" s="1" t="s">
        <v>258</v>
      </c>
      <c r="G450" s="3">
        <v>600</v>
      </c>
      <c r="H450" s="4">
        <v>60</v>
      </c>
      <c r="I450" s="5">
        <v>600</v>
      </c>
      <c r="J450" s="5">
        <v>0</v>
      </c>
      <c r="K450" s="1" t="s">
        <v>36</v>
      </c>
      <c r="L450" s="1" t="s">
        <v>51</v>
      </c>
      <c r="M450" s="1" t="s">
        <v>247</v>
      </c>
      <c r="N450" s="3">
        <v>600</v>
      </c>
      <c r="O450" s="6">
        <f>Table1[[#This Row],[Invoice Qty]]-Table1[[#This Row],[ExFactory Qty]]</f>
        <v>0</v>
      </c>
      <c r="P450" s="1" t="s">
        <v>1484</v>
      </c>
      <c r="Q450" s="2">
        <v>46284.8582986111</v>
      </c>
      <c r="R450" s="2">
        <v>46292</v>
      </c>
      <c r="S450" s="1" t="s">
        <v>39</v>
      </c>
      <c r="U450" s="1" t="s">
        <v>40</v>
      </c>
      <c r="V450" s="1" t="s">
        <v>55</v>
      </c>
      <c r="W450" s="1" t="s">
        <v>40</v>
      </c>
      <c r="X450" s="1" t="s">
        <v>40</v>
      </c>
      <c r="AA450" s="1" t="s">
        <v>1509</v>
      </c>
      <c r="AB450" s="2">
        <v>46282</v>
      </c>
      <c r="AC450" s="2">
        <v>46282</v>
      </c>
      <c r="AD450" s="2">
        <v>46286</v>
      </c>
      <c r="AE450" s="1" t="s">
        <v>1510</v>
      </c>
      <c r="AF450" s="1" t="s">
        <v>43</v>
      </c>
    </row>
    <row r="451" spans="1:32" ht="12.75" hidden="1" customHeight="1" x14ac:dyDescent="0.2">
      <c r="A451" s="1" t="s">
        <v>30</v>
      </c>
      <c r="B451" s="1" t="s">
        <v>1511</v>
      </c>
      <c r="C451" s="1" t="s">
        <v>121</v>
      </c>
      <c r="D451" s="1" t="s">
        <v>1482</v>
      </c>
      <c r="E451" s="1" t="s">
        <v>1483</v>
      </c>
      <c r="F451" s="1" t="s">
        <v>262</v>
      </c>
      <c r="G451" s="3">
        <v>2300</v>
      </c>
      <c r="H451" s="4">
        <v>115</v>
      </c>
      <c r="I451" s="5">
        <v>2300</v>
      </c>
      <c r="J451" s="5">
        <v>0</v>
      </c>
      <c r="K451" s="1" t="s">
        <v>36</v>
      </c>
      <c r="L451" s="1" t="s">
        <v>51</v>
      </c>
      <c r="M451" s="1" t="s">
        <v>247</v>
      </c>
      <c r="N451" s="3">
        <v>2300</v>
      </c>
      <c r="O451" s="6">
        <f>Table1[[#This Row],[Invoice Qty]]-Table1[[#This Row],[ExFactory Qty]]</f>
        <v>0</v>
      </c>
      <c r="P451" s="1" t="s">
        <v>1499</v>
      </c>
      <c r="Q451" s="2">
        <v>46282.620555555601</v>
      </c>
      <c r="R451" s="2">
        <v>46292</v>
      </c>
      <c r="S451" s="1" t="s">
        <v>39</v>
      </c>
      <c r="U451" s="1" t="s">
        <v>40</v>
      </c>
      <c r="V451" s="1" t="s">
        <v>55</v>
      </c>
      <c r="W451" s="1" t="s">
        <v>40</v>
      </c>
      <c r="X451" s="1" t="s">
        <v>40</v>
      </c>
      <c r="AA451" s="1" t="s">
        <v>1512</v>
      </c>
      <c r="AB451" s="2">
        <v>46282</v>
      </c>
      <c r="AC451" s="2">
        <v>46282</v>
      </c>
      <c r="AD451" s="2">
        <v>46284</v>
      </c>
      <c r="AE451" s="1" t="s">
        <v>1513</v>
      </c>
      <c r="AF451" s="1" t="s">
        <v>43</v>
      </c>
    </row>
    <row r="452" spans="1:32" ht="12.75" hidden="1" customHeight="1" x14ac:dyDescent="0.2">
      <c r="A452" s="1" t="s">
        <v>30</v>
      </c>
      <c r="B452" s="1" t="s">
        <v>1514</v>
      </c>
      <c r="C452" s="1" t="s">
        <v>121</v>
      </c>
      <c r="D452" s="1" t="s">
        <v>1482</v>
      </c>
      <c r="E452" s="1" t="s">
        <v>1488</v>
      </c>
      <c r="F452" s="1" t="s">
        <v>262</v>
      </c>
      <c r="G452" s="3">
        <v>3200</v>
      </c>
      <c r="H452" s="4">
        <v>160</v>
      </c>
      <c r="I452" s="5">
        <v>3200</v>
      </c>
      <c r="J452" s="5">
        <v>0</v>
      </c>
      <c r="K452" s="1" t="s">
        <v>36</v>
      </c>
      <c r="L452" s="1" t="s">
        <v>51</v>
      </c>
      <c r="M452" s="1" t="s">
        <v>247</v>
      </c>
      <c r="N452" s="3">
        <v>3200</v>
      </c>
      <c r="O452" s="6">
        <f>Table1[[#This Row],[Invoice Qty]]-Table1[[#This Row],[ExFactory Qty]]</f>
        <v>0</v>
      </c>
      <c r="P452" s="1" t="s">
        <v>1515</v>
      </c>
      <c r="Q452" s="2">
        <v>46282.220092592601</v>
      </c>
      <c r="R452" s="2">
        <v>46290</v>
      </c>
      <c r="S452" s="1" t="s">
        <v>39</v>
      </c>
      <c r="U452" s="1" t="s">
        <v>40</v>
      </c>
      <c r="V452" s="1" t="s">
        <v>55</v>
      </c>
      <c r="W452" s="1" t="s">
        <v>40</v>
      </c>
      <c r="X452" s="1" t="s">
        <v>40</v>
      </c>
      <c r="Z452" s="2">
        <v>46290</v>
      </c>
      <c r="AA452" s="1" t="s">
        <v>1516</v>
      </c>
      <c r="AB452" s="2">
        <v>46282</v>
      </c>
      <c r="AC452" s="2">
        <v>46282</v>
      </c>
      <c r="AD452" s="2">
        <v>46284</v>
      </c>
      <c r="AE452" s="1" t="s">
        <v>1517</v>
      </c>
      <c r="AF452" s="1" t="s">
        <v>43</v>
      </c>
    </row>
    <row r="453" spans="1:32" ht="12.75" hidden="1" customHeight="1" x14ac:dyDescent="0.2">
      <c r="A453" s="1" t="s">
        <v>30</v>
      </c>
      <c r="B453" s="1" t="s">
        <v>1518</v>
      </c>
      <c r="C453" s="1" t="s">
        <v>121</v>
      </c>
      <c r="D453" s="1" t="s">
        <v>1482</v>
      </c>
      <c r="E453" s="1" t="s">
        <v>1483</v>
      </c>
      <c r="F453" s="1" t="s">
        <v>183</v>
      </c>
      <c r="G453" s="3">
        <v>2600</v>
      </c>
      <c r="H453" s="4">
        <v>130</v>
      </c>
      <c r="I453" s="5">
        <v>2600</v>
      </c>
      <c r="J453" s="5">
        <v>0</v>
      </c>
      <c r="K453" s="1" t="s">
        <v>36</v>
      </c>
      <c r="L453" s="1" t="s">
        <v>51</v>
      </c>
      <c r="M453" s="1" t="s">
        <v>247</v>
      </c>
      <c r="N453" s="3">
        <v>2600</v>
      </c>
      <c r="O453" s="6">
        <f>Table1[[#This Row],[Invoice Qty]]-Table1[[#This Row],[ExFactory Qty]]</f>
        <v>0</v>
      </c>
      <c r="P453" s="1" t="s">
        <v>1499</v>
      </c>
      <c r="Q453" s="2">
        <v>46282.620555555601</v>
      </c>
      <c r="R453" s="2">
        <v>46290</v>
      </c>
      <c r="S453" s="1" t="s">
        <v>39</v>
      </c>
      <c r="U453" s="1" t="s">
        <v>40</v>
      </c>
      <c r="V453" s="1" t="s">
        <v>55</v>
      </c>
      <c r="W453" s="1" t="s">
        <v>40</v>
      </c>
      <c r="X453" s="1" t="s">
        <v>40</v>
      </c>
      <c r="Z453" s="2">
        <v>46290</v>
      </c>
      <c r="AA453" s="1" t="s">
        <v>1519</v>
      </c>
      <c r="AB453" s="2">
        <v>46282</v>
      </c>
      <c r="AC453" s="2">
        <v>46282</v>
      </c>
      <c r="AD453" s="2">
        <v>46284</v>
      </c>
      <c r="AE453" s="1" t="s">
        <v>1520</v>
      </c>
      <c r="AF453" s="1" t="s">
        <v>43</v>
      </c>
    </row>
    <row r="454" spans="1:32" ht="12.75" hidden="1" customHeight="1" x14ac:dyDescent="0.2">
      <c r="A454" s="1" t="s">
        <v>30</v>
      </c>
      <c r="B454" s="1" t="s">
        <v>1521</v>
      </c>
      <c r="C454" s="1" t="s">
        <v>121</v>
      </c>
      <c r="D454" s="1" t="s">
        <v>1482</v>
      </c>
      <c r="E454" s="1" t="s">
        <v>1488</v>
      </c>
      <c r="F454" s="1" t="s">
        <v>183</v>
      </c>
      <c r="G454" s="3">
        <v>4300</v>
      </c>
      <c r="H454" s="4">
        <v>215</v>
      </c>
      <c r="I454" s="5">
        <v>4300</v>
      </c>
      <c r="J454" s="5">
        <v>0</v>
      </c>
      <c r="K454" s="1" t="s">
        <v>36</v>
      </c>
      <c r="L454" s="1" t="s">
        <v>51</v>
      </c>
      <c r="M454" s="1" t="s">
        <v>247</v>
      </c>
      <c r="N454" s="3">
        <v>4300</v>
      </c>
      <c r="O454" s="6">
        <f>Table1[[#This Row],[Invoice Qty]]-Table1[[#This Row],[ExFactory Qty]]</f>
        <v>0</v>
      </c>
      <c r="P454" s="1" t="s">
        <v>1515</v>
      </c>
      <c r="Q454" s="2">
        <v>46282.220092592601</v>
      </c>
      <c r="R454" s="2">
        <v>46290</v>
      </c>
      <c r="S454" s="1" t="s">
        <v>39</v>
      </c>
      <c r="U454" s="1" t="s">
        <v>40</v>
      </c>
      <c r="V454" s="1" t="s">
        <v>55</v>
      </c>
      <c r="W454" s="1" t="s">
        <v>40</v>
      </c>
      <c r="X454" s="1" t="s">
        <v>40</v>
      </c>
      <c r="Z454" s="2">
        <v>46290</v>
      </c>
      <c r="AA454" s="1" t="s">
        <v>1522</v>
      </c>
      <c r="AB454" s="2">
        <v>46282</v>
      </c>
      <c r="AC454" s="2">
        <v>46282</v>
      </c>
      <c r="AD454" s="2">
        <v>46284</v>
      </c>
      <c r="AE454" s="1" t="s">
        <v>1523</v>
      </c>
      <c r="AF454" s="1" t="s">
        <v>43</v>
      </c>
    </row>
    <row r="455" spans="1:32" ht="12.75" hidden="1" customHeight="1" x14ac:dyDescent="0.2">
      <c r="A455" s="1" t="s">
        <v>30</v>
      </c>
      <c r="B455" s="1" t="s">
        <v>1524</v>
      </c>
      <c r="C455" s="1" t="s">
        <v>121</v>
      </c>
      <c r="D455" s="1" t="s">
        <v>1482</v>
      </c>
      <c r="E455" s="1" t="s">
        <v>1483</v>
      </c>
      <c r="F455" s="1" t="s">
        <v>258</v>
      </c>
      <c r="G455" s="3">
        <v>14900</v>
      </c>
      <c r="H455" s="4">
        <v>745</v>
      </c>
      <c r="I455" s="5">
        <v>14900</v>
      </c>
      <c r="J455" s="5">
        <v>0</v>
      </c>
      <c r="K455" s="1" t="s">
        <v>36</v>
      </c>
      <c r="L455" s="1" t="s">
        <v>51</v>
      </c>
      <c r="M455" s="1" t="s">
        <v>247</v>
      </c>
      <c r="N455" s="3">
        <v>14900</v>
      </c>
      <c r="O455" s="6">
        <f>Table1[[#This Row],[Invoice Qty]]-Table1[[#This Row],[ExFactory Qty]]</f>
        <v>0</v>
      </c>
      <c r="P455" s="1" t="s">
        <v>1525</v>
      </c>
      <c r="Q455" s="2">
        <v>46282.221168981501</v>
      </c>
      <c r="R455" s="2">
        <v>46292</v>
      </c>
      <c r="S455" s="1" t="s">
        <v>39</v>
      </c>
      <c r="U455" s="1" t="s">
        <v>40</v>
      </c>
      <c r="V455" s="1" t="s">
        <v>55</v>
      </c>
      <c r="W455" s="1" t="s">
        <v>40</v>
      </c>
      <c r="X455" s="1" t="s">
        <v>40</v>
      </c>
      <c r="AA455" s="1" t="s">
        <v>1526</v>
      </c>
      <c r="AB455" s="2">
        <v>46282</v>
      </c>
      <c r="AC455" s="2">
        <v>46282</v>
      </c>
      <c r="AD455" s="2">
        <v>46284</v>
      </c>
      <c r="AE455" s="1" t="s">
        <v>1527</v>
      </c>
      <c r="AF455" s="1" t="s">
        <v>43</v>
      </c>
    </row>
    <row r="456" spans="1:32" ht="12.75" hidden="1" customHeight="1" x14ac:dyDescent="0.2">
      <c r="A456" s="1" t="s">
        <v>30</v>
      </c>
      <c r="B456" s="1" t="s">
        <v>1528</v>
      </c>
      <c r="C456" s="1" t="s">
        <v>121</v>
      </c>
      <c r="D456" s="1" t="s">
        <v>1482</v>
      </c>
      <c r="E456" s="1" t="s">
        <v>1488</v>
      </c>
      <c r="F456" s="1" t="s">
        <v>258</v>
      </c>
      <c r="G456" s="3">
        <v>17300</v>
      </c>
      <c r="H456" s="4">
        <v>865</v>
      </c>
      <c r="I456" s="5">
        <v>17300</v>
      </c>
      <c r="J456" s="5">
        <v>0</v>
      </c>
      <c r="K456" s="1" t="s">
        <v>36</v>
      </c>
      <c r="L456" s="1" t="s">
        <v>51</v>
      </c>
      <c r="M456" s="1" t="s">
        <v>247</v>
      </c>
      <c r="N456" s="3">
        <v>17300</v>
      </c>
      <c r="O456" s="6">
        <f>Table1[[#This Row],[Invoice Qty]]-Table1[[#This Row],[ExFactory Qty]]</f>
        <v>0</v>
      </c>
      <c r="P456" s="1" t="s">
        <v>1529</v>
      </c>
      <c r="Q456" s="2">
        <v>46282.918101851901</v>
      </c>
      <c r="R456" s="2">
        <v>46288</v>
      </c>
      <c r="S456" s="1" t="s">
        <v>39</v>
      </c>
      <c r="U456" s="1" t="s">
        <v>40</v>
      </c>
      <c r="V456" s="1" t="s">
        <v>55</v>
      </c>
      <c r="W456" s="1" t="s">
        <v>40</v>
      </c>
      <c r="X456" s="1" t="s">
        <v>40</v>
      </c>
      <c r="Z456" s="2">
        <v>46288</v>
      </c>
      <c r="AA456" s="1" t="s">
        <v>1530</v>
      </c>
      <c r="AB456" s="2">
        <v>46282</v>
      </c>
      <c r="AC456" s="2">
        <v>46282</v>
      </c>
      <c r="AD456" s="2">
        <v>46284</v>
      </c>
      <c r="AE456" s="1" t="s">
        <v>1531</v>
      </c>
      <c r="AF456" s="1" t="s">
        <v>43</v>
      </c>
    </row>
    <row r="457" spans="1:32" ht="12.75" hidden="1" customHeight="1" x14ac:dyDescent="0.2">
      <c r="A457" s="1" t="s">
        <v>30</v>
      </c>
      <c r="B457" s="1" t="s">
        <v>1532</v>
      </c>
      <c r="C457" s="1" t="s">
        <v>121</v>
      </c>
      <c r="D457" s="1" t="s">
        <v>1482</v>
      </c>
      <c r="E457" s="1" t="s">
        <v>1483</v>
      </c>
      <c r="F457" s="1" t="s">
        <v>252</v>
      </c>
      <c r="G457" s="3">
        <v>2860</v>
      </c>
      <c r="H457" s="4">
        <v>143</v>
      </c>
      <c r="I457" s="5">
        <v>2860</v>
      </c>
      <c r="J457" s="5">
        <v>0</v>
      </c>
      <c r="K457" s="1" t="s">
        <v>36</v>
      </c>
      <c r="L457" s="1" t="s">
        <v>51</v>
      </c>
      <c r="M457" s="1" t="s">
        <v>247</v>
      </c>
      <c r="N457" s="3">
        <v>2860</v>
      </c>
      <c r="O457" s="6">
        <f>Table1[[#This Row],[Invoice Qty]]-Table1[[#This Row],[ExFactory Qty]]</f>
        <v>0</v>
      </c>
      <c r="P457" s="1" t="s">
        <v>1484</v>
      </c>
      <c r="Q457" s="2">
        <v>46284.8582986111</v>
      </c>
      <c r="R457" s="2">
        <v>46290</v>
      </c>
      <c r="S457" s="1" t="s">
        <v>39</v>
      </c>
      <c r="U457" s="1" t="s">
        <v>40</v>
      </c>
      <c r="V457" s="1" t="s">
        <v>55</v>
      </c>
      <c r="W457" s="1" t="s">
        <v>40</v>
      </c>
      <c r="X457" s="1" t="s">
        <v>40</v>
      </c>
      <c r="AA457" s="1" t="s">
        <v>1533</v>
      </c>
      <c r="AB457" s="2">
        <v>46282</v>
      </c>
      <c r="AC457" s="2">
        <v>46282</v>
      </c>
      <c r="AD457" s="2">
        <v>46286</v>
      </c>
      <c r="AE457" s="1" t="s">
        <v>1534</v>
      </c>
      <c r="AF457" s="1" t="s">
        <v>43</v>
      </c>
    </row>
    <row r="458" spans="1:32" ht="12.75" hidden="1" customHeight="1" x14ac:dyDescent="0.2">
      <c r="A458" s="1" t="s">
        <v>30</v>
      </c>
      <c r="B458" s="1" t="s">
        <v>1535</v>
      </c>
      <c r="C458" s="1" t="s">
        <v>121</v>
      </c>
      <c r="D458" s="1" t="s">
        <v>1482</v>
      </c>
      <c r="E458" s="1" t="s">
        <v>1488</v>
      </c>
      <c r="F458" s="1" t="s">
        <v>252</v>
      </c>
      <c r="G458" s="3">
        <v>2780</v>
      </c>
      <c r="H458" s="4">
        <v>139</v>
      </c>
      <c r="I458" s="5">
        <v>2780</v>
      </c>
      <c r="J458" s="5">
        <v>0</v>
      </c>
      <c r="K458" s="1" t="s">
        <v>36</v>
      </c>
      <c r="L458" s="1" t="s">
        <v>51</v>
      </c>
      <c r="M458" s="1" t="s">
        <v>247</v>
      </c>
      <c r="N458" s="3">
        <v>2780</v>
      </c>
      <c r="O458" s="6">
        <f>Table1[[#This Row],[Invoice Qty]]-Table1[[#This Row],[ExFactory Qty]]</f>
        <v>0</v>
      </c>
      <c r="P458" s="1" t="s">
        <v>1489</v>
      </c>
      <c r="Q458" s="2">
        <v>46283.618750000001</v>
      </c>
      <c r="R458" s="2">
        <v>46290</v>
      </c>
      <c r="S458" s="1" t="s">
        <v>39</v>
      </c>
      <c r="U458" s="1" t="s">
        <v>40</v>
      </c>
      <c r="V458" s="1" t="s">
        <v>55</v>
      </c>
      <c r="W458" s="1" t="s">
        <v>40</v>
      </c>
      <c r="X458" s="1" t="s">
        <v>40</v>
      </c>
      <c r="AA458" s="1" t="s">
        <v>1536</v>
      </c>
      <c r="AB458" s="2">
        <v>46282</v>
      </c>
      <c r="AC458" s="2">
        <v>46282</v>
      </c>
      <c r="AD458" s="2">
        <v>46285</v>
      </c>
      <c r="AE458" s="1" t="s">
        <v>1537</v>
      </c>
      <c r="AF458" s="1" t="s">
        <v>43</v>
      </c>
    </row>
    <row r="459" spans="1:32" ht="12.75" hidden="1" customHeight="1" x14ac:dyDescent="0.2">
      <c r="A459" s="1" t="s">
        <v>30</v>
      </c>
      <c r="B459" s="1" t="s">
        <v>1538</v>
      </c>
      <c r="C459" s="1" t="s">
        <v>121</v>
      </c>
      <c r="D459" s="1" t="s">
        <v>1482</v>
      </c>
      <c r="E459" s="1" t="s">
        <v>1483</v>
      </c>
      <c r="F459" s="1" t="s">
        <v>262</v>
      </c>
      <c r="G459" s="3">
        <v>400</v>
      </c>
      <c r="H459" s="4">
        <v>20</v>
      </c>
      <c r="I459" s="5">
        <v>400</v>
      </c>
      <c r="J459" s="5">
        <v>0</v>
      </c>
      <c r="K459" s="1" t="s">
        <v>36</v>
      </c>
      <c r="L459" s="1" t="s">
        <v>51</v>
      </c>
      <c r="M459" s="1" t="s">
        <v>247</v>
      </c>
      <c r="N459" s="3">
        <v>400</v>
      </c>
      <c r="O459" s="6">
        <f>Table1[[#This Row],[Invoice Qty]]-Table1[[#This Row],[ExFactory Qty]]</f>
        <v>0</v>
      </c>
      <c r="P459" s="1" t="s">
        <v>1484</v>
      </c>
      <c r="Q459" s="2">
        <v>46284.8582986111</v>
      </c>
      <c r="R459" s="2">
        <v>46292</v>
      </c>
      <c r="S459" s="1" t="s">
        <v>39</v>
      </c>
      <c r="U459" s="1" t="s">
        <v>40</v>
      </c>
      <c r="V459" s="1" t="s">
        <v>55</v>
      </c>
      <c r="W459" s="1" t="s">
        <v>40</v>
      </c>
      <c r="X459" s="1" t="s">
        <v>40</v>
      </c>
      <c r="AA459" s="1" t="s">
        <v>1539</v>
      </c>
      <c r="AB459" s="2">
        <v>46282</v>
      </c>
      <c r="AC459" s="2">
        <v>46282</v>
      </c>
      <c r="AD459" s="2">
        <v>46286</v>
      </c>
      <c r="AE459" s="1" t="s">
        <v>1540</v>
      </c>
      <c r="AF459" s="1" t="s">
        <v>43</v>
      </c>
    </row>
    <row r="460" spans="1:32" ht="12.75" hidden="1" customHeight="1" x14ac:dyDescent="0.2">
      <c r="A460" s="1" t="s">
        <v>86</v>
      </c>
      <c r="B460" s="1" t="s">
        <v>1541</v>
      </c>
      <c r="C460" s="1" t="s">
        <v>32</v>
      </c>
      <c r="D460" s="1" t="s">
        <v>33</v>
      </c>
      <c r="E460" s="1" t="s">
        <v>1542</v>
      </c>
      <c r="F460" s="1" t="s">
        <v>35</v>
      </c>
      <c r="G460" s="3">
        <v>925</v>
      </c>
      <c r="H460" s="4">
        <v>32</v>
      </c>
      <c r="I460" s="5">
        <v>4347.5</v>
      </c>
      <c r="J460" s="5">
        <v>0</v>
      </c>
      <c r="K460" s="1" t="s">
        <v>36</v>
      </c>
      <c r="L460" s="1" t="s">
        <v>37</v>
      </c>
      <c r="M460" s="1" t="s">
        <v>37</v>
      </c>
      <c r="N460" s="3">
        <v>925</v>
      </c>
      <c r="O460" s="6">
        <f>Table1[[#This Row],[Invoice Qty]]-Table1[[#This Row],[ExFactory Qty]]</f>
        <v>0</v>
      </c>
      <c r="P460" s="1" t="s">
        <v>105</v>
      </c>
      <c r="Q460" s="2">
        <v>46287.3534953704</v>
      </c>
      <c r="S460" s="1" t="s">
        <v>39</v>
      </c>
      <c r="U460" s="1" t="s">
        <v>40</v>
      </c>
      <c r="V460" s="1" t="s">
        <v>41</v>
      </c>
      <c r="W460" s="1" t="s">
        <v>40</v>
      </c>
      <c r="X460" s="1" t="s">
        <v>40</v>
      </c>
      <c r="AA460" s="1" t="s">
        <v>1543</v>
      </c>
      <c r="AB460" s="2">
        <v>46287</v>
      </c>
      <c r="AC460" s="2">
        <v>46282</v>
      </c>
      <c r="AE460" s="1" t="s">
        <v>40</v>
      </c>
      <c r="AF460" s="1" t="s">
        <v>43</v>
      </c>
    </row>
    <row r="461" spans="1:32" ht="12.75" hidden="1" customHeight="1" x14ac:dyDescent="0.2">
      <c r="A461" s="1" t="s">
        <v>30</v>
      </c>
      <c r="B461" s="1" t="s">
        <v>1544</v>
      </c>
      <c r="C461" s="1" t="s">
        <v>71</v>
      </c>
      <c r="D461" s="1" t="s">
        <v>348</v>
      </c>
      <c r="E461" s="1" t="s">
        <v>1545</v>
      </c>
      <c r="F461" s="1" t="s">
        <v>350</v>
      </c>
      <c r="G461" s="3">
        <v>327</v>
      </c>
      <c r="H461" s="4">
        <v>5</v>
      </c>
      <c r="I461" s="5">
        <v>2007.78</v>
      </c>
      <c r="J461" s="5">
        <v>0</v>
      </c>
      <c r="K461" s="1" t="s">
        <v>36</v>
      </c>
      <c r="L461" s="1" t="s">
        <v>75</v>
      </c>
      <c r="M461" s="1" t="s">
        <v>75</v>
      </c>
      <c r="N461" s="3">
        <v>327</v>
      </c>
      <c r="O461" s="6">
        <f>Table1[[#This Row],[Invoice Qty]]-Table1[[#This Row],[ExFactory Qty]]</f>
        <v>0</v>
      </c>
      <c r="P461" s="1" t="s">
        <v>1546</v>
      </c>
      <c r="Q461" s="2">
        <v>46282.663067129601</v>
      </c>
      <c r="R461" s="2">
        <v>46290</v>
      </c>
      <c r="S461" s="1" t="s">
        <v>39</v>
      </c>
      <c r="U461" s="1" t="s">
        <v>40</v>
      </c>
      <c r="V461" s="1" t="s">
        <v>77</v>
      </c>
      <c r="W461" s="1" t="s">
        <v>40</v>
      </c>
      <c r="X461" s="1" t="s">
        <v>40</v>
      </c>
      <c r="Z461" s="2">
        <v>46290</v>
      </c>
      <c r="AA461" s="1" t="s">
        <v>1547</v>
      </c>
      <c r="AB461" s="2">
        <v>46282</v>
      </c>
      <c r="AC461" s="2">
        <v>46282.555127314801</v>
      </c>
      <c r="AE461" s="1" t="s">
        <v>40</v>
      </c>
      <c r="AF461" s="1" t="s">
        <v>326</v>
      </c>
    </row>
    <row r="462" spans="1:32" ht="12.75" hidden="1" customHeight="1" x14ac:dyDescent="0.2">
      <c r="A462" s="1" t="s">
        <v>30</v>
      </c>
      <c r="B462" s="1" t="s">
        <v>1548</v>
      </c>
      <c r="C462" s="1" t="s">
        <v>71</v>
      </c>
      <c r="D462" s="1" t="s">
        <v>323</v>
      </c>
      <c r="E462" s="1" t="s">
        <v>1549</v>
      </c>
      <c r="F462" s="1" t="s">
        <v>350</v>
      </c>
      <c r="G462" s="3">
        <v>56</v>
      </c>
      <c r="H462" s="4">
        <v>1</v>
      </c>
      <c r="I462" s="5">
        <v>260.95999999999998</v>
      </c>
      <c r="J462" s="5">
        <v>0</v>
      </c>
      <c r="K462" s="1" t="s">
        <v>36</v>
      </c>
      <c r="L462" s="1" t="s">
        <v>75</v>
      </c>
      <c r="M462" s="1" t="s">
        <v>75</v>
      </c>
      <c r="N462" s="3">
        <v>56</v>
      </c>
      <c r="O462" s="6">
        <f>Table1[[#This Row],[Invoice Qty]]-Table1[[#This Row],[ExFactory Qty]]</f>
        <v>0</v>
      </c>
      <c r="P462" s="1" t="s">
        <v>1546</v>
      </c>
      <c r="Q462" s="2">
        <v>46282.663067129601</v>
      </c>
      <c r="R462" s="2">
        <v>46290</v>
      </c>
      <c r="S462" s="1" t="s">
        <v>39</v>
      </c>
      <c r="U462" s="1" t="s">
        <v>40</v>
      </c>
      <c r="V462" s="1" t="s">
        <v>77</v>
      </c>
      <c r="W462" s="1" t="s">
        <v>40</v>
      </c>
      <c r="X462" s="1" t="s">
        <v>40</v>
      </c>
      <c r="Z462" s="2">
        <v>46290</v>
      </c>
      <c r="AA462" s="1" t="s">
        <v>1550</v>
      </c>
      <c r="AB462" s="2">
        <v>46282</v>
      </c>
      <c r="AC462" s="2">
        <v>46282.555127314801</v>
      </c>
      <c r="AE462" s="1" t="s">
        <v>40</v>
      </c>
      <c r="AF462" s="1" t="s">
        <v>326</v>
      </c>
    </row>
    <row r="463" spans="1:32" ht="12.75" hidden="1" customHeight="1" x14ac:dyDescent="0.2">
      <c r="A463" s="1" t="s">
        <v>30</v>
      </c>
      <c r="B463" s="1" t="s">
        <v>1551</v>
      </c>
      <c r="C463" s="1" t="s">
        <v>71</v>
      </c>
      <c r="D463" s="1" t="s">
        <v>323</v>
      </c>
      <c r="E463" s="1" t="s">
        <v>1552</v>
      </c>
      <c r="F463" s="1" t="s">
        <v>350</v>
      </c>
      <c r="G463" s="3">
        <v>1200</v>
      </c>
      <c r="H463" s="4">
        <v>24</v>
      </c>
      <c r="I463" s="5">
        <v>5592</v>
      </c>
      <c r="J463" s="5">
        <v>0</v>
      </c>
      <c r="K463" s="1" t="s">
        <v>36</v>
      </c>
      <c r="L463" s="1" t="s">
        <v>75</v>
      </c>
      <c r="M463" s="1" t="s">
        <v>75</v>
      </c>
      <c r="N463" s="3">
        <v>1200</v>
      </c>
      <c r="O463" s="6">
        <f>Table1[[#This Row],[Invoice Qty]]-Table1[[#This Row],[ExFactory Qty]]</f>
        <v>0</v>
      </c>
      <c r="P463" s="1" t="s">
        <v>1546</v>
      </c>
      <c r="Q463" s="2">
        <v>46282.663067129601</v>
      </c>
      <c r="R463" s="2">
        <v>46290</v>
      </c>
      <c r="S463" s="1" t="s">
        <v>39</v>
      </c>
      <c r="U463" s="1" t="s">
        <v>40</v>
      </c>
      <c r="V463" s="1" t="s">
        <v>77</v>
      </c>
      <c r="W463" s="1" t="s">
        <v>40</v>
      </c>
      <c r="X463" s="1" t="s">
        <v>40</v>
      </c>
      <c r="Z463" s="2">
        <v>46290</v>
      </c>
      <c r="AA463" s="1" t="s">
        <v>1553</v>
      </c>
      <c r="AB463" s="2">
        <v>46282</v>
      </c>
      <c r="AC463" s="2">
        <v>46282.555127314801</v>
      </c>
      <c r="AE463" s="1" t="s">
        <v>40</v>
      </c>
      <c r="AF463" s="1" t="s">
        <v>326</v>
      </c>
    </row>
    <row r="464" spans="1:32" ht="12.75" hidden="1" customHeight="1" x14ac:dyDescent="0.2">
      <c r="A464" s="1" t="s">
        <v>30</v>
      </c>
      <c r="B464" s="1" t="s">
        <v>1554</v>
      </c>
      <c r="C464" s="1" t="s">
        <v>71</v>
      </c>
      <c r="D464" s="1" t="s">
        <v>348</v>
      </c>
      <c r="E464" s="1" t="s">
        <v>1555</v>
      </c>
      <c r="F464" s="1" t="s">
        <v>350</v>
      </c>
      <c r="G464" s="3">
        <v>353</v>
      </c>
      <c r="H464" s="4">
        <v>7</v>
      </c>
      <c r="I464" s="5">
        <v>2241.5500000000002</v>
      </c>
      <c r="J464" s="5">
        <v>0</v>
      </c>
      <c r="K464" s="1" t="s">
        <v>36</v>
      </c>
      <c r="L464" s="1" t="s">
        <v>75</v>
      </c>
      <c r="M464" s="1" t="s">
        <v>75</v>
      </c>
      <c r="N464" s="3">
        <v>353</v>
      </c>
      <c r="O464" s="6">
        <f>Table1[[#This Row],[Invoice Qty]]-Table1[[#This Row],[ExFactory Qty]]</f>
        <v>0</v>
      </c>
      <c r="P464" s="1" t="s">
        <v>1546</v>
      </c>
      <c r="Q464" s="2">
        <v>46282.663067129601</v>
      </c>
      <c r="R464" s="2">
        <v>46290</v>
      </c>
      <c r="S464" s="1" t="s">
        <v>39</v>
      </c>
      <c r="U464" s="1" t="s">
        <v>40</v>
      </c>
      <c r="V464" s="1" t="s">
        <v>77</v>
      </c>
      <c r="W464" s="1" t="s">
        <v>40</v>
      </c>
      <c r="X464" s="1" t="s">
        <v>40</v>
      </c>
      <c r="Z464" s="2">
        <v>46290</v>
      </c>
      <c r="AA464" s="1" t="s">
        <v>1556</v>
      </c>
      <c r="AB464" s="2">
        <v>46282</v>
      </c>
      <c r="AC464" s="2">
        <v>46282.555127314801</v>
      </c>
      <c r="AE464" s="1" t="s">
        <v>40</v>
      </c>
      <c r="AF464" s="1" t="s">
        <v>326</v>
      </c>
    </row>
    <row r="465" spans="1:32" ht="12.75" hidden="1" customHeight="1" x14ac:dyDescent="0.2">
      <c r="A465" s="1" t="s">
        <v>30</v>
      </c>
      <c r="B465" s="1" t="s">
        <v>1557</v>
      </c>
      <c r="C465" s="1" t="s">
        <v>71</v>
      </c>
      <c r="D465" s="1" t="s">
        <v>323</v>
      </c>
      <c r="E465" s="1" t="s">
        <v>614</v>
      </c>
      <c r="F465" s="1" t="s">
        <v>337</v>
      </c>
      <c r="G465" s="3">
        <v>803</v>
      </c>
      <c r="H465" s="4">
        <v>32</v>
      </c>
      <c r="I465" s="5">
        <v>3878.49</v>
      </c>
      <c r="J465" s="5">
        <v>0</v>
      </c>
      <c r="K465" s="1" t="s">
        <v>36</v>
      </c>
      <c r="L465" s="1" t="s">
        <v>75</v>
      </c>
      <c r="M465" s="1" t="s">
        <v>75</v>
      </c>
      <c r="N465" s="3">
        <v>803</v>
      </c>
      <c r="O465" s="6">
        <f>Table1[[#This Row],[Invoice Qty]]-Table1[[#This Row],[ExFactory Qty]]</f>
        <v>0</v>
      </c>
      <c r="P465" s="1" t="s">
        <v>1558</v>
      </c>
      <c r="Q465" s="2">
        <v>46282.628958333298</v>
      </c>
      <c r="R465" s="2">
        <v>46288</v>
      </c>
      <c r="S465" s="1" t="s">
        <v>39</v>
      </c>
      <c r="U465" s="1" t="s">
        <v>40</v>
      </c>
      <c r="V465" s="1" t="s">
        <v>77</v>
      </c>
      <c r="W465" s="1" t="s">
        <v>40</v>
      </c>
      <c r="X465" s="1" t="s">
        <v>40</v>
      </c>
      <c r="Z465" s="2">
        <v>46288</v>
      </c>
      <c r="AA465" s="1" t="s">
        <v>1559</v>
      </c>
      <c r="AB465" s="2">
        <v>46282</v>
      </c>
      <c r="AC465" s="2">
        <v>46282.555127314801</v>
      </c>
      <c r="AE465" s="1" t="s">
        <v>40</v>
      </c>
      <c r="AF465" s="1" t="s">
        <v>326</v>
      </c>
    </row>
    <row r="466" spans="1:32" ht="12.75" hidden="1" customHeight="1" x14ac:dyDescent="0.2">
      <c r="A466" s="1" t="s">
        <v>30</v>
      </c>
      <c r="B466" s="1" t="s">
        <v>1560</v>
      </c>
      <c r="C466" s="1" t="s">
        <v>71</v>
      </c>
      <c r="D466" s="1" t="s">
        <v>72</v>
      </c>
      <c r="E466" s="1" t="s">
        <v>623</v>
      </c>
      <c r="F466" s="1" t="s">
        <v>337</v>
      </c>
      <c r="G466" s="3">
        <v>779</v>
      </c>
      <c r="H466" s="4">
        <v>10</v>
      </c>
      <c r="I466" s="5">
        <v>2383.7399999999998</v>
      </c>
      <c r="J466" s="5">
        <v>0</v>
      </c>
      <c r="K466" s="1" t="s">
        <v>36</v>
      </c>
      <c r="L466" s="1" t="s">
        <v>75</v>
      </c>
      <c r="M466" s="1" t="s">
        <v>75</v>
      </c>
      <c r="N466" s="3">
        <v>779</v>
      </c>
      <c r="O466" s="6">
        <f>Table1[[#This Row],[Invoice Qty]]-Table1[[#This Row],[ExFactory Qty]]</f>
        <v>0</v>
      </c>
      <c r="P466" s="1" t="s">
        <v>1558</v>
      </c>
      <c r="Q466" s="2">
        <v>46282.628958333298</v>
      </c>
      <c r="R466" s="2">
        <v>46288</v>
      </c>
      <c r="S466" s="1" t="s">
        <v>39</v>
      </c>
      <c r="U466" s="1" t="s">
        <v>40</v>
      </c>
      <c r="V466" s="1" t="s">
        <v>77</v>
      </c>
      <c r="W466" s="1" t="s">
        <v>40</v>
      </c>
      <c r="X466" s="1" t="s">
        <v>40</v>
      </c>
      <c r="Z466" s="2">
        <v>46288</v>
      </c>
      <c r="AA466" s="1" t="s">
        <v>1561</v>
      </c>
      <c r="AB466" s="2">
        <v>46282</v>
      </c>
      <c r="AC466" s="2">
        <v>46282.555127314801</v>
      </c>
      <c r="AE466" s="1" t="s">
        <v>40</v>
      </c>
      <c r="AF466" s="1" t="s">
        <v>79</v>
      </c>
    </row>
    <row r="467" spans="1:32" ht="12.75" hidden="1" customHeight="1" x14ac:dyDescent="0.2">
      <c r="A467" s="1" t="s">
        <v>30</v>
      </c>
      <c r="B467" s="1" t="s">
        <v>1562</v>
      </c>
      <c r="C467" s="1" t="s">
        <v>71</v>
      </c>
      <c r="D467" s="1" t="s">
        <v>72</v>
      </c>
      <c r="E467" s="1" t="s">
        <v>628</v>
      </c>
      <c r="F467" s="1" t="s">
        <v>337</v>
      </c>
      <c r="G467" s="3">
        <v>779</v>
      </c>
      <c r="H467" s="4">
        <v>10</v>
      </c>
      <c r="I467" s="5">
        <v>2002.03</v>
      </c>
      <c r="J467" s="5">
        <v>0</v>
      </c>
      <c r="K467" s="1" t="s">
        <v>36</v>
      </c>
      <c r="L467" s="1" t="s">
        <v>75</v>
      </c>
      <c r="M467" s="1" t="s">
        <v>75</v>
      </c>
      <c r="N467" s="3">
        <v>779</v>
      </c>
      <c r="O467" s="6">
        <f>Table1[[#This Row],[Invoice Qty]]-Table1[[#This Row],[ExFactory Qty]]</f>
        <v>0</v>
      </c>
      <c r="P467" s="1" t="s">
        <v>1558</v>
      </c>
      <c r="Q467" s="2">
        <v>46282.628958333298</v>
      </c>
      <c r="R467" s="2">
        <v>46288</v>
      </c>
      <c r="S467" s="1" t="s">
        <v>39</v>
      </c>
      <c r="U467" s="1" t="s">
        <v>40</v>
      </c>
      <c r="V467" s="1" t="s">
        <v>77</v>
      </c>
      <c r="W467" s="1" t="s">
        <v>40</v>
      </c>
      <c r="X467" s="1" t="s">
        <v>40</v>
      </c>
      <c r="Z467" s="2">
        <v>46288</v>
      </c>
      <c r="AA467" s="1" t="s">
        <v>1563</v>
      </c>
      <c r="AB467" s="2">
        <v>46282</v>
      </c>
      <c r="AC467" s="2">
        <v>46282.555127314801</v>
      </c>
      <c r="AE467" s="1" t="s">
        <v>40</v>
      </c>
      <c r="AF467" s="1" t="s">
        <v>79</v>
      </c>
    </row>
    <row r="468" spans="1:32" ht="12.75" hidden="1" customHeight="1" x14ac:dyDescent="0.2">
      <c r="A468" s="1" t="s">
        <v>30</v>
      </c>
      <c r="B468" s="1" t="s">
        <v>1564</v>
      </c>
      <c r="C468" s="1" t="s">
        <v>71</v>
      </c>
      <c r="D468" s="1" t="s">
        <v>899</v>
      </c>
      <c r="E468" s="1" t="s">
        <v>904</v>
      </c>
      <c r="F468" s="1" t="s">
        <v>445</v>
      </c>
      <c r="G468" s="3">
        <v>10</v>
      </c>
      <c r="H468" s="4">
        <v>1</v>
      </c>
      <c r="I468" s="5">
        <v>22.5</v>
      </c>
      <c r="J468" s="5">
        <v>0</v>
      </c>
      <c r="K468" s="1" t="s">
        <v>36</v>
      </c>
      <c r="L468" s="1" t="s">
        <v>75</v>
      </c>
      <c r="M468" s="1" t="s">
        <v>75</v>
      </c>
      <c r="N468" s="3">
        <v>10</v>
      </c>
      <c r="O468" s="6">
        <f>Table1[[#This Row],[Invoice Qty]]-Table1[[#This Row],[ExFactory Qty]]</f>
        <v>0</v>
      </c>
      <c r="P468" s="1" t="s">
        <v>1546</v>
      </c>
      <c r="Q468" s="2">
        <v>46282.663067129601</v>
      </c>
      <c r="R468" s="2">
        <v>46291</v>
      </c>
      <c r="S468" s="1" t="s">
        <v>39</v>
      </c>
      <c r="U468" s="1" t="s">
        <v>40</v>
      </c>
      <c r="V468" s="1" t="s">
        <v>77</v>
      </c>
      <c r="W468" s="1" t="s">
        <v>40</v>
      </c>
      <c r="X468" s="1" t="s">
        <v>40</v>
      </c>
      <c r="Z468" s="2">
        <v>46291</v>
      </c>
      <c r="AA468" s="1" t="s">
        <v>1565</v>
      </c>
      <c r="AB468" s="2">
        <v>46282</v>
      </c>
      <c r="AC468" s="2">
        <v>46282.555127314801</v>
      </c>
      <c r="AE468" s="1" t="s">
        <v>40</v>
      </c>
      <c r="AF468" s="1" t="s">
        <v>326</v>
      </c>
    </row>
    <row r="469" spans="1:32" ht="12.75" hidden="1" customHeight="1" x14ac:dyDescent="0.2">
      <c r="A469" s="1" t="s">
        <v>30</v>
      </c>
      <c r="B469" s="1" t="s">
        <v>1566</v>
      </c>
      <c r="C469" s="1" t="s">
        <v>71</v>
      </c>
      <c r="D469" s="1" t="s">
        <v>72</v>
      </c>
      <c r="E469" s="1" t="s">
        <v>909</v>
      </c>
      <c r="F469" s="1" t="s">
        <v>398</v>
      </c>
      <c r="G469" s="3">
        <v>345</v>
      </c>
      <c r="H469" s="4">
        <v>6</v>
      </c>
      <c r="I469" s="5">
        <v>1107.45</v>
      </c>
      <c r="J469" s="5">
        <v>0</v>
      </c>
      <c r="K469" s="1" t="s">
        <v>36</v>
      </c>
      <c r="L469" s="1" t="s">
        <v>75</v>
      </c>
      <c r="M469" s="1" t="s">
        <v>75</v>
      </c>
      <c r="N469" s="3">
        <v>345</v>
      </c>
      <c r="O469" s="6">
        <f>Table1[[#This Row],[Invoice Qty]]-Table1[[#This Row],[ExFactory Qty]]</f>
        <v>0</v>
      </c>
      <c r="P469" s="1" t="s">
        <v>1546</v>
      </c>
      <c r="Q469" s="2">
        <v>46282.663067129601</v>
      </c>
      <c r="R469" s="2">
        <v>46291</v>
      </c>
      <c r="S469" s="1" t="s">
        <v>39</v>
      </c>
      <c r="U469" s="1" t="s">
        <v>40</v>
      </c>
      <c r="V469" s="1" t="s">
        <v>77</v>
      </c>
      <c r="W469" s="1" t="s">
        <v>40</v>
      </c>
      <c r="X469" s="1" t="s">
        <v>40</v>
      </c>
      <c r="Z469" s="2">
        <v>46291</v>
      </c>
      <c r="AA469" s="1" t="s">
        <v>1567</v>
      </c>
      <c r="AB469" s="2">
        <v>46282</v>
      </c>
      <c r="AC469" s="2">
        <v>46282</v>
      </c>
      <c r="AE469" s="1" t="s">
        <v>40</v>
      </c>
      <c r="AF469" s="1" t="s">
        <v>79</v>
      </c>
    </row>
    <row r="470" spans="1:32" ht="12.75" hidden="1" customHeight="1" x14ac:dyDescent="0.2">
      <c r="A470" s="1" t="s">
        <v>30</v>
      </c>
      <c r="B470" s="1" t="s">
        <v>1568</v>
      </c>
      <c r="C470" s="1" t="s">
        <v>71</v>
      </c>
      <c r="D470" s="1" t="s">
        <v>72</v>
      </c>
      <c r="E470" s="1" t="s">
        <v>633</v>
      </c>
      <c r="F470" s="1" t="s">
        <v>337</v>
      </c>
      <c r="G470" s="3">
        <v>270</v>
      </c>
      <c r="H470" s="4">
        <v>3</v>
      </c>
      <c r="I470" s="5">
        <v>796.5</v>
      </c>
      <c r="J470" s="5">
        <v>0</v>
      </c>
      <c r="K470" s="1" t="s">
        <v>36</v>
      </c>
      <c r="L470" s="1" t="s">
        <v>75</v>
      </c>
      <c r="M470" s="1" t="s">
        <v>75</v>
      </c>
      <c r="N470" s="3">
        <v>270</v>
      </c>
      <c r="O470" s="6">
        <f>Table1[[#This Row],[Invoice Qty]]-Table1[[#This Row],[ExFactory Qty]]</f>
        <v>0</v>
      </c>
      <c r="P470" s="1" t="s">
        <v>1558</v>
      </c>
      <c r="Q470" s="2">
        <v>46282.628958333298</v>
      </c>
      <c r="R470" s="2">
        <v>46288</v>
      </c>
      <c r="S470" s="1" t="s">
        <v>39</v>
      </c>
      <c r="U470" s="1" t="s">
        <v>40</v>
      </c>
      <c r="V470" s="1" t="s">
        <v>77</v>
      </c>
      <c r="W470" s="1" t="s">
        <v>40</v>
      </c>
      <c r="X470" s="1" t="s">
        <v>40</v>
      </c>
      <c r="Z470" s="2">
        <v>46288</v>
      </c>
      <c r="AA470" s="1" t="s">
        <v>1569</v>
      </c>
      <c r="AB470" s="2">
        <v>46282</v>
      </c>
      <c r="AC470" s="2">
        <v>46282.555127314801</v>
      </c>
      <c r="AE470" s="1" t="s">
        <v>40</v>
      </c>
      <c r="AF470" s="1" t="s">
        <v>79</v>
      </c>
    </row>
    <row r="471" spans="1:32" ht="12.75" hidden="1" customHeight="1" x14ac:dyDescent="0.2">
      <c r="A471" s="1" t="s">
        <v>30</v>
      </c>
      <c r="B471" s="1" t="s">
        <v>1570</v>
      </c>
      <c r="C471" s="1" t="s">
        <v>71</v>
      </c>
      <c r="D471" s="1" t="s">
        <v>72</v>
      </c>
      <c r="E471" s="1" t="s">
        <v>1132</v>
      </c>
      <c r="F471" s="1" t="s">
        <v>350</v>
      </c>
      <c r="G471" s="3">
        <v>432</v>
      </c>
      <c r="H471" s="4">
        <v>4</v>
      </c>
      <c r="I471" s="5">
        <v>920.16</v>
      </c>
      <c r="J471" s="5">
        <v>0</v>
      </c>
      <c r="K471" s="1" t="s">
        <v>36</v>
      </c>
      <c r="L471" s="1" t="s">
        <v>75</v>
      </c>
      <c r="M471" s="1" t="s">
        <v>75</v>
      </c>
      <c r="N471" s="3">
        <v>432</v>
      </c>
      <c r="O471" s="6">
        <f>Table1[[#This Row],[Invoice Qty]]-Table1[[#This Row],[ExFactory Qty]]</f>
        <v>0</v>
      </c>
      <c r="P471" s="1" t="s">
        <v>1546</v>
      </c>
      <c r="Q471" s="2">
        <v>46282.663067129601</v>
      </c>
      <c r="R471" s="2">
        <v>46290</v>
      </c>
      <c r="S471" s="1" t="s">
        <v>39</v>
      </c>
      <c r="U471" s="1" t="s">
        <v>40</v>
      </c>
      <c r="V471" s="1" t="s">
        <v>77</v>
      </c>
      <c r="W471" s="1" t="s">
        <v>40</v>
      </c>
      <c r="X471" s="1" t="s">
        <v>40</v>
      </c>
      <c r="Z471" s="2">
        <v>46290</v>
      </c>
      <c r="AA471" s="1" t="s">
        <v>1571</v>
      </c>
      <c r="AB471" s="2">
        <v>46282</v>
      </c>
      <c r="AC471" s="2">
        <v>46282.555127314801</v>
      </c>
      <c r="AE471" s="1" t="s">
        <v>40</v>
      </c>
      <c r="AF471" s="1" t="s">
        <v>79</v>
      </c>
    </row>
    <row r="472" spans="1:32" ht="12.75" hidden="1" customHeight="1" x14ac:dyDescent="0.2">
      <c r="A472" s="1" t="s">
        <v>30</v>
      </c>
      <c r="B472" s="1" t="s">
        <v>1572</v>
      </c>
      <c r="C472" s="1" t="s">
        <v>71</v>
      </c>
      <c r="D472" s="1" t="s">
        <v>365</v>
      </c>
      <c r="E472" s="1" t="s">
        <v>366</v>
      </c>
      <c r="F472" s="1" t="s">
        <v>108</v>
      </c>
      <c r="G472" s="3">
        <v>295</v>
      </c>
      <c r="H472" s="4">
        <v>4</v>
      </c>
      <c r="I472" s="5">
        <v>1708.05</v>
      </c>
      <c r="J472" s="5">
        <v>0</v>
      </c>
      <c r="K472" s="1" t="s">
        <v>36</v>
      </c>
      <c r="L472" s="1" t="s">
        <v>75</v>
      </c>
      <c r="M472" s="1" t="s">
        <v>75</v>
      </c>
      <c r="N472" s="3">
        <v>295</v>
      </c>
      <c r="O472" s="6">
        <f>Table1[[#This Row],[Invoice Qty]]-Table1[[#This Row],[ExFactory Qty]]</f>
        <v>0</v>
      </c>
      <c r="P472" s="1" t="s">
        <v>1573</v>
      </c>
      <c r="Q472" s="2">
        <v>46282.656168981499</v>
      </c>
      <c r="R472" s="2">
        <v>46292</v>
      </c>
      <c r="S472" s="1" t="s">
        <v>39</v>
      </c>
      <c r="U472" s="1" t="s">
        <v>40</v>
      </c>
      <c r="V472" s="1" t="s">
        <v>77</v>
      </c>
      <c r="W472" s="1" t="s">
        <v>40</v>
      </c>
      <c r="X472" s="1" t="s">
        <v>40</v>
      </c>
      <c r="AA472" s="1" t="s">
        <v>1574</v>
      </c>
      <c r="AB472" s="2">
        <v>46282</v>
      </c>
      <c r="AC472" s="2">
        <v>46282.555127314801</v>
      </c>
      <c r="AE472" s="1" t="s">
        <v>40</v>
      </c>
      <c r="AF472" s="1" t="s">
        <v>40</v>
      </c>
    </row>
    <row r="473" spans="1:32" ht="12.75" hidden="1" customHeight="1" x14ac:dyDescent="0.2">
      <c r="A473" s="1" t="s">
        <v>30</v>
      </c>
      <c r="B473" s="1" t="s">
        <v>1575</v>
      </c>
      <c r="C473" s="1" t="s">
        <v>71</v>
      </c>
      <c r="D473" s="1" t="s">
        <v>323</v>
      </c>
      <c r="E473" s="1" t="s">
        <v>935</v>
      </c>
      <c r="F473" s="1" t="s">
        <v>398</v>
      </c>
      <c r="G473" s="3">
        <v>322</v>
      </c>
      <c r="H473" s="4">
        <v>7</v>
      </c>
      <c r="I473" s="5">
        <v>1101.24</v>
      </c>
      <c r="J473" s="5">
        <v>0</v>
      </c>
      <c r="K473" s="1" t="s">
        <v>36</v>
      </c>
      <c r="L473" s="1" t="s">
        <v>75</v>
      </c>
      <c r="M473" s="1" t="s">
        <v>75</v>
      </c>
      <c r="N473" s="3">
        <v>322</v>
      </c>
      <c r="O473" s="6">
        <f>Table1[[#This Row],[Invoice Qty]]-Table1[[#This Row],[ExFactory Qty]]</f>
        <v>0</v>
      </c>
      <c r="P473" s="1" t="s">
        <v>1546</v>
      </c>
      <c r="Q473" s="2">
        <v>46282.663067129601</v>
      </c>
      <c r="R473" s="2">
        <v>46291</v>
      </c>
      <c r="S473" s="1" t="s">
        <v>39</v>
      </c>
      <c r="U473" s="1" t="s">
        <v>40</v>
      </c>
      <c r="V473" s="1" t="s">
        <v>77</v>
      </c>
      <c r="W473" s="1" t="s">
        <v>40</v>
      </c>
      <c r="X473" s="1" t="s">
        <v>40</v>
      </c>
      <c r="Z473" s="2">
        <v>46291</v>
      </c>
      <c r="AA473" s="1" t="s">
        <v>1576</v>
      </c>
      <c r="AB473" s="2">
        <v>46282</v>
      </c>
      <c r="AC473" s="2">
        <v>46282</v>
      </c>
      <c r="AE473" s="1" t="s">
        <v>40</v>
      </c>
      <c r="AF473" s="1" t="s">
        <v>326</v>
      </c>
    </row>
    <row r="474" spans="1:32" ht="12.75" hidden="1" customHeight="1" x14ac:dyDescent="0.2">
      <c r="A474" s="1" t="s">
        <v>30</v>
      </c>
      <c r="B474" s="1" t="s">
        <v>1577</v>
      </c>
      <c r="C474" s="1" t="s">
        <v>71</v>
      </c>
      <c r="D474" s="1" t="s">
        <v>365</v>
      </c>
      <c r="E474" s="1" t="s">
        <v>647</v>
      </c>
      <c r="F474" s="1" t="s">
        <v>372</v>
      </c>
      <c r="G474" s="3">
        <v>323</v>
      </c>
      <c r="H474" s="4">
        <v>6</v>
      </c>
      <c r="I474" s="5">
        <v>1860.48</v>
      </c>
      <c r="J474" s="5">
        <v>0</v>
      </c>
      <c r="K474" s="1" t="s">
        <v>36</v>
      </c>
      <c r="L474" s="1" t="s">
        <v>75</v>
      </c>
      <c r="M474" s="1" t="s">
        <v>75</v>
      </c>
      <c r="N474" s="3">
        <v>323</v>
      </c>
      <c r="O474" s="6">
        <f>Table1[[#This Row],[Invoice Qty]]-Table1[[#This Row],[ExFactory Qty]]</f>
        <v>0</v>
      </c>
      <c r="P474" s="1" t="s">
        <v>1573</v>
      </c>
      <c r="Q474" s="2">
        <v>46282.656168981499</v>
      </c>
      <c r="R474" s="2">
        <v>46287</v>
      </c>
      <c r="S474" s="1" t="s">
        <v>39</v>
      </c>
      <c r="U474" s="1" t="s">
        <v>40</v>
      </c>
      <c r="V474" s="1" t="s">
        <v>77</v>
      </c>
      <c r="W474" s="1" t="s">
        <v>40</v>
      </c>
      <c r="X474" s="1" t="s">
        <v>40</v>
      </c>
      <c r="Z474" s="2">
        <v>46289</v>
      </c>
      <c r="AA474" s="1" t="s">
        <v>1578</v>
      </c>
      <c r="AB474" s="2">
        <v>46282</v>
      </c>
      <c r="AC474" s="2">
        <v>46282.555127314801</v>
      </c>
      <c r="AE474" s="1" t="s">
        <v>40</v>
      </c>
      <c r="AF474" s="1" t="s">
        <v>40</v>
      </c>
    </row>
    <row r="475" spans="1:32" ht="12.75" hidden="1" customHeight="1" x14ac:dyDescent="0.2">
      <c r="A475" s="1" t="s">
        <v>30</v>
      </c>
      <c r="B475" s="1" t="s">
        <v>1579</v>
      </c>
      <c r="C475" s="1" t="s">
        <v>71</v>
      </c>
      <c r="D475" s="1" t="s">
        <v>365</v>
      </c>
      <c r="E475" s="1" t="s">
        <v>381</v>
      </c>
      <c r="F475" s="1" t="s">
        <v>361</v>
      </c>
      <c r="G475" s="3">
        <v>20</v>
      </c>
      <c r="H475" s="4">
        <v>1</v>
      </c>
      <c r="I475" s="5">
        <v>115.2</v>
      </c>
      <c r="J475" s="5">
        <v>0</v>
      </c>
      <c r="K475" s="1" t="s">
        <v>36</v>
      </c>
      <c r="L475" s="1" t="s">
        <v>75</v>
      </c>
      <c r="M475" s="1" t="s">
        <v>75</v>
      </c>
      <c r="N475" s="3">
        <v>20</v>
      </c>
      <c r="O475" s="6">
        <f>Table1[[#This Row],[Invoice Qty]]-Table1[[#This Row],[ExFactory Qty]]</f>
        <v>0</v>
      </c>
      <c r="P475" s="1" t="s">
        <v>1558</v>
      </c>
      <c r="Q475" s="2">
        <v>46282.628958333298</v>
      </c>
      <c r="R475" s="2">
        <v>46288</v>
      </c>
      <c r="S475" s="1" t="s">
        <v>39</v>
      </c>
      <c r="U475" s="1" t="s">
        <v>40</v>
      </c>
      <c r="V475" s="1" t="s">
        <v>77</v>
      </c>
      <c r="W475" s="1" t="s">
        <v>40</v>
      </c>
      <c r="X475" s="1" t="s">
        <v>40</v>
      </c>
      <c r="Z475" s="2">
        <v>46289</v>
      </c>
      <c r="AA475" s="1" t="s">
        <v>1580</v>
      </c>
      <c r="AB475" s="2">
        <v>46282</v>
      </c>
      <c r="AC475" s="2">
        <v>46282.555127314801</v>
      </c>
      <c r="AE475" s="1" t="s">
        <v>40</v>
      </c>
      <c r="AF475" s="1" t="s">
        <v>40</v>
      </c>
    </row>
    <row r="476" spans="1:32" ht="12.75" hidden="1" customHeight="1" x14ac:dyDescent="0.2">
      <c r="A476" s="1" t="s">
        <v>30</v>
      </c>
      <c r="B476" s="1" t="s">
        <v>1581</v>
      </c>
      <c r="C476" s="1" t="s">
        <v>71</v>
      </c>
      <c r="D476" s="1" t="s">
        <v>72</v>
      </c>
      <c r="E476" s="1" t="s">
        <v>657</v>
      </c>
      <c r="F476" s="1" t="s">
        <v>361</v>
      </c>
      <c r="G476" s="3">
        <v>145</v>
      </c>
      <c r="H476" s="4">
        <v>2</v>
      </c>
      <c r="I476" s="5">
        <v>400.2</v>
      </c>
      <c r="J476" s="5">
        <v>0</v>
      </c>
      <c r="K476" s="1" t="s">
        <v>36</v>
      </c>
      <c r="L476" s="1" t="s">
        <v>75</v>
      </c>
      <c r="M476" s="1" t="s">
        <v>75</v>
      </c>
      <c r="N476" s="3">
        <v>145</v>
      </c>
      <c r="O476" s="6">
        <f>Table1[[#This Row],[Invoice Qty]]-Table1[[#This Row],[ExFactory Qty]]</f>
        <v>0</v>
      </c>
      <c r="P476" s="1" t="s">
        <v>1558</v>
      </c>
      <c r="Q476" s="2">
        <v>46282.628958333298</v>
      </c>
      <c r="R476" s="2">
        <v>46288</v>
      </c>
      <c r="S476" s="1" t="s">
        <v>39</v>
      </c>
      <c r="U476" s="1" t="s">
        <v>40</v>
      </c>
      <c r="V476" s="1" t="s">
        <v>77</v>
      </c>
      <c r="W476" s="1" t="s">
        <v>40</v>
      </c>
      <c r="X476" s="1" t="s">
        <v>40</v>
      </c>
      <c r="Z476" s="2">
        <v>46289</v>
      </c>
      <c r="AA476" s="1" t="s">
        <v>1582</v>
      </c>
      <c r="AB476" s="2">
        <v>46282</v>
      </c>
      <c r="AC476" s="2">
        <v>46282.555127314801</v>
      </c>
      <c r="AE476" s="1" t="s">
        <v>40</v>
      </c>
      <c r="AF476" s="1" t="s">
        <v>79</v>
      </c>
    </row>
    <row r="477" spans="1:32" ht="12.75" hidden="1" customHeight="1" x14ac:dyDescent="0.2">
      <c r="A477" s="1" t="s">
        <v>30</v>
      </c>
      <c r="B477" s="1" t="s">
        <v>1583</v>
      </c>
      <c r="C477" s="1" t="s">
        <v>71</v>
      </c>
      <c r="D477" s="1" t="s">
        <v>72</v>
      </c>
      <c r="E477" s="1" t="s">
        <v>674</v>
      </c>
      <c r="F477" s="1" t="s">
        <v>367</v>
      </c>
      <c r="G477" s="3">
        <v>29</v>
      </c>
      <c r="H477" s="4">
        <v>1</v>
      </c>
      <c r="I477" s="5">
        <v>68.150000000000006</v>
      </c>
      <c r="J477" s="5">
        <v>0</v>
      </c>
      <c r="K477" s="1" t="s">
        <v>36</v>
      </c>
      <c r="L477" s="1" t="s">
        <v>75</v>
      </c>
      <c r="M477" s="1" t="s">
        <v>75</v>
      </c>
      <c r="N477" s="3">
        <v>29</v>
      </c>
      <c r="O477" s="6">
        <f>Table1[[#This Row],[Invoice Qty]]-Table1[[#This Row],[ExFactory Qty]]</f>
        <v>0</v>
      </c>
      <c r="P477" s="1" t="s">
        <v>1573</v>
      </c>
      <c r="Q477" s="2">
        <v>46282.656168981499</v>
      </c>
      <c r="R477" s="2">
        <v>46288</v>
      </c>
      <c r="S477" s="1" t="s">
        <v>39</v>
      </c>
      <c r="U477" s="1" t="s">
        <v>40</v>
      </c>
      <c r="V477" s="1" t="s">
        <v>77</v>
      </c>
      <c r="W477" s="1" t="s">
        <v>40</v>
      </c>
      <c r="X477" s="1" t="s">
        <v>40</v>
      </c>
      <c r="Z477" s="2">
        <v>46288</v>
      </c>
      <c r="AA477" s="1" t="s">
        <v>1584</v>
      </c>
      <c r="AB477" s="2">
        <v>46282</v>
      </c>
      <c r="AC477" s="2">
        <v>46282.555127314801</v>
      </c>
      <c r="AE477" s="1" t="s">
        <v>40</v>
      </c>
      <c r="AF477" s="1" t="s">
        <v>79</v>
      </c>
    </row>
    <row r="478" spans="1:32" ht="12.75" hidden="1" customHeight="1" x14ac:dyDescent="0.2">
      <c r="A478" s="1" t="s">
        <v>30</v>
      </c>
      <c r="B478" s="1" t="s">
        <v>1585</v>
      </c>
      <c r="C478" s="1" t="s">
        <v>71</v>
      </c>
      <c r="D478" s="1" t="s">
        <v>72</v>
      </c>
      <c r="E478" s="1" t="s">
        <v>674</v>
      </c>
      <c r="F478" s="1" t="s">
        <v>398</v>
      </c>
      <c r="G478" s="3">
        <v>202</v>
      </c>
      <c r="H478" s="4">
        <v>3</v>
      </c>
      <c r="I478" s="5">
        <v>480.76</v>
      </c>
      <c r="J478" s="5">
        <v>0</v>
      </c>
      <c r="K478" s="1" t="s">
        <v>36</v>
      </c>
      <c r="L478" s="1" t="s">
        <v>75</v>
      </c>
      <c r="M478" s="1" t="s">
        <v>75</v>
      </c>
      <c r="N478" s="3">
        <v>202</v>
      </c>
      <c r="O478" s="6">
        <f>Table1[[#This Row],[Invoice Qty]]-Table1[[#This Row],[ExFactory Qty]]</f>
        <v>0</v>
      </c>
      <c r="P478" s="1" t="s">
        <v>1546</v>
      </c>
      <c r="Q478" s="2">
        <v>46282.663067129601</v>
      </c>
      <c r="R478" s="2">
        <v>46291</v>
      </c>
      <c r="S478" s="1" t="s">
        <v>39</v>
      </c>
      <c r="U478" s="1" t="s">
        <v>40</v>
      </c>
      <c r="V478" s="1" t="s">
        <v>77</v>
      </c>
      <c r="W478" s="1" t="s">
        <v>40</v>
      </c>
      <c r="X478" s="1" t="s">
        <v>40</v>
      </c>
      <c r="Z478" s="2">
        <v>46291</v>
      </c>
      <c r="AA478" s="1" t="s">
        <v>1586</v>
      </c>
      <c r="AB478" s="2">
        <v>46282</v>
      </c>
      <c r="AC478" s="2">
        <v>46282</v>
      </c>
      <c r="AE478" s="1" t="s">
        <v>40</v>
      </c>
      <c r="AF478" s="1" t="s">
        <v>79</v>
      </c>
    </row>
    <row r="479" spans="1:32" ht="12.75" hidden="1" customHeight="1" x14ac:dyDescent="0.2">
      <c r="A479" s="1" t="s">
        <v>30</v>
      </c>
      <c r="B479" s="1" t="s">
        <v>1587</v>
      </c>
      <c r="C479" s="1" t="s">
        <v>71</v>
      </c>
      <c r="D479" s="1" t="s">
        <v>72</v>
      </c>
      <c r="E479" s="1" t="s">
        <v>674</v>
      </c>
      <c r="F479" s="1" t="s">
        <v>361</v>
      </c>
      <c r="G479" s="3">
        <v>35</v>
      </c>
      <c r="H479" s="4">
        <v>1</v>
      </c>
      <c r="I479" s="5">
        <v>82.25</v>
      </c>
      <c r="J479" s="5">
        <v>0</v>
      </c>
      <c r="K479" s="1" t="s">
        <v>36</v>
      </c>
      <c r="L479" s="1" t="s">
        <v>75</v>
      </c>
      <c r="M479" s="1" t="s">
        <v>75</v>
      </c>
      <c r="N479" s="3">
        <v>35</v>
      </c>
      <c r="O479" s="6">
        <f>Table1[[#This Row],[Invoice Qty]]-Table1[[#This Row],[ExFactory Qty]]</f>
        <v>0</v>
      </c>
      <c r="P479" s="1" t="s">
        <v>1558</v>
      </c>
      <c r="Q479" s="2">
        <v>46282.628958333298</v>
      </c>
      <c r="R479" s="2">
        <v>46288</v>
      </c>
      <c r="S479" s="1" t="s">
        <v>39</v>
      </c>
      <c r="U479" s="1" t="s">
        <v>40</v>
      </c>
      <c r="V479" s="1" t="s">
        <v>77</v>
      </c>
      <c r="W479" s="1" t="s">
        <v>40</v>
      </c>
      <c r="X479" s="1" t="s">
        <v>40</v>
      </c>
      <c r="AA479" s="1" t="s">
        <v>1588</v>
      </c>
      <c r="AB479" s="2">
        <v>46282</v>
      </c>
      <c r="AC479" s="2">
        <v>46282.555127314801</v>
      </c>
      <c r="AE479" s="1" t="s">
        <v>40</v>
      </c>
      <c r="AF479" s="1" t="s">
        <v>79</v>
      </c>
    </row>
    <row r="480" spans="1:32" ht="12.75" hidden="1" customHeight="1" x14ac:dyDescent="0.2">
      <c r="A480" s="1" t="s">
        <v>30</v>
      </c>
      <c r="B480" s="1" t="s">
        <v>1589</v>
      </c>
      <c r="C480" s="1" t="s">
        <v>71</v>
      </c>
      <c r="D480" s="1" t="s">
        <v>72</v>
      </c>
      <c r="E480" s="1" t="s">
        <v>424</v>
      </c>
      <c r="F480" s="1" t="s">
        <v>445</v>
      </c>
      <c r="G480" s="3">
        <v>82</v>
      </c>
      <c r="H480" s="4">
        <v>1</v>
      </c>
      <c r="I480" s="5">
        <v>195.16</v>
      </c>
      <c r="J480" s="5">
        <v>0</v>
      </c>
      <c r="K480" s="1" t="s">
        <v>36</v>
      </c>
      <c r="L480" s="1" t="s">
        <v>75</v>
      </c>
      <c r="M480" s="1" t="s">
        <v>75</v>
      </c>
      <c r="N480" s="3">
        <v>82</v>
      </c>
      <c r="O480" s="6">
        <f>Table1[[#This Row],[Invoice Qty]]-Table1[[#This Row],[ExFactory Qty]]</f>
        <v>0</v>
      </c>
      <c r="P480" s="1" t="s">
        <v>1546</v>
      </c>
      <c r="Q480" s="2">
        <v>46282.663067129601</v>
      </c>
      <c r="R480" s="2">
        <v>46291</v>
      </c>
      <c r="S480" s="1" t="s">
        <v>39</v>
      </c>
      <c r="U480" s="1" t="s">
        <v>40</v>
      </c>
      <c r="V480" s="1" t="s">
        <v>77</v>
      </c>
      <c r="W480" s="1" t="s">
        <v>40</v>
      </c>
      <c r="X480" s="1" t="s">
        <v>40</v>
      </c>
      <c r="Z480" s="2">
        <v>46291</v>
      </c>
      <c r="AA480" s="1" t="s">
        <v>1590</v>
      </c>
      <c r="AB480" s="2">
        <v>46282</v>
      </c>
      <c r="AC480" s="2">
        <v>46282.555127314801</v>
      </c>
      <c r="AE480" s="1" t="s">
        <v>40</v>
      </c>
      <c r="AF480" s="1" t="s">
        <v>79</v>
      </c>
    </row>
    <row r="481" spans="1:32" ht="12.75" hidden="1" customHeight="1" x14ac:dyDescent="0.2">
      <c r="A481" s="1" t="s">
        <v>30</v>
      </c>
      <c r="B481" s="1" t="s">
        <v>1591</v>
      </c>
      <c r="C481" s="1" t="s">
        <v>71</v>
      </c>
      <c r="D481" s="1" t="s">
        <v>72</v>
      </c>
      <c r="E481" s="1" t="s">
        <v>424</v>
      </c>
      <c r="F481" s="1" t="s">
        <v>398</v>
      </c>
      <c r="G481" s="3">
        <v>147</v>
      </c>
      <c r="H481" s="4">
        <v>2</v>
      </c>
      <c r="I481" s="5">
        <v>349.86</v>
      </c>
      <c r="J481" s="5">
        <v>0</v>
      </c>
      <c r="K481" s="1" t="s">
        <v>36</v>
      </c>
      <c r="L481" s="1" t="s">
        <v>75</v>
      </c>
      <c r="M481" s="1" t="s">
        <v>75</v>
      </c>
      <c r="N481" s="3">
        <v>147</v>
      </c>
      <c r="O481" s="6">
        <f>Table1[[#This Row],[Invoice Qty]]-Table1[[#This Row],[ExFactory Qty]]</f>
        <v>0</v>
      </c>
      <c r="P481" s="1" t="s">
        <v>1546</v>
      </c>
      <c r="Q481" s="2">
        <v>46282.663067129601</v>
      </c>
      <c r="R481" s="2">
        <v>46291</v>
      </c>
      <c r="S481" s="1" t="s">
        <v>39</v>
      </c>
      <c r="U481" s="1" t="s">
        <v>40</v>
      </c>
      <c r="V481" s="1" t="s">
        <v>77</v>
      </c>
      <c r="W481" s="1" t="s">
        <v>40</v>
      </c>
      <c r="X481" s="1" t="s">
        <v>40</v>
      </c>
      <c r="Z481" s="2">
        <v>46291</v>
      </c>
      <c r="AA481" s="1" t="s">
        <v>1592</v>
      </c>
      <c r="AB481" s="2">
        <v>46282</v>
      </c>
      <c r="AC481" s="2">
        <v>46282</v>
      </c>
      <c r="AE481" s="1" t="s">
        <v>40</v>
      </c>
      <c r="AF481" s="1" t="s">
        <v>79</v>
      </c>
    </row>
    <row r="482" spans="1:32" ht="12.75" hidden="1" customHeight="1" x14ac:dyDescent="0.2">
      <c r="A482" s="1" t="s">
        <v>30</v>
      </c>
      <c r="B482" s="1" t="s">
        <v>1593</v>
      </c>
      <c r="C482" s="1" t="s">
        <v>71</v>
      </c>
      <c r="D482" s="1" t="s">
        <v>72</v>
      </c>
      <c r="E482" s="1" t="s">
        <v>424</v>
      </c>
      <c r="F482" s="1" t="s">
        <v>361</v>
      </c>
      <c r="G482" s="3">
        <v>48</v>
      </c>
      <c r="H482" s="4">
        <v>1</v>
      </c>
      <c r="I482" s="5">
        <v>112.8</v>
      </c>
      <c r="J482" s="5">
        <v>0</v>
      </c>
      <c r="K482" s="1" t="s">
        <v>36</v>
      </c>
      <c r="L482" s="1" t="s">
        <v>75</v>
      </c>
      <c r="M482" s="1" t="s">
        <v>75</v>
      </c>
      <c r="N482" s="3">
        <v>48</v>
      </c>
      <c r="O482" s="6">
        <f>Table1[[#This Row],[Invoice Qty]]-Table1[[#This Row],[ExFactory Qty]]</f>
        <v>0</v>
      </c>
      <c r="P482" s="1" t="s">
        <v>1558</v>
      </c>
      <c r="Q482" s="2">
        <v>46282.628958333298</v>
      </c>
      <c r="R482" s="2">
        <v>46288</v>
      </c>
      <c r="S482" s="1" t="s">
        <v>39</v>
      </c>
      <c r="U482" s="1" t="s">
        <v>40</v>
      </c>
      <c r="V482" s="1" t="s">
        <v>77</v>
      </c>
      <c r="W482" s="1" t="s">
        <v>40</v>
      </c>
      <c r="X482" s="1" t="s">
        <v>40</v>
      </c>
      <c r="Z482" s="2">
        <v>46289</v>
      </c>
      <c r="AA482" s="1" t="s">
        <v>1594</v>
      </c>
      <c r="AB482" s="2">
        <v>46282</v>
      </c>
      <c r="AC482" s="2">
        <v>46282.555127314801</v>
      </c>
      <c r="AE482" s="1" t="s">
        <v>40</v>
      </c>
      <c r="AF482" s="1" t="s">
        <v>79</v>
      </c>
    </row>
    <row r="483" spans="1:32" ht="12.75" hidden="1" customHeight="1" x14ac:dyDescent="0.2">
      <c r="A483" s="1" t="s">
        <v>30</v>
      </c>
      <c r="B483" s="1" t="s">
        <v>1595</v>
      </c>
      <c r="C483" s="1" t="s">
        <v>71</v>
      </c>
      <c r="D483" s="1" t="s">
        <v>323</v>
      </c>
      <c r="E483" s="1" t="s">
        <v>1596</v>
      </c>
      <c r="F483" s="1" t="s">
        <v>398</v>
      </c>
      <c r="G483" s="3">
        <v>373</v>
      </c>
      <c r="H483" s="4">
        <v>6</v>
      </c>
      <c r="I483" s="5">
        <v>1204.79</v>
      </c>
      <c r="J483" s="5">
        <v>0</v>
      </c>
      <c r="K483" s="1" t="s">
        <v>36</v>
      </c>
      <c r="L483" s="1" t="s">
        <v>75</v>
      </c>
      <c r="M483" s="1" t="s">
        <v>75</v>
      </c>
      <c r="N483" s="3">
        <v>373</v>
      </c>
      <c r="O483" s="6">
        <f>Table1[[#This Row],[Invoice Qty]]-Table1[[#This Row],[ExFactory Qty]]</f>
        <v>0</v>
      </c>
      <c r="P483" s="1" t="s">
        <v>1546</v>
      </c>
      <c r="Q483" s="2">
        <v>46282.663067129601</v>
      </c>
      <c r="R483" s="2">
        <v>46291</v>
      </c>
      <c r="S483" s="1" t="s">
        <v>39</v>
      </c>
      <c r="U483" s="1" t="s">
        <v>40</v>
      </c>
      <c r="V483" s="1" t="s">
        <v>77</v>
      </c>
      <c r="W483" s="1" t="s">
        <v>40</v>
      </c>
      <c r="X483" s="1" t="s">
        <v>40</v>
      </c>
      <c r="Z483" s="2">
        <v>46291</v>
      </c>
      <c r="AA483" s="1" t="s">
        <v>1597</v>
      </c>
      <c r="AB483" s="2">
        <v>46282</v>
      </c>
      <c r="AC483" s="2">
        <v>46282</v>
      </c>
      <c r="AE483" s="1" t="s">
        <v>40</v>
      </c>
      <c r="AF483" s="1" t="s">
        <v>326</v>
      </c>
    </row>
    <row r="484" spans="1:32" ht="12.75" hidden="1" customHeight="1" x14ac:dyDescent="0.2">
      <c r="A484" s="1" t="s">
        <v>30</v>
      </c>
      <c r="B484" s="1" t="s">
        <v>1598</v>
      </c>
      <c r="C484" s="1" t="s">
        <v>71</v>
      </c>
      <c r="D484" s="1" t="s">
        <v>72</v>
      </c>
      <c r="E484" s="1" t="s">
        <v>432</v>
      </c>
      <c r="F484" s="1" t="s">
        <v>361</v>
      </c>
      <c r="G484" s="3">
        <v>382</v>
      </c>
      <c r="H484" s="4">
        <v>4</v>
      </c>
      <c r="I484" s="5">
        <v>802.2</v>
      </c>
      <c r="J484" s="5">
        <v>0</v>
      </c>
      <c r="K484" s="1" t="s">
        <v>36</v>
      </c>
      <c r="L484" s="1" t="s">
        <v>75</v>
      </c>
      <c r="M484" s="1" t="s">
        <v>75</v>
      </c>
      <c r="N484" s="3">
        <v>382</v>
      </c>
      <c r="O484" s="6">
        <f>Table1[[#This Row],[Invoice Qty]]-Table1[[#This Row],[ExFactory Qty]]</f>
        <v>0</v>
      </c>
      <c r="P484" s="1" t="s">
        <v>1558</v>
      </c>
      <c r="Q484" s="2">
        <v>46282.628958333298</v>
      </c>
      <c r="R484" s="2">
        <v>46288</v>
      </c>
      <c r="S484" s="1" t="s">
        <v>39</v>
      </c>
      <c r="U484" s="1" t="s">
        <v>40</v>
      </c>
      <c r="V484" s="1" t="s">
        <v>77</v>
      </c>
      <c r="W484" s="1" t="s">
        <v>40</v>
      </c>
      <c r="X484" s="1" t="s">
        <v>40</v>
      </c>
      <c r="Z484" s="2">
        <v>46289</v>
      </c>
      <c r="AA484" s="1" t="s">
        <v>1599</v>
      </c>
      <c r="AB484" s="2">
        <v>46282</v>
      </c>
      <c r="AC484" s="2">
        <v>46282.555127314801</v>
      </c>
      <c r="AE484" s="1" t="s">
        <v>40</v>
      </c>
      <c r="AF484" s="1" t="s">
        <v>79</v>
      </c>
    </row>
    <row r="485" spans="1:32" ht="12.75" hidden="1" customHeight="1" x14ac:dyDescent="0.2">
      <c r="A485" s="1" t="s">
        <v>30</v>
      </c>
      <c r="B485" s="1" t="s">
        <v>1600</v>
      </c>
      <c r="C485" s="1" t="s">
        <v>71</v>
      </c>
      <c r="D485" s="1" t="s">
        <v>72</v>
      </c>
      <c r="E485" s="1" t="s">
        <v>439</v>
      </c>
      <c r="F485" s="1" t="s">
        <v>445</v>
      </c>
      <c r="G485" s="3">
        <v>96</v>
      </c>
      <c r="H485" s="4">
        <v>1</v>
      </c>
      <c r="I485" s="5">
        <v>201.6</v>
      </c>
      <c r="J485" s="5">
        <v>0</v>
      </c>
      <c r="K485" s="1" t="s">
        <v>36</v>
      </c>
      <c r="L485" s="1" t="s">
        <v>75</v>
      </c>
      <c r="M485" s="1" t="s">
        <v>75</v>
      </c>
      <c r="N485" s="3">
        <v>96</v>
      </c>
      <c r="O485" s="6">
        <f>Table1[[#This Row],[Invoice Qty]]-Table1[[#This Row],[ExFactory Qty]]</f>
        <v>0</v>
      </c>
      <c r="P485" s="1" t="s">
        <v>1546</v>
      </c>
      <c r="Q485" s="2">
        <v>46282.663067129601</v>
      </c>
      <c r="R485" s="2">
        <v>46291</v>
      </c>
      <c r="S485" s="1" t="s">
        <v>39</v>
      </c>
      <c r="U485" s="1" t="s">
        <v>40</v>
      </c>
      <c r="V485" s="1" t="s">
        <v>77</v>
      </c>
      <c r="W485" s="1" t="s">
        <v>40</v>
      </c>
      <c r="X485" s="1" t="s">
        <v>40</v>
      </c>
      <c r="Z485" s="2">
        <v>46291</v>
      </c>
      <c r="AA485" s="1" t="s">
        <v>1601</v>
      </c>
      <c r="AB485" s="2">
        <v>46282</v>
      </c>
      <c r="AC485" s="2">
        <v>46282.555127314801</v>
      </c>
      <c r="AE485" s="1" t="s">
        <v>40</v>
      </c>
      <c r="AF485" s="1" t="s">
        <v>79</v>
      </c>
    </row>
    <row r="486" spans="1:32" ht="12.75" hidden="1" customHeight="1" x14ac:dyDescent="0.2">
      <c r="A486" s="1" t="s">
        <v>30</v>
      </c>
      <c r="B486" s="1" t="s">
        <v>1602</v>
      </c>
      <c r="C486" s="1" t="s">
        <v>71</v>
      </c>
      <c r="D486" s="1" t="s">
        <v>72</v>
      </c>
      <c r="E486" s="1" t="s">
        <v>1603</v>
      </c>
      <c r="F486" s="1" t="s">
        <v>367</v>
      </c>
      <c r="G486" s="3">
        <v>82</v>
      </c>
      <c r="H486" s="4">
        <v>1</v>
      </c>
      <c r="I486" s="5">
        <v>253.38</v>
      </c>
      <c r="J486" s="5">
        <v>0</v>
      </c>
      <c r="K486" s="1" t="s">
        <v>36</v>
      </c>
      <c r="L486" s="1" t="s">
        <v>75</v>
      </c>
      <c r="M486" s="1" t="s">
        <v>75</v>
      </c>
      <c r="N486" s="3">
        <v>82</v>
      </c>
      <c r="O486" s="6">
        <f>Table1[[#This Row],[Invoice Qty]]-Table1[[#This Row],[ExFactory Qty]]</f>
        <v>0</v>
      </c>
      <c r="P486" s="1" t="s">
        <v>1573</v>
      </c>
      <c r="Q486" s="2">
        <v>46282.656168981499</v>
      </c>
      <c r="R486" s="2">
        <v>46288</v>
      </c>
      <c r="S486" s="1" t="s">
        <v>39</v>
      </c>
      <c r="U486" s="1" t="s">
        <v>40</v>
      </c>
      <c r="V486" s="1" t="s">
        <v>77</v>
      </c>
      <c r="W486" s="1" t="s">
        <v>40</v>
      </c>
      <c r="X486" s="1" t="s">
        <v>40</v>
      </c>
      <c r="Z486" s="2">
        <v>46288</v>
      </c>
      <c r="AA486" s="1" t="s">
        <v>1604</v>
      </c>
      <c r="AB486" s="2">
        <v>46282</v>
      </c>
      <c r="AC486" s="2">
        <v>46282.555127314801</v>
      </c>
      <c r="AE486" s="1" t="s">
        <v>40</v>
      </c>
      <c r="AF486" s="1" t="s">
        <v>79</v>
      </c>
    </row>
    <row r="487" spans="1:32" ht="12.75" hidden="1" customHeight="1" x14ac:dyDescent="0.2">
      <c r="A487" s="1" t="s">
        <v>30</v>
      </c>
      <c r="B487" s="1" t="s">
        <v>1605</v>
      </c>
      <c r="C487" s="1" t="s">
        <v>71</v>
      </c>
      <c r="D487" s="1" t="s">
        <v>72</v>
      </c>
      <c r="E487" s="1" t="s">
        <v>1603</v>
      </c>
      <c r="F487" s="1" t="s">
        <v>361</v>
      </c>
      <c r="G487" s="3">
        <v>257</v>
      </c>
      <c r="H487" s="4">
        <v>4</v>
      </c>
      <c r="I487" s="5">
        <v>794.13</v>
      </c>
      <c r="J487" s="5">
        <v>0</v>
      </c>
      <c r="K487" s="1" t="s">
        <v>36</v>
      </c>
      <c r="L487" s="1" t="s">
        <v>75</v>
      </c>
      <c r="M487" s="1" t="s">
        <v>75</v>
      </c>
      <c r="N487" s="3">
        <v>257</v>
      </c>
      <c r="O487" s="6">
        <f>Table1[[#This Row],[Invoice Qty]]-Table1[[#This Row],[ExFactory Qty]]</f>
        <v>0</v>
      </c>
      <c r="P487" s="1" t="s">
        <v>1558</v>
      </c>
      <c r="Q487" s="2">
        <v>46282.628958333298</v>
      </c>
      <c r="R487" s="2">
        <v>46288</v>
      </c>
      <c r="S487" s="1" t="s">
        <v>39</v>
      </c>
      <c r="U487" s="1" t="s">
        <v>40</v>
      </c>
      <c r="V487" s="1" t="s">
        <v>77</v>
      </c>
      <c r="W487" s="1" t="s">
        <v>40</v>
      </c>
      <c r="X487" s="1" t="s">
        <v>40</v>
      </c>
      <c r="Z487" s="2">
        <v>46289</v>
      </c>
      <c r="AA487" s="1" t="s">
        <v>1606</v>
      </c>
      <c r="AB487" s="2">
        <v>46282</v>
      </c>
      <c r="AC487" s="2">
        <v>46282.555127314801</v>
      </c>
      <c r="AE487" s="1" t="s">
        <v>40</v>
      </c>
      <c r="AF487" s="1" t="s">
        <v>79</v>
      </c>
    </row>
    <row r="488" spans="1:32" ht="12.75" hidden="1" customHeight="1" x14ac:dyDescent="0.2">
      <c r="A488" s="1" t="s">
        <v>30</v>
      </c>
      <c r="B488" s="1" t="s">
        <v>1607</v>
      </c>
      <c r="C488" s="1" t="s">
        <v>71</v>
      </c>
      <c r="D488" s="1" t="s">
        <v>365</v>
      </c>
      <c r="E488" s="1" t="s">
        <v>1159</v>
      </c>
      <c r="F488" s="1" t="s">
        <v>345</v>
      </c>
      <c r="G488" s="3">
        <v>147</v>
      </c>
      <c r="H488" s="4">
        <v>3</v>
      </c>
      <c r="I488" s="5">
        <v>846.72</v>
      </c>
      <c r="J488" s="5">
        <v>0</v>
      </c>
      <c r="K488" s="1" t="s">
        <v>36</v>
      </c>
      <c r="L488" s="1" t="s">
        <v>75</v>
      </c>
      <c r="M488" s="1" t="s">
        <v>75</v>
      </c>
      <c r="N488" s="3">
        <v>147</v>
      </c>
      <c r="O488" s="6">
        <f>Table1[[#This Row],[Invoice Qty]]-Table1[[#This Row],[ExFactory Qty]]</f>
        <v>0</v>
      </c>
      <c r="P488" s="1" t="s">
        <v>1546</v>
      </c>
      <c r="Q488" s="2">
        <v>46282.663067129601</v>
      </c>
      <c r="R488" s="2">
        <v>46290</v>
      </c>
      <c r="S488" s="1" t="s">
        <v>39</v>
      </c>
      <c r="U488" s="1" t="s">
        <v>40</v>
      </c>
      <c r="V488" s="1" t="s">
        <v>77</v>
      </c>
      <c r="W488" s="1" t="s">
        <v>40</v>
      </c>
      <c r="X488" s="1" t="s">
        <v>40</v>
      </c>
      <c r="Z488" s="2">
        <v>46290</v>
      </c>
      <c r="AA488" s="1" t="s">
        <v>1608</v>
      </c>
      <c r="AB488" s="2">
        <v>46282</v>
      </c>
      <c r="AC488" s="2">
        <v>46282.555127314801</v>
      </c>
      <c r="AE488" s="1" t="s">
        <v>40</v>
      </c>
      <c r="AF488" s="1" t="s">
        <v>40</v>
      </c>
    </row>
    <row r="489" spans="1:32" ht="12.75" hidden="1" customHeight="1" x14ac:dyDescent="0.2">
      <c r="A489" s="1" t="s">
        <v>30</v>
      </c>
      <c r="B489" s="1" t="s">
        <v>1609</v>
      </c>
      <c r="C489" s="1" t="s">
        <v>71</v>
      </c>
      <c r="D489" s="1" t="s">
        <v>72</v>
      </c>
      <c r="E489" s="1" t="s">
        <v>1162</v>
      </c>
      <c r="F489" s="1" t="s">
        <v>459</v>
      </c>
      <c r="G489" s="3">
        <v>21</v>
      </c>
      <c r="H489" s="4">
        <v>1</v>
      </c>
      <c r="I489" s="5">
        <v>59.85</v>
      </c>
      <c r="J489" s="5">
        <v>0</v>
      </c>
      <c r="K489" s="1" t="s">
        <v>36</v>
      </c>
      <c r="L489" s="1" t="s">
        <v>75</v>
      </c>
      <c r="M489" s="1" t="s">
        <v>75</v>
      </c>
      <c r="N489" s="3">
        <v>21</v>
      </c>
      <c r="O489" s="6">
        <f>Table1[[#This Row],[Invoice Qty]]-Table1[[#This Row],[ExFactory Qty]]</f>
        <v>0</v>
      </c>
      <c r="P489" s="1" t="s">
        <v>1573</v>
      </c>
      <c r="Q489" s="2">
        <v>46282.656168981499</v>
      </c>
      <c r="R489" s="2">
        <v>46288</v>
      </c>
      <c r="S489" s="1" t="s">
        <v>39</v>
      </c>
      <c r="U489" s="1" t="s">
        <v>40</v>
      </c>
      <c r="V489" s="1" t="s">
        <v>77</v>
      </c>
      <c r="W489" s="1" t="s">
        <v>40</v>
      </c>
      <c r="X489" s="1" t="s">
        <v>40</v>
      </c>
      <c r="Z489" s="2">
        <v>46288</v>
      </c>
      <c r="AA489" s="1" t="s">
        <v>1610</v>
      </c>
      <c r="AB489" s="2">
        <v>46282</v>
      </c>
      <c r="AC489" s="2">
        <v>46282</v>
      </c>
      <c r="AE489" s="1" t="s">
        <v>40</v>
      </c>
      <c r="AF489" s="1" t="s">
        <v>79</v>
      </c>
    </row>
    <row r="490" spans="1:32" ht="12.75" hidden="1" customHeight="1" x14ac:dyDescent="0.2">
      <c r="A490" s="1" t="s">
        <v>30</v>
      </c>
      <c r="B490" s="1" t="s">
        <v>1611</v>
      </c>
      <c r="C490" s="1" t="s">
        <v>71</v>
      </c>
      <c r="D490" s="1" t="s">
        <v>72</v>
      </c>
      <c r="E490" s="1" t="s">
        <v>1162</v>
      </c>
      <c r="F490" s="1" t="s">
        <v>459</v>
      </c>
      <c r="G490" s="3">
        <v>78</v>
      </c>
      <c r="H490" s="4">
        <v>2</v>
      </c>
      <c r="I490" s="5">
        <v>222.3</v>
      </c>
      <c r="J490" s="5">
        <v>0</v>
      </c>
      <c r="K490" s="1" t="s">
        <v>36</v>
      </c>
      <c r="L490" s="1" t="s">
        <v>75</v>
      </c>
      <c r="M490" s="1" t="s">
        <v>75</v>
      </c>
      <c r="N490" s="3">
        <v>78</v>
      </c>
      <c r="O490" s="6">
        <f>Table1[[#This Row],[Invoice Qty]]-Table1[[#This Row],[ExFactory Qty]]</f>
        <v>0</v>
      </c>
      <c r="P490" s="1" t="s">
        <v>1573</v>
      </c>
      <c r="Q490" s="2">
        <v>46282.656168981499</v>
      </c>
      <c r="R490" s="2">
        <v>46288</v>
      </c>
      <c r="S490" s="1" t="s">
        <v>39</v>
      </c>
      <c r="U490" s="1" t="s">
        <v>40</v>
      </c>
      <c r="V490" s="1" t="s">
        <v>77</v>
      </c>
      <c r="W490" s="1" t="s">
        <v>40</v>
      </c>
      <c r="X490" s="1" t="s">
        <v>40</v>
      </c>
      <c r="Z490" s="2">
        <v>46288</v>
      </c>
      <c r="AA490" s="1" t="s">
        <v>1612</v>
      </c>
      <c r="AB490" s="2">
        <v>46282</v>
      </c>
      <c r="AC490" s="2">
        <v>46282</v>
      </c>
      <c r="AE490" s="1" t="s">
        <v>40</v>
      </c>
      <c r="AF490" s="1" t="s">
        <v>79</v>
      </c>
    </row>
    <row r="491" spans="1:32" ht="12.75" hidden="1" customHeight="1" x14ac:dyDescent="0.2">
      <c r="A491" s="1" t="s">
        <v>30</v>
      </c>
      <c r="B491" s="1" t="s">
        <v>1613</v>
      </c>
      <c r="C491" s="1" t="s">
        <v>71</v>
      </c>
      <c r="D491" s="1" t="s">
        <v>72</v>
      </c>
      <c r="E491" s="1" t="s">
        <v>1162</v>
      </c>
      <c r="F491" s="1" t="s">
        <v>376</v>
      </c>
      <c r="G491" s="3">
        <v>1769</v>
      </c>
      <c r="H491" s="4">
        <v>26</v>
      </c>
      <c r="I491" s="5">
        <v>5041.6499999999996</v>
      </c>
      <c r="J491" s="5">
        <v>0</v>
      </c>
      <c r="K491" s="1" t="s">
        <v>36</v>
      </c>
      <c r="L491" s="1" t="s">
        <v>75</v>
      </c>
      <c r="M491" s="1" t="s">
        <v>75</v>
      </c>
      <c r="N491" s="3">
        <v>1769</v>
      </c>
      <c r="O491" s="6">
        <f>Table1[[#This Row],[Invoice Qty]]-Table1[[#This Row],[ExFactory Qty]]</f>
        <v>0</v>
      </c>
      <c r="P491" s="1" t="s">
        <v>1546</v>
      </c>
      <c r="Q491" s="2">
        <v>46282.663067129601</v>
      </c>
      <c r="R491" s="2">
        <v>46290</v>
      </c>
      <c r="S491" s="1" t="s">
        <v>39</v>
      </c>
      <c r="U491" s="1" t="s">
        <v>40</v>
      </c>
      <c r="V491" s="1" t="s">
        <v>77</v>
      </c>
      <c r="W491" s="1" t="s">
        <v>40</v>
      </c>
      <c r="X491" s="1" t="s">
        <v>40</v>
      </c>
      <c r="Z491" s="2">
        <v>46290</v>
      </c>
      <c r="AA491" s="1" t="s">
        <v>1614</v>
      </c>
      <c r="AB491" s="2">
        <v>46282</v>
      </c>
      <c r="AC491" s="2">
        <v>46282.555127314801</v>
      </c>
      <c r="AE491" s="1" t="s">
        <v>40</v>
      </c>
      <c r="AF491" s="1" t="s">
        <v>79</v>
      </c>
    </row>
    <row r="492" spans="1:32" ht="12.75" hidden="1" customHeight="1" x14ac:dyDescent="0.2">
      <c r="A492" s="1" t="s">
        <v>30</v>
      </c>
      <c r="B492" s="1" t="s">
        <v>1615</v>
      </c>
      <c r="C492" s="1" t="s">
        <v>71</v>
      </c>
      <c r="D492" s="1" t="s">
        <v>72</v>
      </c>
      <c r="E492" s="1" t="s">
        <v>1162</v>
      </c>
      <c r="F492" s="1" t="s">
        <v>252</v>
      </c>
      <c r="G492" s="3">
        <v>1224</v>
      </c>
      <c r="H492" s="4">
        <v>22</v>
      </c>
      <c r="I492" s="5">
        <v>3488.4</v>
      </c>
      <c r="J492" s="5">
        <v>0</v>
      </c>
      <c r="K492" s="1" t="s">
        <v>36</v>
      </c>
      <c r="L492" s="1" t="s">
        <v>75</v>
      </c>
      <c r="M492" s="1" t="s">
        <v>75</v>
      </c>
      <c r="N492" s="3">
        <v>1224</v>
      </c>
      <c r="O492" s="6">
        <f>Table1[[#This Row],[Invoice Qty]]-Table1[[#This Row],[ExFactory Qty]]</f>
        <v>0</v>
      </c>
      <c r="P492" s="1" t="s">
        <v>1558</v>
      </c>
      <c r="Q492" s="2">
        <v>46282.628958333298</v>
      </c>
      <c r="R492" s="2">
        <v>46290</v>
      </c>
      <c r="S492" s="1" t="s">
        <v>39</v>
      </c>
      <c r="U492" s="1" t="s">
        <v>40</v>
      </c>
      <c r="V492" s="1" t="s">
        <v>77</v>
      </c>
      <c r="W492" s="1" t="s">
        <v>40</v>
      </c>
      <c r="X492" s="1" t="s">
        <v>40</v>
      </c>
      <c r="Z492" s="2">
        <v>46290</v>
      </c>
      <c r="AA492" s="1" t="s">
        <v>1616</v>
      </c>
      <c r="AB492" s="2">
        <v>46282</v>
      </c>
      <c r="AC492" s="2">
        <v>46282.555127314801</v>
      </c>
      <c r="AE492" s="1" t="s">
        <v>40</v>
      </c>
      <c r="AF492" s="1" t="s">
        <v>79</v>
      </c>
    </row>
    <row r="493" spans="1:32" ht="12.75" hidden="1" customHeight="1" x14ac:dyDescent="0.2">
      <c r="A493" s="1" t="s">
        <v>30</v>
      </c>
      <c r="B493" s="1" t="s">
        <v>1617</v>
      </c>
      <c r="C493" s="1" t="s">
        <v>71</v>
      </c>
      <c r="D493" s="1" t="s">
        <v>72</v>
      </c>
      <c r="E493" s="1" t="s">
        <v>1162</v>
      </c>
      <c r="F493" s="1" t="s">
        <v>466</v>
      </c>
      <c r="G493" s="3">
        <v>341</v>
      </c>
      <c r="H493" s="4">
        <v>8</v>
      </c>
      <c r="I493" s="5">
        <v>971.85</v>
      </c>
      <c r="J493" s="5">
        <v>0</v>
      </c>
      <c r="K493" s="1" t="s">
        <v>36</v>
      </c>
      <c r="L493" s="1" t="s">
        <v>75</v>
      </c>
      <c r="M493" s="1" t="s">
        <v>75</v>
      </c>
      <c r="N493" s="3">
        <v>341</v>
      </c>
      <c r="O493" s="6">
        <f>Table1[[#This Row],[Invoice Qty]]-Table1[[#This Row],[ExFactory Qty]]</f>
        <v>0</v>
      </c>
      <c r="P493" s="1" t="s">
        <v>1573</v>
      </c>
      <c r="Q493" s="2">
        <v>46282.656168981499</v>
      </c>
      <c r="R493" s="2">
        <v>46293</v>
      </c>
      <c r="S493" s="1" t="s">
        <v>39</v>
      </c>
      <c r="U493" s="1" t="s">
        <v>40</v>
      </c>
      <c r="V493" s="1" t="s">
        <v>77</v>
      </c>
      <c r="W493" s="1" t="s">
        <v>40</v>
      </c>
      <c r="X493" s="1" t="s">
        <v>40</v>
      </c>
      <c r="AA493" s="1" t="s">
        <v>1618</v>
      </c>
      <c r="AB493" s="2">
        <v>46282</v>
      </c>
      <c r="AC493" s="2">
        <v>46282.555127314801</v>
      </c>
      <c r="AE493" s="1" t="s">
        <v>40</v>
      </c>
      <c r="AF493" s="1" t="s">
        <v>79</v>
      </c>
    </row>
    <row r="494" spans="1:32" ht="12.75" hidden="1" customHeight="1" x14ac:dyDescent="0.2">
      <c r="A494" s="1" t="s">
        <v>30</v>
      </c>
      <c r="B494" s="1" t="s">
        <v>1619</v>
      </c>
      <c r="C494" s="1" t="s">
        <v>71</v>
      </c>
      <c r="D494" s="1" t="s">
        <v>72</v>
      </c>
      <c r="E494" s="1" t="s">
        <v>1162</v>
      </c>
      <c r="F494" s="1" t="s">
        <v>384</v>
      </c>
      <c r="G494" s="3">
        <v>6408</v>
      </c>
      <c r="H494" s="4">
        <v>99</v>
      </c>
      <c r="I494" s="5">
        <v>18262.8</v>
      </c>
      <c r="J494" s="5">
        <v>0</v>
      </c>
      <c r="K494" s="1" t="s">
        <v>36</v>
      </c>
      <c r="L494" s="1" t="s">
        <v>75</v>
      </c>
      <c r="M494" s="1" t="s">
        <v>75</v>
      </c>
      <c r="N494" s="3">
        <v>6408</v>
      </c>
      <c r="O494" s="6">
        <f>Table1[[#This Row],[Invoice Qty]]-Table1[[#This Row],[ExFactory Qty]]</f>
        <v>0</v>
      </c>
      <c r="P494" s="1" t="s">
        <v>1620</v>
      </c>
      <c r="Q494" s="2">
        <v>46282.650069444397</v>
      </c>
      <c r="R494" s="2">
        <v>46288</v>
      </c>
      <c r="S494" s="1" t="s">
        <v>39</v>
      </c>
      <c r="U494" s="1" t="s">
        <v>40</v>
      </c>
      <c r="V494" s="1" t="s">
        <v>77</v>
      </c>
      <c r="W494" s="1" t="s">
        <v>40</v>
      </c>
      <c r="X494" s="1" t="s">
        <v>40</v>
      </c>
      <c r="Z494" s="2">
        <v>46288</v>
      </c>
      <c r="AA494" s="1" t="s">
        <v>1621</v>
      </c>
      <c r="AB494" s="2">
        <v>46282</v>
      </c>
      <c r="AC494" s="2">
        <v>46282.555127314801</v>
      </c>
      <c r="AE494" s="1" t="s">
        <v>40</v>
      </c>
      <c r="AF494" s="1" t="s">
        <v>79</v>
      </c>
    </row>
    <row r="495" spans="1:32" ht="12.75" hidden="1" customHeight="1" x14ac:dyDescent="0.2">
      <c r="A495" s="1" t="s">
        <v>30</v>
      </c>
      <c r="B495" s="1" t="s">
        <v>1622</v>
      </c>
      <c r="C495" s="1" t="s">
        <v>71</v>
      </c>
      <c r="D495" s="1" t="s">
        <v>457</v>
      </c>
      <c r="E495" s="1" t="s">
        <v>458</v>
      </c>
      <c r="F495" s="1" t="s">
        <v>376</v>
      </c>
      <c r="G495" s="3">
        <v>8969</v>
      </c>
      <c r="H495" s="4">
        <v>110</v>
      </c>
      <c r="I495" s="5">
        <v>37938.870000000003</v>
      </c>
      <c r="J495" s="5">
        <v>0</v>
      </c>
      <c r="K495" s="1" t="s">
        <v>36</v>
      </c>
      <c r="L495" s="1" t="s">
        <v>75</v>
      </c>
      <c r="M495" s="1" t="s">
        <v>75</v>
      </c>
      <c r="N495" s="3">
        <v>8969</v>
      </c>
      <c r="O495" s="6">
        <f>Table1[[#This Row],[Invoice Qty]]-Table1[[#This Row],[ExFactory Qty]]</f>
        <v>0</v>
      </c>
      <c r="P495" s="1" t="s">
        <v>1546</v>
      </c>
      <c r="Q495" s="2">
        <v>46282.663067129601</v>
      </c>
      <c r="R495" s="2">
        <v>46290</v>
      </c>
      <c r="S495" s="1" t="s">
        <v>39</v>
      </c>
      <c r="U495" s="1" t="s">
        <v>40</v>
      </c>
      <c r="V495" s="1" t="s">
        <v>77</v>
      </c>
      <c r="W495" s="1" t="s">
        <v>40</v>
      </c>
      <c r="X495" s="1" t="s">
        <v>40</v>
      </c>
      <c r="Z495" s="2">
        <v>46289</v>
      </c>
      <c r="AA495" s="1" t="s">
        <v>1623</v>
      </c>
      <c r="AB495" s="2">
        <v>46282</v>
      </c>
      <c r="AC495" s="2">
        <v>46282</v>
      </c>
      <c r="AE495" s="1" t="s">
        <v>40</v>
      </c>
      <c r="AF495" s="1" t="s">
        <v>326</v>
      </c>
    </row>
    <row r="496" spans="1:32" ht="12.75" hidden="1" customHeight="1" x14ac:dyDescent="0.2">
      <c r="A496" s="1" t="s">
        <v>30</v>
      </c>
      <c r="B496" s="1" t="s">
        <v>1624</v>
      </c>
      <c r="C496" s="1" t="s">
        <v>71</v>
      </c>
      <c r="D496" s="1" t="s">
        <v>457</v>
      </c>
      <c r="E496" s="1" t="s">
        <v>458</v>
      </c>
      <c r="F496" s="1" t="s">
        <v>252</v>
      </c>
      <c r="G496" s="3">
        <v>2028</v>
      </c>
      <c r="H496" s="4">
        <v>31</v>
      </c>
      <c r="I496" s="5">
        <v>8578.44</v>
      </c>
      <c r="J496" s="5">
        <v>0</v>
      </c>
      <c r="K496" s="1" t="s">
        <v>36</v>
      </c>
      <c r="L496" s="1" t="s">
        <v>75</v>
      </c>
      <c r="M496" s="1" t="s">
        <v>75</v>
      </c>
      <c r="N496" s="3">
        <v>2028</v>
      </c>
      <c r="O496" s="6">
        <f>Table1[[#This Row],[Invoice Qty]]-Table1[[#This Row],[ExFactory Qty]]</f>
        <v>0</v>
      </c>
      <c r="P496" s="1" t="s">
        <v>1558</v>
      </c>
      <c r="Q496" s="2">
        <v>46282.628958333298</v>
      </c>
      <c r="R496" s="2">
        <v>46290</v>
      </c>
      <c r="S496" s="1" t="s">
        <v>39</v>
      </c>
      <c r="U496" s="1" t="s">
        <v>40</v>
      </c>
      <c r="V496" s="1" t="s">
        <v>77</v>
      </c>
      <c r="W496" s="1" t="s">
        <v>40</v>
      </c>
      <c r="X496" s="1" t="s">
        <v>40</v>
      </c>
      <c r="Z496" s="2">
        <v>46290</v>
      </c>
      <c r="AA496" s="1" t="s">
        <v>1625</v>
      </c>
      <c r="AB496" s="2">
        <v>46282</v>
      </c>
      <c r="AC496" s="2">
        <v>46282.555127314801</v>
      </c>
      <c r="AE496" s="1" t="s">
        <v>40</v>
      </c>
      <c r="AF496" s="1" t="s">
        <v>326</v>
      </c>
    </row>
    <row r="497" spans="1:32" ht="12.75" hidden="1" customHeight="1" x14ac:dyDescent="0.2">
      <c r="A497" s="1" t="s">
        <v>30</v>
      </c>
      <c r="B497" s="1" t="s">
        <v>1626</v>
      </c>
      <c r="C497" s="1" t="s">
        <v>71</v>
      </c>
      <c r="D497" s="1" t="s">
        <v>72</v>
      </c>
      <c r="E497" s="1" t="s">
        <v>1171</v>
      </c>
      <c r="F497" s="1" t="s">
        <v>376</v>
      </c>
      <c r="G497" s="3">
        <v>138</v>
      </c>
      <c r="H497" s="4">
        <v>1</v>
      </c>
      <c r="I497" s="5">
        <v>375.36</v>
      </c>
      <c r="J497" s="5">
        <v>0</v>
      </c>
      <c r="K497" s="1" t="s">
        <v>36</v>
      </c>
      <c r="L497" s="1" t="s">
        <v>75</v>
      </c>
      <c r="M497" s="1" t="s">
        <v>75</v>
      </c>
      <c r="N497" s="3">
        <v>138</v>
      </c>
      <c r="O497" s="6">
        <f>Table1[[#This Row],[Invoice Qty]]-Table1[[#This Row],[ExFactory Qty]]</f>
        <v>0</v>
      </c>
      <c r="P497" s="1" t="s">
        <v>1546</v>
      </c>
      <c r="Q497" s="2">
        <v>46282.663067129601</v>
      </c>
      <c r="R497" s="2">
        <v>46290</v>
      </c>
      <c r="S497" s="1" t="s">
        <v>39</v>
      </c>
      <c r="U497" s="1" t="s">
        <v>40</v>
      </c>
      <c r="V497" s="1" t="s">
        <v>77</v>
      </c>
      <c r="W497" s="1" t="s">
        <v>40</v>
      </c>
      <c r="X497" s="1" t="s">
        <v>40</v>
      </c>
      <c r="Z497" s="2">
        <v>46290</v>
      </c>
      <c r="AA497" s="1" t="s">
        <v>1627</v>
      </c>
      <c r="AB497" s="2">
        <v>46282</v>
      </c>
      <c r="AC497" s="2">
        <v>46282.555127314801</v>
      </c>
      <c r="AE497" s="1" t="s">
        <v>40</v>
      </c>
      <c r="AF497" s="1" t="s">
        <v>79</v>
      </c>
    </row>
    <row r="498" spans="1:32" ht="12.75" hidden="1" customHeight="1" x14ac:dyDescent="0.2">
      <c r="A498" s="1" t="s">
        <v>30</v>
      </c>
      <c r="B498" s="1" t="s">
        <v>1628</v>
      </c>
      <c r="C498" s="1" t="s">
        <v>71</v>
      </c>
      <c r="D498" s="1" t="s">
        <v>72</v>
      </c>
      <c r="E498" s="1" t="s">
        <v>1171</v>
      </c>
      <c r="F498" s="1" t="s">
        <v>345</v>
      </c>
      <c r="G498" s="3">
        <v>186</v>
      </c>
      <c r="H498" s="4">
        <v>2</v>
      </c>
      <c r="I498" s="5">
        <v>500.34</v>
      </c>
      <c r="J498" s="5">
        <v>0</v>
      </c>
      <c r="K498" s="1" t="s">
        <v>36</v>
      </c>
      <c r="L498" s="1" t="s">
        <v>75</v>
      </c>
      <c r="M498" s="1" t="s">
        <v>75</v>
      </c>
      <c r="N498" s="3">
        <v>186</v>
      </c>
      <c r="O498" s="6">
        <f>Table1[[#This Row],[Invoice Qty]]-Table1[[#This Row],[ExFactory Qty]]</f>
        <v>0</v>
      </c>
      <c r="P498" s="1" t="s">
        <v>1546</v>
      </c>
      <c r="Q498" s="2">
        <v>46282.663067129601</v>
      </c>
      <c r="R498" s="2">
        <v>46290</v>
      </c>
      <c r="S498" s="1" t="s">
        <v>39</v>
      </c>
      <c r="U498" s="1" t="s">
        <v>40</v>
      </c>
      <c r="V498" s="1" t="s">
        <v>77</v>
      </c>
      <c r="W498" s="1" t="s">
        <v>40</v>
      </c>
      <c r="X498" s="1" t="s">
        <v>40</v>
      </c>
      <c r="Z498" s="2">
        <v>46290</v>
      </c>
      <c r="AA498" s="1" t="s">
        <v>1629</v>
      </c>
      <c r="AB498" s="2">
        <v>46282</v>
      </c>
      <c r="AC498" s="2">
        <v>46282.555127314801</v>
      </c>
      <c r="AE498" s="1" t="s">
        <v>40</v>
      </c>
      <c r="AF498" s="1" t="s">
        <v>79</v>
      </c>
    </row>
    <row r="499" spans="1:32" ht="12.75" hidden="1" customHeight="1" x14ac:dyDescent="0.2">
      <c r="A499" s="1" t="s">
        <v>30</v>
      </c>
      <c r="B499" s="1" t="s">
        <v>1630</v>
      </c>
      <c r="C499" s="1" t="s">
        <v>71</v>
      </c>
      <c r="D499" s="1" t="s">
        <v>72</v>
      </c>
      <c r="E499" s="1" t="s">
        <v>1175</v>
      </c>
      <c r="F499" s="1" t="s">
        <v>341</v>
      </c>
      <c r="G499" s="3">
        <v>288</v>
      </c>
      <c r="H499" s="4">
        <v>3</v>
      </c>
      <c r="I499" s="5">
        <v>789.12</v>
      </c>
      <c r="J499" s="5">
        <v>0</v>
      </c>
      <c r="K499" s="1" t="s">
        <v>36</v>
      </c>
      <c r="L499" s="1" t="s">
        <v>75</v>
      </c>
      <c r="M499" s="1" t="s">
        <v>75</v>
      </c>
      <c r="N499" s="3">
        <v>288</v>
      </c>
      <c r="O499" s="6">
        <f>Table1[[#This Row],[Invoice Qty]]-Table1[[#This Row],[ExFactory Qty]]</f>
        <v>0</v>
      </c>
      <c r="P499" s="1" t="s">
        <v>1546</v>
      </c>
      <c r="Q499" s="2">
        <v>46282.663067129601</v>
      </c>
      <c r="R499" s="2">
        <v>46287</v>
      </c>
      <c r="S499" s="1" t="s">
        <v>39</v>
      </c>
      <c r="U499" s="1" t="s">
        <v>40</v>
      </c>
      <c r="V499" s="1" t="s">
        <v>77</v>
      </c>
      <c r="W499" s="1" t="s">
        <v>40</v>
      </c>
      <c r="X499" s="1" t="s">
        <v>40</v>
      </c>
      <c r="Z499" s="2">
        <v>46289</v>
      </c>
      <c r="AA499" s="1" t="s">
        <v>1631</v>
      </c>
      <c r="AB499" s="2">
        <v>46282</v>
      </c>
      <c r="AC499" s="2">
        <v>46282.555127314801</v>
      </c>
      <c r="AE499" s="1" t="s">
        <v>40</v>
      </c>
      <c r="AF499" s="1" t="s">
        <v>79</v>
      </c>
    </row>
    <row r="500" spans="1:32" ht="12.75" hidden="1" customHeight="1" x14ac:dyDescent="0.2">
      <c r="A500" s="1" t="s">
        <v>30</v>
      </c>
      <c r="B500" s="1" t="s">
        <v>1632</v>
      </c>
      <c r="C500" s="1" t="s">
        <v>71</v>
      </c>
      <c r="D500" s="1" t="s">
        <v>72</v>
      </c>
      <c r="E500" s="1" t="s">
        <v>1175</v>
      </c>
      <c r="F500" s="1" t="s">
        <v>74</v>
      </c>
      <c r="G500" s="3">
        <v>594</v>
      </c>
      <c r="H500" s="4">
        <v>7</v>
      </c>
      <c r="I500" s="5">
        <v>1627.56</v>
      </c>
      <c r="J500" s="5">
        <v>0</v>
      </c>
      <c r="K500" s="1" t="s">
        <v>36</v>
      </c>
      <c r="L500" s="1" t="s">
        <v>75</v>
      </c>
      <c r="M500" s="1" t="s">
        <v>75</v>
      </c>
      <c r="N500" s="3">
        <v>594</v>
      </c>
      <c r="O500" s="6">
        <f>Table1[[#This Row],[Invoice Qty]]-Table1[[#This Row],[ExFactory Qty]]</f>
        <v>0</v>
      </c>
      <c r="P500" s="1" t="s">
        <v>1558</v>
      </c>
      <c r="Q500" s="2">
        <v>46282.628958333298</v>
      </c>
      <c r="R500" s="2">
        <v>46290</v>
      </c>
      <c r="S500" s="1" t="s">
        <v>39</v>
      </c>
      <c r="U500" s="1" t="s">
        <v>40</v>
      </c>
      <c r="V500" s="1" t="s">
        <v>77</v>
      </c>
      <c r="W500" s="1" t="s">
        <v>40</v>
      </c>
      <c r="X500" s="1" t="s">
        <v>40</v>
      </c>
      <c r="Z500" s="2">
        <v>46289</v>
      </c>
      <c r="AA500" s="1" t="s">
        <v>1633</v>
      </c>
      <c r="AB500" s="2">
        <v>46282</v>
      </c>
      <c r="AC500" s="2">
        <v>46282</v>
      </c>
      <c r="AE500" s="1" t="s">
        <v>40</v>
      </c>
      <c r="AF500" s="1" t="s">
        <v>79</v>
      </c>
    </row>
    <row r="501" spans="1:32" ht="12.75" hidden="1" customHeight="1" x14ac:dyDescent="0.2">
      <c r="A501" s="1" t="s">
        <v>30</v>
      </c>
      <c r="B501" s="1" t="s">
        <v>1634</v>
      </c>
      <c r="C501" s="1" t="s">
        <v>71</v>
      </c>
      <c r="D501" s="1" t="s">
        <v>72</v>
      </c>
      <c r="E501" s="1" t="s">
        <v>1175</v>
      </c>
      <c r="F501" s="1" t="s">
        <v>345</v>
      </c>
      <c r="G501" s="3">
        <v>749</v>
      </c>
      <c r="H501" s="4">
        <v>8</v>
      </c>
      <c r="I501" s="5">
        <v>2052.2600000000002</v>
      </c>
      <c r="J501" s="5">
        <v>0</v>
      </c>
      <c r="K501" s="1" t="s">
        <v>36</v>
      </c>
      <c r="L501" s="1" t="s">
        <v>75</v>
      </c>
      <c r="M501" s="1" t="s">
        <v>75</v>
      </c>
      <c r="N501" s="3">
        <v>749</v>
      </c>
      <c r="O501" s="6">
        <f>Table1[[#This Row],[Invoice Qty]]-Table1[[#This Row],[ExFactory Qty]]</f>
        <v>0</v>
      </c>
      <c r="P501" s="1" t="s">
        <v>1546</v>
      </c>
      <c r="Q501" s="2">
        <v>46282.663067129601</v>
      </c>
      <c r="R501" s="2">
        <v>46290</v>
      </c>
      <c r="S501" s="1" t="s">
        <v>39</v>
      </c>
      <c r="U501" s="1" t="s">
        <v>40</v>
      </c>
      <c r="V501" s="1" t="s">
        <v>77</v>
      </c>
      <c r="W501" s="1" t="s">
        <v>40</v>
      </c>
      <c r="X501" s="1" t="s">
        <v>40</v>
      </c>
      <c r="Z501" s="2">
        <v>46290</v>
      </c>
      <c r="AA501" s="1" t="s">
        <v>1635</v>
      </c>
      <c r="AB501" s="2">
        <v>46282</v>
      </c>
      <c r="AC501" s="2">
        <v>46282</v>
      </c>
      <c r="AE501" s="1" t="s">
        <v>40</v>
      </c>
      <c r="AF501" s="1" t="s">
        <v>79</v>
      </c>
    </row>
    <row r="502" spans="1:32" ht="12.75" hidden="1" customHeight="1" x14ac:dyDescent="0.2">
      <c r="A502" s="1" t="s">
        <v>30</v>
      </c>
      <c r="B502" s="1" t="s">
        <v>1636</v>
      </c>
      <c r="C502" s="1" t="s">
        <v>71</v>
      </c>
      <c r="D502" s="1" t="s">
        <v>72</v>
      </c>
      <c r="E502" s="1" t="s">
        <v>1637</v>
      </c>
      <c r="F502" s="1" t="s">
        <v>372</v>
      </c>
      <c r="G502" s="3">
        <v>900</v>
      </c>
      <c r="H502" s="4">
        <v>17</v>
      </c>
      <c r="I502" s="5">
        <v>2511</v>
      </c>
      <c r="J502" s="5">
        <v>0</v>
      </c>
      <c r="K502" s="1" t="s">
        <v>36</v>
      </c>
      <c r="L502" s="1" t="s">
        <v>75</v>
      </c>
      <c r="M502" s="1" t="s">
        <v>75</v>
      </c>
      <c r="N502" s="3">
        <v>900</v>
      </c>
      <c r="O502" s="6">
        <f>Table1[[#This Row],[Invoice Qty]]-Table1[[#This Row],[ExFactory Qty]]</f>
        <v>0</v>
      </c>
      <c r="P502" s="1" t="s">
        <v>1573</v>
      </c>
      <c r="Q502" s="2">
        <v>46282.656168981499</v>
      </c>
      <c r="R502" s="2">
        <v>46287</v>
      </c>
      <c r="S502" s="1" t="s">
        <v>39</v>
      </c>
      <c r="U502" s="1" t="s">
        <v>40</v>
      </c>
      <c r="V502" s="1" t="s">
        <v>77</v>
      </c>
      <c r="W502" s="1" t="s">
        <v>40</v>
      </c>
      <c r="X502" s="1" t="s">
        <v>40</v>
      </c>
      <c r="Z502" s="2">
        <v>46289</v>
      </c>
      <c r="AA502" s="1" t="s">
        <v>1638</v>
      </c>
      <c r="AB502" s="2">
        <v>46282</v>
      </c>
      <c r="AC502" s="2">
        <v>46282.555127314801</v>
      </c>
      <c r="AE502" s="1" t="s">
        <v>40</v>
      </c>
      <c r="AF502" s="1" t="s">
        <v>79</v>
      </c>
    </row>
    <row r="503" spans="1:32" ht="12.75" hidden="1" customHeight="1" x14ac:dyDescent="0.2">
      <c r="A503" s="1" t="s">
        <v>30</v>
      </c>
      <c r="B503" s="1" t="s">
        <v>1639</v>
      </c>
      <c r="C503" s="1" t="s">
        <v>71</v>
      </c>
      <c r="D503" s="1" t="s">
        <v>323</v>
      </c>
      <c r="E503" s="1" t="s">
        <v>741</v>
      </c>
      <c r="F503" s="1" t="s">
        <v>337</v>
      </c>
      <c r="G503" s="3">
        <v>602</v>
      </c>
      <c r="H503" s="4">
        <v>9</v>
      </c>
      <c r="I503" s="5">
        <v>1775.9</v>
      </c>
      <c r="J503" s="5">
        <v>0</v>
      </c>
      <c r="K503" s="1" t="s">
        <v>36</v>
      </c>
      <c r="L503" s="1" t="s">
        <v>75</v>
      </c>
      <c r="M503" s="1" t="s">
        <v>51</v>
      </c>
      <c r="N503" s="3">
        <v>602</v>
      </c>
      <c r="O503" s="6">
        <f>Table1[[#This Row],[Invoice Qty]]-Table1[[#This Row],[ExFactory Qty]]</f>
        <v>0</v>
      </c>
      <c r="P503" s="1" t="s">
        <v>1640</v>
      </c>
      <c r="Q503" s="2">
        <v>46282.667280092603</v>
      </c>
      <c r="R503" s="2">
        <v>46288</v>
      </c>
      <c r="S503" s="1" t="s">
        <v>39</v>
      </c>
      <c r="U503" s="1" t="s">
        <v>40</v>
      </c>
      <c r="V503" s="1" t="s">
        <v>77</v>
      </c>
      <c r="W503" s="1" t="s">
        <v>40</v>
      </c>
      <c r="X503" s="1" t="s">
        <v>40</v>
      </c>
      <c r="Z503" s="2">
        <v>46288</v>
      </c>
      <c r="AA503" s="1" t="s">
        <v>1641</v>
      </c>
      <c r="AB503" s="2">
        <v>46282</v>
      </c>
      <c r="AC503" s="2">
        <v>46282.555254629602</v>
      </c>
      <c r="AE503" s="1" t="s">
        <v>40</v>
      </c>
      <c r="AF503" s="1" t="s">
        <v>326</v>
      </c>
    </row>
    <row r="504" spans="1:32" ht="12.75" hidden="1" customHeight="1" x14ac:dyDescent="0.2">
      <c r="A504" s="1" t="s">
        <v>30</v>
      </c>
      <c r="B504" s="1" t="s">
        <v>1642</v>
      </c>
      <c r="C504" s="1" t="s">
        <v>71</v>
      </c>
      <c r="D504" s="1" t="s">
        <v>323</v>
      </c>
      <c r="E504" s="1" t="s">
        <v>1643</v>
      </c>
      <c r="F504" s="1" t="s">
        <v>361</v>
      </c>
      <c r="G504" s="3">
        <v>17</v>
      </c>
      <c r="H504" s="4">
        <v>1</v>
      </c>
      <c r="I504" s="5">
        <v>53.72</v>
      </c>
      <c r="J504" s="5">
        <v>0</v>
      </c>
      <c r="K504" s="1" t="s">
        <v>36</v>
      </c>
      <c r="L504" s="1" t="s">
        <v>75</v>
      </c>
      <c r="M504" s="1" t="s">
        <v>51</v>
      </c>
      <c r="N504" s="3">
        <v>17</v>
      </c>
      <c r="O504" s="6">
        <f>Table1[[#This Row],[Invoice Qty]]-Table1[[#This Row],[ExFactory Qty]]</f>
        <v>0</v>
      </c>
      <c r="P504" s="1" t="s">
        <v>1640</v>
      </c>
      <c r="Q504" s="2">
        <v>46282.667280092603</v>
      </c>
      <c r="R504" s="2">
        <v>46288</v>
      </c>
      <c r="S504" s="1" t="s">
        <v>39</v>
      </c>
      <c r="U504" s="1" t="s">
        <v>40</v>
      </c>
      <c r="V504" s="1" t="s">
        <v>77</v>
      </c>
      <c r="W504" s="1" t="s">
        <v>40</v>
      </c>
      <c r="X504" s="1" t="s">
        <v>40</v>
      </c>
      <c r="Z504" s="2">
        <v>46289</v>
      </c>
      <c r="AA504" s="1" t="s">
        <v>1644</v>
      </c>
      <c r="AB504" s="2">
        <v>46282</v>
      </c>
      <c r="AC504" s="2">
        <v>46282.555254629602</v>
      </c>
      <c r="AE504" s="1" t="s">
        <v>40</v>
      </c>
      <c r="AF504" s="1" t="s">
        <v>326</v>
      </c>
    </row>
    <row r="505" spans="1:32" ht="12.75" hidden="1" customHeight="1" x14ac:dyDescent="0.2">
      <c r="A505" s="1" t="s">
        <v>30</v>
      </c>
      <c r="B505" s="1" t="s">
        <v>1645</v>
      </c>
      <c r="C505" s="1" t="s">
        <v>71</v>
      </c>
      <c r="D505" s="1" t="s">
        <v>323</v>
      </c>
      <c r="E505" s="1" t="s">
        <v>749</v>
      </c>
      <c r="F505" s="1" t="s">
        <v>252</v>
      </c>
      <c r="G505" s="3">
        <v>214</v>
      </c>
      <c r="H505" s="4">
        <v>3</v>
      </c>
      <c r="I505" s="5">
        <v>631.29999999999995</v>
      </c>
      <c r="J505" s="5">
        <v>0</v>
      </c>
      <c r="K505" s="1" t="s">
        <v>36</v>
      </c>
      <c r="L505" s="1" t="s">
        <v>75</v>
      </c>
      <c r="M505" s="1" t="s">
        <v>51</v>
      </c>
      <c r="N505" s="3">
        <v>214</v>
      </c>
      <c r="O505" s="6">
        <f>Table1[[#This Row],[Invoice Qty]]-Table1[[#This Row],[ExFactory Qty]]</f>
        <v>0</v>
      </c>
      <c r="P505" s="1" t="s">
        <v>1640</v>
      </c>
      <c r="Q505" s="2">
        <v>46282.667280092603</v>
      </c>
      <c r="R505" s="2">
        <v>46290</v>
      </c>
      <c r="S505" s="1" t="s">
        <v>39</v>
      </c>
      <c r="U505" s="1" t="s">
        <v>40</v>
      </c>
      <c r="V505" s="1" t="s">
        <v>77</v>
      </c>
      <c r="W505" s="1" t="s">
        <v>40</v>
      </c>
      <c r="X505" s="1" t="s">
        <v>40</v>
      </c>
      <c r="Z505" s="2">
        <v>46290</v>
      </c>
      <c r="AA505" s="1" t="s">
        <v>1646</v>
      </c>
      <c r="AB505" s="2">
        <v>46282</v>
      </c>
      <c r="AC505" s="2">
        <v>46282.555254629602</v>
      </c>
      <c r="AE505" s="1" t="s">
        <v>40</v>
      </c>
      <c r="AF505" s="1" t="s">
        <v>326</v>
      </c>
    </row>
    <row r="506" spans="1:32" ht="12.75" hidden="1" customHeight="1" x14ac:dyDescent="0.2">
      <c r="A506" s="1" t="s">
        <v>30</v>
      </c>
      <c r="B506" s="1" t="s">
        <v>1647</v>
      </c>
      <c r="C506" s="1" t="s">
        <v>71</v>
      </c>
      <c r="D506" s="1" t="s">
        <v>323</v>
      </c>
      <c r="E506" s="1" t="s">
        <v>749</v>
      </c>
      <c r="F506" s="1" t="s">
        <v>384</v>
      </c>
      <c r="G506" s="3">
        <v>761</v>
      </c>
      <c r="H506" s="4">
        <v>12</v>
      </c>
      <c r="I506" s="5">
        <v>2244.9499999999998</v>
      </c>
      <c r="J506" s="5">
        <v>0</v>
      </c>
      <c r="K506" s="1" t="s">
        <v>36</v>
      </c>
      <c r="L506" s="1" t="s">
        <v>75</v>
      </c>
      <c r="M506" s="1" t="s">
        <v>51</v>
      </c>
      <c r="N506" s="3">
        <v>761</v>
      </c>
      <c r="O506" s="6">
        <f>Table1[[#This Row],[Invoice Qty]]-Table1[[#This Row],[ExFactory Qty]]</f>
        <v>0</v>
      </c>
      <c r="P506" s="1" t="s">
        <v>1648</v>
      </c>
      <c r="Q506" s="2">
        <v>46282.667094907403</v>
      </c>
      <c r="R506" s="2">
        <v>46288</v>
      </c>
      <c r="S506" s="1" t="s">
        <v>39</v>
      </c>
      <c r="U506" s="1" t="s">
        <v>40</v>
      </c>
      <c r="V506" s="1" t="s">
        <v>77</v>
      </c>
      <c r="W506" s="1" t="s">
        <v>40</v>
      </c>
      <c r="X506" s="1" t="s">
        <v>40</v>
      </c>
      <c r="Z506" s="2">
        <v>46288</v>
      </c>
      <c r="AA506" s="1" t="s">
        <v>1649</v>
      </c>
      <c r="AB506" s="2">
        <v>46282</v>
      </c>
      <c r="AC506" s="2">
        <v>46282.555254629602</v>
      </c>
      <c r="AE506" s="1" t="s">
        <v>40</v>
      </c>
      <c r="AF506" s="1" t="s">
        <v>326</v>
      </c>
    </row>
    <row r="507" spans="1:32" ht="12.75" hidden="1" customHeight="1" x14ac:dyDescent="0.2">
      <c r="A507" s="1" t="s">
        <v>30</v>
      </c>
      <c r="B507" s="1" t="s">
        <v>1650</v>
      </c>
      <c r="C507" s="1" t="s">
        <v>71</v>
      </c>
      <c r="D507" s="1" t="s">
        <v>323</v>
      </c>
      <c r="E507" s="1" t="s">
        <v>749</v>
      </c>
      <c r="F507" s="1" t="s">
        <v>384</v>
      </c>
      <c r="G507" s="3">
        <v>832</v>
      </c>
      <c r="H507" s="4">
        <v>12</v>
      </c>
      <c r="I507" s="5">
        <v>2454.4</v>
      </c>
      <c r="J507" s="5">
        <v>0</v>
      </c>
      <c r="K507" s="1" t="s">
        <v>36</v>
      </c>
      <c r="L507" s="1" t="s">
        <v>75</v>
      </c>
      <c r="M507" s="1" t="s">
        <v>51</v>
      </c>
      <c r="N507" s="3">
        <v>832</v>
      </c>
      <c r="O507" s="6">
        <f>Table1[[#This Row],[Invoice Qty]]-Table1[[#This Row],[ExFactory Qty]]</f>
        <v>0</v>
      </c>
      <c r="P507" s="1" t="s">
        <v>1648</v>
      </c>
      <c r="Q507" s="2">
        <v>46282.667094907403</v>
      </c>
      <c r="R507" s="2">
        <v>46288</v>
      </c>
      <c r="S507" s="1" t="s">
        <v>39</v>
      </c>
      <c r="U507" s="1" t="s">
        <v>40</v>
      </c>
      <c r="V507" s="1" t="s">
        <v>77</v>
      </c>
      <c r="W507" s="1" t="s">
        <v>40</v>
      </c>
      <c r="X507" s="1" t="s">
        <v>40</v>
      </c>
      <c r="Z507" s="2">
        <v>46288</v>
      </c>
      <c r="AA507" s="1" t="s">
        <v>1651</v>
      </c>
      <c r="AB507" s="2">
        <v>46282</v>
      </c>
      <c r="AC507" s="2">
        <v>46282.555254629602</v>
      </c>
      <c r="AE507" s="1" t="s">
        <v>40</v>
      </c>
      <c r="AF507" s="1" t="s">
        <v>326</v>
      </c>
    </row>
    <row r="508" spans="1:32" ht="12.75" hidden="1" customHeight="1" x14ac:dyDescent="0.2">
      <c r="A508" s="1" t="s">
        <v>30</v>
      </c>
      <c r="B508" s="1" t="s">
        <v>1652</v>
      </c>
      <c r="C508" s="1" t="s">
        <v>71</v>
      </c>
      <c r="D508" s="1" t="s">
        <v>323</v>
      </c>
      <c r="E508" s="1" t="s">
        <v>755</v>
      </c>
      <c r="F508" s="1" t="s">
        <v>384</v>
      </c>
      <c r="G508" s="3">
        <v>1850</v>
      </c>
      <c r="H508" s="4">
        <v>23</v>
      </c>
      <c r="I508" s="5">
        <v>5457.5</v>
      </c>
      <c r="J508" s="5">
        <v>0</v>
      </c>
      <c r="K508" s="1" t="s">
        <v>36</v>
      </c>
      <c r="L508" s="1" t="s">
        <v>75</v>
      </c>
      <c r="M508" s="1" t="s">
        <v>51</v>
      </c>
      <c r="N508" s="3">
        <v>1850</v>
      </c>
      <c r="O508" s="6">
        <f>Table1[[#This Row],[Invoice Qty]]-Table1[[#This Row],[ExFactory Qty]]</f>
        <v>0</v>
      </c>
      <c r="P508" s="1" t="s">
        <v>1648</v>
      </c>
      <c r="Q508" s="2">
        <v>46282.667094907403</v>
      </c>
      <c r="R508" s="2">
        <v>46288</v>
      </c>
      <c r="S508" s="1" t="s">
        <v>39</v>
      </c>
      <c r="U508" s="1" t="s">
        <v>40</v>
      </c>
      <c r="V508" s="1" t="s">
        <v>77</v>
      </c>
      <c r="W508" s="1" t="s">
        <v>40</v>
      </c>
      <c r="X508" s="1" t="s">
        <v>40</v>
      </c>
      <c r="Z508" s="2">
        <v>46288</v>
      </c>
      <c r="AA508" s="1" t="s">
        <v>1653</v>
      </c>
      <c r="AB508" s="2">
        <v>46282</v>
      </c>
      <c r="AC508" s="2">
        <v>46282.555254629602</v>
      </c>
      <c r="AE508" s="1" t="s">
        <v>40</v>
      </c>
      <c r="AF508" s="1" t="s">
        <v>326</v>
      </c>
    </row>
    <row r="509" spans="1:32" ht="12.75" hidden="1" customHeight="1" x14ac:dyDescent="0.2">
      <c r="A509" s="1" t="s">
        <v>30</v>
      </c>
      <c r="B509" s="1" t="s">
        <v>1654</v>
      </c>
      <c r="C509" s="1" t="s">
        <v>71</v>
      </c>
      <c r="D509" s="1" t="s">
        <v>457</v>
      </c>
      <c r="E509" s="1" t="s">
        <v>1215</v>
      </c>
      <c r="F509" s="1" t="s">
        <v>459</v>
      </c>
      <c r="G509" s="3">
        <v>40</v>
      </c>
      <c r="H509" s="4">
        <v>1</v>
      </c>
      <c r="I509" s="5">
        <v>121.2</v>
      </c>
      <c r="J509" s="5">
        <v>0</v>
      </c>
      <c r="K509" s="1" t="s">
        <v>36</v>
      </c>
      <c r="L509" s="1" t="s">
        <v>75</v>
      </c>
      <c r="M509" s="1" t="s">
        <v>51</v>
      </c>
      <c r="N509" s="3">
        <v>40</v>
      </c>
      <c r="O509" s="6">
        <f>Table1[[#This Row],[Invoice Qty]]-Table1[[#This Row],[ExFactory Qty]]</f>
        <v>0</v>
      </c>
      <c r="P509" s="1" t="s">
        <v>1655</v>
      </c>
      <c r="Q509" s="2">
        <v>46282.635092592602</v>
      </c>
      <c r="R509" s="2">
        <v>46288</v>
      </c>
      <c r="S509" s="1" t="s">
        <v>39</v>
      </c>
      <c r="U509" s="1" t="s">
        <v>40</v>
      </c>
      <c r="V509" s="1" t="s">
        <v>77</v>
      </c>
      <c r="W509" s="1" t="s">
        <v>40</v>
      </c>
      <c r="X509" s="1" t="s">
        <v>40</v>
      </c>
      <c r="Z509" s="2">
        <v>46288</v>
      </c>
      <c r="AA509" s="1" t="s">
        <v>1656</v>
      </c>
      <c r="AB509" s="2">
        <v>46282</v>
      </c>
      <c r="AC509" s="2">
        <v>46282</v>
      </c>
      <c r="AE509" s="1" t="s">
        <v>40</v>
      </c>
      <c r="AF509" s="1" t="s">
        <v>326</v>
      </c>
    </row>
    <row r="510" spans="1:32" ht="12.75" hidden="1" customHeight="1" x14ac:dyDescent="0.2">
      <c r="A510" s="1" t="s">
        <v>30</v>
      </c>
      <c r="B510" s="1" t="s">
        <v>1657</v>
      </c>
      <c r="C510" s="1" t="s">
        <v>71</v>
      </c>
      <c r="D510" s="1" t="s">
        <v>457</v>
      </c>
      <c r="E510" s="1" t="s">
        <v>1215</v>
      </c>
      <c r="F510" s="1" t="s">
        <v>459</v>
      </c>
      <c r="G510" s="3">
        <v>51</v>
      </c>
      <c r="H510" s="4">
        <v>1</v>
      </c>
      <c r="I510" s="5">
        <v>154.53</v>
      </c>
      <c r="J510" s="5">
        <v>0</v>
      </c>
      <c r="K510" s="1" t="s">
        <v>36</v>
      </c>
      <c r="L510" s="1" t="s">
        <v>75</v>
      </c>
      <c r="M510" s="1" t="s">
        <v>51</v>
      </c>
      <c r="N510" s="3">
        <v>51</v>
      </c>
      <c r="O510" s="6">
        <f>Table1[[#This Row],[Invoice Qty]]-Table1[[#This Row],[ExFactory Qty]]</f>
        <v>0</v>
      </c>
      <c r="P510" s="1" t="s">
        <v>1655</v>
      </c>
      <c r="Q510" s="2">
        <v>46282.635092592602</v>
      </c>
      <c r="R510" s="2">
        <v>46288</v>
      </c>
      <c r="S510" s="1" t="s">
        <v>39</v>
      </c>
      <c r="U510" s="1" t="s">
        <v>40</v>
      </c>
      <c r="V510" s="1" t="s">
        <v>77</v>
      </c>
      <c r="W510" s="1" t="s">
        <v>40</v>
      </c>
      <c r="X510" s="1" t="s">
        <v>40</v>
      </c>
      <c r="Z510" s="2">
        <v>46288</v>
      </c>
      <c r="AA510" s="1" t="s">
        <v>1658</v>
      </c>
      <c r="AB510" s="2">
        <v>46282</v>
      </c>
      <c r="AC510" s="2">
        <v>46282</v>
      </c>
      <c r="AE510" s="1" t="s">
        <v>40</v>
      </c>
      <c r="AF510" s="1" t="s">
        <v>326</v>
      </c>
    </row>
    <row r="511" spans="1:32" ht="12.75" hidden="1" customHeight="1" x14ac:dyDescent="0.2">
      <c r="A511" s="1" t="s">
        <v>30</v>
      </c>
      <c r="B511" s="1" t="s">
        <v>1659</v>
      </c>
      <c r="C511" s="1" t="s">
        <v>71</v>
      </c>
      <c r="D511" s="1" t="s">
        <v>457</v>
      </c>
      <c r="E511" s="1" t="s">
        <v>1215</v>
      </c>
      <c r="F511" s="1" t="s">
        <v>376</v>
      </c>
      <c r="G511" s="3">
        <v>773</v>
      </c>
      <c r="H511" s="4">
        <v>12</v>
      </c>
      <c r="I511" s="5">
        <v>2342.19</v>
      </c>
      <c r="J511" s="5">
        <v>0</v>
      </c>
      <c r="K511" s="1" t="s">
        <v>36</v>
      </c>
      <c r="L511" s="1" t="s">
        <v>75</v>
      </c>
      <c r="M511" s="1" t="s">
        <v>51</v>
      </c>
      <c r="N511" s="3">
        <v>773</v>
      </c>
      <c r="O511" s="6">
        <f>Table1[[#This Row],[Invoice Qty]]-Table1[[#This Row],[ExFactory Qty]]</f>
        <v>0</v>
      </c>
      <c r="P511" s="1" t="s">
        <v>1660</v>
      </c>
      <c r="Q511" s="2">
        <v>46282.666932870401</v>
      </c>
      <c r="R511" s="2">
        <v>46290</v>
      </c>
      <c r="S511" s="1" t="s">
        <v>39</v>
      </c>
      <c r="U511" s="1" t="s">
        <v>40</v>
      </c>
      <c r="V511" s="1" t="s">
        <v>77</v>
      </c>
      <c r="W511" s="1" t="s">
        <v>40</v>
      </c>
      <c r="X511" s="1" t="s">
        <v>40</v>
      </c>
      <c r="Z511" s="2">
        <v>46290</v>
      </c>
      <c r="AA511" s="1" t="s">
        <v>1661</v>
      </c>
      <c r="AB511" s="2">
        <v>46282</v>
      </c>
      <c r="AC511" s="2">
        <v>46282.555254629602</v>
      </c>
      <c r="AE511" s="1" t="s">
        <v>40</v>
      </c>
      <c r="AF511" s="1" t="s">
        <v>326</v>
      </c>
    </row>
    <row r="512" spans="1:32" ht="12.75" hidden="1" customHeight="1" x14ac:dyDescent="0.2">
      <c r="A512" s="1" t="s">
        <v>30</v>
      </c>
      <c r="B512" s="1" t="s">
        <v>1662</v>
      </c>
      <c r="C512" s="1" t="s">
        <v>71</v>
      </c>
      <c r="D512" s="1" t="s">
        <v>457</v>
      </c>
      <c r="E512" s="1" t="s">
        <v>1215</v>
      </c>
      <c r="F512" s="1" t="s">
        <v>252</v>
      </c>
      <c r="G512" s="3">
        <v>185</v>
      </c>
      <c r="H512" s="4">
        <v>4</v>
      </c>
      <c r="I512" s="5">
        <v>560.54999999999995</v>
      </c>
      <c r="J512" s="5">
        <v>0</v>
      </c>
      <c r="K512" s="1" t="s">
        <v>36</v>
      </c>
      <c r="L512" s="1" t="s">
        <v>75</v>
      </c>
      <c r="M512" s="1" t="s">
        <v>51</v>
      </c>
      <c r="N512" s="3">
        <v>185</v>
      </c>
      <c r="O512" s="6">
        <f>Table1[[#This Row],[Invoice Qty]]-Table1[[#This Row],[ExFactory Qty]]</f>
        <v>0</v>
      </c>
      <c r="P512" s="1" t="s">
        <v>1640</v>
      </c>
      <c r="Q512" s="2">
        <v>46282.667280092603</v>
      </c>
      <c r="R512" s="2">
        <v>46290</v>
      </c>
      <c r="S512" s="1" t="s">
        <v>39</v>
      </c>
      <c r="U512" s="1" t="s">
        <v>40</v>
      </c>
      <c r="V512" s="1" t="s">
        <v>77</v>
      </c>
      <c r="W512" s="1" t="s">
        <v>40</v>
      </c>
      <c r="X512" s="1" t="s">
        <v>40</v>
      </c>
      <c r="Z512" s="2">
        <v>46290</v>
      </c>
      <c r="AA512" s="1" t="s">
        <v>1663</v>
      </c>
      <c r="AB512" s="2">
        <v>46282</v>
      </c>
      <c r="AC512" s="2">
        <v>46282</v>
      </c>
      <c r="AE512" s="1" t="s">
        <v>40</v>
      </c>
      <c r="AF512" s="1" t="s">
        <v>326</v>
      </c>
    </row>
    <row r="513" spans="1:32" ht="12.75" hidden="1" customHeight="1" x14ac:dyDescent="0.2">
      <c r="A513" s="1" t="s">
        <v>30</v>
      </c>
      <c r="B513" s="1" t="s">
        <v>1664</v>
      </c>
      <c r="C513" s="1" t="s">
        <v>71</v>
      </c>
      <c r="D513" s="1" t="s">
        <v>457</v>
      </c>
      <c r="E513" s="1" t="s">
        <v>1215</v>
      </c>
      <c r="F513" s="1" t="s">
        <v>341</v>
      </c>
      <c r="G513" s="3">
        <v>383</v>
      </c>
      <c r="H513" s="4">
        <v>5</v>
      </c>
      <c r="I513" s="5">
        <v>1160.49</v>
      </c>
      <c r="J513" s="5">
        <v>0</v>
      </c>
      <c r="K513" s="1" t="s">
        <v>36</v>
      </c>
      <c r="L513" s="1" t="s">
        <v>75</v>
      </c>
      <c r="M513" s="1" t="s">
        <v>51</v>
      </c>
      <c r="N513" s="3">
        <v>383</v>
      </c>
      <c r="O513" s="6">
        <f>Table1[[#This Row],[Invoice Qty]]-Table1[[#This Row],[ExFactory Qty]]</f>
        <v>0</v>
      </c>
      <c r="P513" s="1" t="s">
        <v>1660</v>
      </c>
      <c r="Q513" s="2">
        <v>46282.666932870401</v>
      </c>
      <c r="R513" s="2">
        <v>46287</v>
      </c>
      <c r="S513" s="1" t="s">
        <v>39</v>
      </c>
      <c r="U513" s="1" t="s">
        <v>40</v>
      </c>
      <c r="V513" s="1" t="s">
        <v>77</v>
      </c>
      <c r="W513" s="1" t="s">
        <v>40</v>
      </c>
      <c r="X513" s="1" t="s">
        <v>40</v>
      </c>
      <c r="Z513" s="2">
        <v>46289</v>
      </c>
      <c r="AA513" s="1" t="s">
        <v>1665</v>
      </c>
      <c r="AB513" s="2">
        <v>46282</v>
      </c>
      <c r="AC513" s="2">
        <v>46282</v>
      </c>
      <c r="AE513" s="1" t="s">
        <v>40</v>
      </c>
      <c r="AF513" s="1" t="s">
        <v>326</v>
      </c>
    </row>
    <row r="514" spans="1:32" ht="12.75" hidden="1" customHeight="1" x14ac:dyDescent="0.2">
      <c r="A514" s="1" t="s">
        <v>30</v>
      </c>
      <c r="B514" s="1" t="s">
        <v>1666</v>
      </c>
      <c r="C514" s="1" t="s">
        <v>71</v>
      </c>
      <c r="D514" s="1" t="s">
        <v>457</v>
      </c>
      <c r="E514" s="1" t="s">
        <v>1215</v>
      </c>
      <c r="F514" s="1" t="s">
        <v>466</v>
      </c>
      <c r="G514" s="3">
        <v>170</v>
      </c>
      <c r="H514" s="4">
        <v>4</v>
      </c>
      <c r="I514" s="5">
        <v>515.1</v>
      </c>
      <c r="J514" s="5">
        <v>0</v>
      </c>
      <c r="K514" s="1" t="s">
        <v>36</v>
      </c>
      <c r="L514" s="1" t="s">
        <v>75</v>
      </c>
      <c r="M514" s="1" t="s">
        <v>51</v>
      </c>
      <c r="N514" s="3">
        <v>170</v>
      </c>
      <c r="O514" s="6">
        <f>Table1[[#This Row],[Invoice Qty]]-Table1[[#This Row],[ExFactory Qty]]</f>
        <v>0</v>
      </c>
      <c r="P514" s="1" t="s">
        <v>1655</v>
      </c>
      <c r="Q514" s="2">
        <v>46282.635092592602</v>
      </c>
      <c r="R514" s="2">
        <v>46293</v>
      </c>
      <c r="S514" s="1" t="s">
        <v>39</v>
      </c>
      <c r="U514" s="1" t="s">
        <v>40</v>
      </c>
      <c r="V514" s="1" t="s">
        <v>77</v>
      </c>
      <c r="W514" s="1" t="s">
        <v>40</v>
      </c>
      <c r="X514" s="1" t="s">
        <v>40</v>
      </c>
      <c r="Z514" s="2">
        <v>46292</v>
      </c>
      <c r="AA514" s="1" t="s">
        <v>1667</v>
      </c>
      <c r="AB514" s="2">
        <v>46282</v>
      </c>
      <c r="AC514" s="2">
        <v>46282.555254629602</v>
      </c>
      <c r="AE514" s="1" t="s">
        <v>40</v>
      </c>
      <c r="AF514" s="1" t="s">
        <v>326</v>
      </c>
    </row>
    <row r="515" spans="1:32" ht="12.75" hidden="1" customHeight="1" x14ac:dyDescent="0.2">
      <c r="A515" s="1" t="s">
        <v>30</v>
      </c>
      <c r="B515" s="1" t="s">
        <v>1668</v>
      </c>
      <c r="C515" s="1" t="s">
        <v>71</v>
      </c>
      <c r="D515" s="1" t="s">
        <v>457</v>
      </c>
      <c r="E515" s="1" t="s">
        <v>1215</v>
      </c>
      <c r="F515" s="1" t="s">
        <v>345</v>
      </c>
      <c r="G515" s="3">
        <v>1875</v>
      </c>
      <c r="H515" s="4">
        <v>25</v>
      </c>
      <c r="I515" s="5">
        <v>5681.25</v>
      </c>
      <c r="J515" s="5">
        <v>0</v>
      </c>
      <c r="K515" s="1" t="s">
        <v>36</v>
      </c>
      <c r="L515" s="1" t="s">
        <v>75</v>
      </c>
      <c r="M515" s="1" t="s">
        <v>51</v>
      </c>
      <c r="N515" s="3">
        <v>1875</v>
      </c>
      <c r="O515" s="6">
        <f>Table1[[#This Row],[Invoice Qty]]-Table1[[#This Row],[ExFactory Qty]]</f>
        <v>0</v>
      </c>
      <c r="P515" s="1" t="s">
        <v>1660</v>
      </c>
      <c r="Q515" s="2">
        <v>46282.666932870401</v>
      </c>
      <c r="R515" s="2">
        <v>46290</v>
      </c>
      <c r="S515" s="1" t="s">
        <v>39</v>
      </c>
      <c r="U515" s="1" t="s">
        <v>40</v>
      </c>
      <c r="V515" s="1" t="s">
        <v>77</v>
      </c>
      <c r="W515" s="1" t="s">
        <v>40</v>
      </c>
      <c r="X515" s="1" t="s">
        <v>40</v>
      </c>
      <c r="Z515" s="2">
        <v>46290</v>
      </c>
      <c r="AA515" s="1" t="s">
        <v>1669</v>
      </c>
      <c r="AB515" s="2">
        <v>46282</v>
      </c>
      <c r="AC515" s="2">
        <v>46282.555254629602</v>
      </c>
      <c r="AE515" s="1" t="s">
        <v>40</v>
      </c>
      <c r="AF515" s="1" t="s">
        <v>326</v>
      </c>
    </row>
    <row r="516" spans="1:32" ht="12.75" hidden="1" customHeight="1" x14ac:dyDescent="0.2">
      <c r="A516" s="1" t="s">
        <v>30</v>
      </c>
      <c r="B516" s="1" t="s">
        <v>1670</v>
      </c>
      <c r="C516" s="1" t="s">
        <v>71</v>
      </c>
      <c r="D516" s="1" t="s">
        <v>457</v>
      </c>
      <c r="E516" s="1" t="s">
        <v>1215</v>
      </c>
      <c r="F516" s="1" t="s">
        <v>384</v>
      </c>
      <c r="G516" s="3">
        <v>1601</v>
      </c>
      <c r="H516" s="4">
        <v>21</v>
      </c>
      <c r="I516" s="5">
        <v>4851.03</v>
      </c>
      <c r="J516" s="5">
        <v>0</v>
      </c>
      <c r="K516" s="1" t="s">
        <v>36</v>
      </c>
      <c r="L516" s="1" t="s">
        <v>75</v>
      </c>
      <c r="M516" s="1" t="s">
        <v>51</v>
      </c>
      <c r="N516" s="3">
        <v>1601</v>
      </c>
      <c r="O516" s="6">
        <f>Table1[[#This Row],[Invoice Qty]]-Table1[[#This Row],[ExFactory Qty]]</f>
        <v>0</v>
      </c>
      <c r="P516" s="1" t="s">
        <v>1648</v>
      </c>
      <c r="Q516" s="2">
        <v>46282.667094907403</v>
      </c>
      <c r="R516" s="2">
        <v>46288</v>
      </c>
      <c r="S516" s="1" t="s">
        <v>39</v>
      </c>
      <c r="U516" s="1" t="s">
        <v>40</v>
      </c>
      <c r="V516" s="1" t="s">
        <v>77</v>
      </c>
      <c r="W516" s="1" t="s">
        <v>40</v>
      </c>
      <c r="X516" s="1" t="s">
        <v>40</v>
      </c>
      <c r="Z516" s="2">
        <v>46288</v>
      </c>
      <c r="AA516" s="1" t="s">
        <v>1671</v>
      </c>
      <c r="AB516" s="2">
        <v>46282</v>
      </c>
      <c r="AC516" s="2">
        <v>46282.555254629602</v>
      </c>
      <c r="AE516" s="1" t="s">
        <v>40</v>
      </c>
      <c r="AF516" s="1" t="s">
        <v>326</v>
      </c>
    </row>
    <row r="517" spans="1:32" ht="12.75" hidden="1" customHeight="1" x14ac:dyDescent="0.2">
      <c r="A517" s="1" t="s">
        <v>30</v>
      </c>
      <c r="B517" s="1" t="s">
        <v>1672</v>
      </c>
      <c r="C517" s="1" t="s">
        <v>71</v>
      </c>
      <c r="D517" s="1" t="s">
        <v>457</v>
      </c>
      <c r="E517" s="1" t="s">
        <v>1224</v>
      </c>
      <c r="F517" s="1" t="s">
        <v>1673</v>
      </c>
      <c r="G517" s="3">
        <v>20</v>
      </c>
      <c r="H517" s="4">
        <v>1</v>
      </c>
      <c r="I517" s="5">
        <v>60.4</v>
      </c>
      <c r="J517" s="5">
        <v>0</v>
      </c>
      <c r="K517" s="1" t="s">
        <v>36</v>
      </c>
      <c r="L517" s="1" t="s">
        <v>75</v>
      </c>
      <c r="M517" s="1" t="s">
        <v>51</v>
      </c>
      <c r="N517" s="3">
        <v>20</v>
      </c>
      <c r="O517" s="6">
        <f>Table1[[#This Row],[Invoice Qty]]-Table1[[#This Row],[ExFactory Qty]]</f>
        <v>0</v>
      </c>
      <c r="P517" s="1" t="s">
        <v>1655</v>
      </c>
      <c r="Q517" s="2">
        <v>46282.635092592602</v>
      </c>
      <c r="R517" s="2">
        <v>46291</v>
      </c>
      <c r="S517" s="1" t="s">
        <v>39</v>
      </c>
      <c r="U517" s="1" t="s">
        <v>40</v>
      </c>
      <c r="V517" s="1" t="s">
        <v>77</v>
      </c>
      <c r="W517" s="1" t="s">
        <v>40</v>
      </c>
      <c r="X517" s="1" t="s">
        <v>40</v>
      </c>
      <c r="Z517" s="2">
        <v>46292</v>
      </c>
      <c r="AA517" s="1" t="s">
        <v>1674</v>
      </c>
      <c r="AB517" s="2">
        <v>46282</v>
      </c>
      <c r="AC517" s="2">
        <v>46282.555254629602</v>
      </c>
      <c r="AE517" s="1" t="s">
        <v>40</v>
      </c>
      <c r="AF517" s="1" t="s">
        <v>326</v>
      </c>
    </row>
    <row r="518" spans="1:32" ht="12.75" hidden="1" customHeight="1" x14ac:dyDescent="0.2">
      <c r="A518" s="1" t="s">
        <v>30</v>
      </c>
      <c r="B518" s="1" t="s">
        <v>1675</v>
      </c>
      <c r="C518" s="1" t="s">
        <v>71</v>
      </c>
      <c r="D518" s="1" t="s">
        <v>457</v>
      </c>
      <c r="E518" s="1" t="s">
        <v>1224</v>
      </c>
      <c r="F518" s="1" t="s">
        <v>376</v>
      </c>
      <c r="G518" s="3">
        <v>139</v>
      </c>
      <c r="H518" s="4">
        <v>3</v>
      </c>
      <c r="I518" s="5">
        <v>423.95</v>
      </c>
      <c r="J518" s="5">
        <v>0</v>
      </c>
      <c r="K518" s="1" t="s">
        <v>36</v>
      </c>
      <c r="L518" s="1" t="s">
        <v>75</v>
      </c>
      <c r="M518" s="1" t="s">
        <v>51</v>
      </c>
      <c r="N518" s="3">
        <v>139</v>
      </c>
      <c r="O518" s="6">
        <f>Table1[[#This Row],[Invoice Qty]]-Table1[[#This Row],[ExFactory Qty]]</f>
        <v>0</v>
      </c>
      <c r="P518" s="1" t="s">
        <v>1660</v>
      </c>
      <c r="Q518" s="2">
        <v>46282.666932870401</v>
      </c>
      <c r="R518" s="2">
        <v>46290</v>
      </c>
      <c r="S518" s="1" t="s">
        <v>39</v>
      </c>
      <c r="U518" s="1" t="s">
        <v>40</v>
      </c>
      <c r="V518" s="1" t="s">
        <v>77</v>
      </c>
      <c r="W518" s="1" t="s">
        <v>40</v>
      </c>
      <c r="X518" s="1" t="s">
        <v>40</v>
      </c>
      <c r="Z518" s="2">
        <v>46290</v>
      </c>
      <c r="AA518" s="1" t="s">
        <v>1676</v>
      </c>
      <c r="AB518" s="2">
        <v>46282</v>
      </c>
      <c r="AC518" s="2">
        <v>46282.555254629602</v>
      </c>
      <c r="AE518" s="1" t="s">
        <v>40</v>
      </c>
      <c r="AF518" s="1" t="s">
        <v>326</v>
      </c>
    </row>
    <row r="519" spans="1:32" ht="12.75" hidden="1" customHeight="1" x14ac:dyDescent="0.2">
      <c r="A519" s="1" t="s">
        <v>30</v>
      </c>
      <c r="B519" s="1" t="s">
        <v>1677</v>
      </c>
      <c r="C519" s="1" t="s">
        <v>71</v>
      </c>
      <c r="D519" s="1" t="s">
        <v>457</v>
      </c>
      <c r="E519" s="1" t="s">
        <v>1224</v>
      </c>
      <c r="F519" s="1" t="s">
        <v>345</v>
      </c>
      <c r="G519" s="3">
        <v>72</v>
      </c>
      <c r="H519" s="4">
        <v>1</v>
      </c>
      <c r="I519" s="5">
        <v>217.44</v>
      </c>
      <c r="J519" s="5">
        <v>0</v>
      </c>
      <c r="K519" s="1" t="s">
        <v>36</v>
      </c>
      <c r="L519" s="1" t="s">
        <v>75</v>
      </c>
      <c r="M519" s="1" t="s">
        <v>51</v>
      </c>
      <c r="N519" s="3">
        <v>72</v>
      </c>
      <c r="O519" s="6">
        <f>Table1[[#This Row],[Invoice Qty]]-Table1[[#This Row],[ExFactory Qty]]</f>
        <v>0</v>
      </c>
      <c r="P519" s="1" t="s">
        <v>1660</v>
      </c>
      <c r="Q519" s="2">
        <v>46282.666932870401</v>
      </c>
      <c r="R519" s="2">
        <v>46290</v>
      </c>
      <c r="S519" s="1" t="s">
        <v>39</v>
      </c>
      <c r="U519" s="1" t="s">
        <v>40</v>
      </c>
      <c r="V519" s="1" t="s">
        <v>77</v>
      </c>
      <c r="W519" s="1" t="s">
        <v>40</v>
      </c>
      <c r="X519" s="1" t="s">
        <v>40</v>
      </c>
      <c r="Z519" s="2">
        <v>46290</v>
      </c>
      <c r="AA519" s="1" t="s">
        <v>1678</v>
      </c>
      <c r="AB519" s="2">
        <v>46282</v>
      </c>
      <c r="AC519" s="2">
        <v>46282.555254629602</v>
      </c>
      <c r="AE519" s="1" t="s">
        <v>40</v>
      </c>
      <c r="AF519" s="1" t="s">
        <v>326</v>
      </c>
    </row>
    <row r="520" spans="1:32" ht="12.75" hidden="1" customHeight="1" x14ac:dyDescent="0.2">
      <c r="A520" s="1" t="s">
        <v>30</v>
      </c>
      <c r="B520" s="1" t="s">
        <v>1679</v>
      </c>
      <c r="C520" s="1" t="s">
        <v>71</v>
      </c>
      <c r="D520" s="1" t="s">
        <v>72</v>
      </c>
      <c r="E520" s="1" t="s">
        <v>1303</v>
      </c>
      <c r="F520" s="1" t="s">
        <v>384</v>
      </c>
      <c r="G520" s="3">
        <v>903</v>
      </c>
      <c r="H520" s="4">
        <v>13</v>
      </c>
      <c r="I520" s="5">
        <v>2492.2800000000002</v>
      </c>
      <c r="J520" s="5">
        <v>0</v>
      </c>
      <c r="K520" s="1" t="s">
        <v>36</v>
      </c>
      <c r="L520" s="1" t="s">
        <v>75</v>
      </c>
      <c r="M520" s="1" t="s">
        <v>37</v>
      </c>
      <c r="N520" s="3">
        <v>903</v>
      </c>
      <c r="O520" s="6">
        <f>Table1[[#This Row],[Invoice Qty]]-Table1[[#This Row],[ExFactory Qty]]</f>
        <v>0</v>
      </c>
      <c r="P520" s="1" t="s">
        <v>1680</v>
      </c>
      <c r="Q520" s="2">
        <v>46282.617708333302</v>
      </c>
      <c r="R520" s="2">
        <v>46288</v>
      </c>
      <c r="S520" s="1" t="s">
        <v>39</v>
      </c>
      <c r="U520" s="1" t="s">
        <v>40</v>
      </c>
      <c r="V520" s="1" t="s">
        <v>77</v>
      </c>
      <c r="W520" s="1" t="s">
        <v>40</v>
      </c>
      <c r="X520" s="1" t="s">
        <v>40</v>
      </c>
      <c r="Z520" s="2">
        <v>46288</v>
      </c>
      <c r="AA520" s="1" t="s">
        <v>1681</v>
      </c>
      <c r="AB520" s="2">
        <v>46282</v>
      </c>
      <c r="AC520" s="2">
        <v>46282.555324074099</v>
      </c>
      <c r="AE520" s="1" t="s">
        <v>40</v>
      </c>
      <c r="AF520" s="1" t="s">
        <v>79</v>
      </c>
    </row>
    <row r="521" spans="1:32" ht="12.75" hidden="1" customHeight="1" x14ac:dyDescent="0.2">
      <c r="A521" s="1" t="s">
        <v>30</v>
      </c>
      <c r="B521" s="1" t="s">
        <v>1682</v>
      </c>
      <c r="C521" s="1" t="s">
        <v>71</v>
      </c>
      <c r="D521" s="1" t="s">
        <v>72</v>
      </c>
      <c r="E521" s="1" t="s">
        <v>1321</v>
      </c>
      <c r="F521" s="1" t="s">
        <v>1673</v>
      </c>
      <c r="G521" s="3">
        <v>10</v>
      </c>
      <c r="H521" s="4">
        <v>1</v>
      </c>
      <c r="I521" s="5">
        <v>19.399999999999999</v>
      </c>
      <c r="J521" s="5">
        <v>0</v>
      </c>
      <c r="K521" s="1" t="s">
        <v>36</v>
      </c>
      <c r="L521" s="1" t="s">
        <v>75</v>
      </c>
      <c r="M521" s="1" t="s">
        <v>37</v>
      </c>
      <c r="N521" s="3">
        <v>10</v>
      </c>
      <c r="O521" s="6">
        <f>Table1[[#This Row],[Invoice Qty]]-Table1[[#This Row],[ExFactory Qty]]</f>
        <v>0</v>
      </c>
      <c r="P521" s="1" t="s">
        <v>1683</v>
      </c>
      <c r="Q521" s="2">
        <v>46282.737557870401</v>
      </c>
      <c r="R521" s="2">
        <v>46291</v>
      </c>
      <c r="S521" s="1" t="s">
        <v>39</v>
      </c>
      <c r="U521" s="1" t="s">
        <v>40</v>
      </c>
      <c r="V521" s="1" t="s">
        <v>77</v>
      </c>
      <c r="W521" s="1" t="s">
        <v>40</v>
      </c>
      <c r="X521" s="1" t="s">
        <v>40</v>
      </c>
      <c r="Z521" s="2">
        <v>46292</v>
      </c>
      <c r="AA521" s="1" t="s">
        <v>1684</v>
      </c>
      <c r="AB521" s="2">
        <v>46282</v>
      </c>
      <c r="AC521" s="2">
        <v>46282.555324074099</v>
      </c>
      <c r="AE521" s="1" t="s">
        <v>40</v>
      </c>
      <c r="AF521" s="1" t="s">
        <v>79</v>
      </c>
    </row>
    <row r="522" spans="1:32" ht="12.75" hidden="1" customHeight="1" x14ac:dyDescent="0.2">
      <c r="A522" s="1" t="s">
        <v>30</v>
      </c>
      <c r="B522" s="1" t="s">
        <v>1685</v>
      </c>
      <c r="C522" s="1" t="s">
        <v>71</v>
      </c>
      <c r="D522" s="1" t="s">
        <v>72</v>
      </c>
      <c r="E522" s="1" t="s">
        <v>1321</v>
      </c>
      <c r="F522" s="1" t="s">
        <v>376</v>
      </c>
      <c r="G522" s="3">
        <v>10</v>
      </c>
      <c r="H522" s="4">
        <v>1</v>
      </c>
      <c r="I522" s="5">
        <v>19.7</v>
      </c>
      <c r="J522" s="5">
        <v>0</v>
      </c>
      <c r="K522" s="1" t="s">
        <v>36</v>
      </c>
      <c r="L522" s="1" t="s">
        <v>75</v>
      </c>
      <c r="M522" s="1" t="s">
        <v>37</v>
      </c>
      <c r="N522" s="3">
        <v>10</v>
      </c>
      <c r="O522" s="6">
        <f>Table1[[#This Row],[Invoice Qty]]-Table1[[#This Row],[ExFactory Qty]]</f>
        <v>0</v>
      </c>
      <c r="P522" s="1" t="s">
        <v>1686</v>
      </c>
      <c r="Q522" s="2">
        <v>46282.640636574099</v>
      </c>
      <c r="R522" s="2">
        <v>46290</v>
      </c>
      <c r="S522" s="1" t="s">
        <v>39</v>
      </c>
      <c r="U522" s="1" t="s">
        <v>40</v>
      </c>
      <c r="V522" s="1" t="s">
        <v>77</v>
      </c>
      <c r="W522" s="1" t="s">
        <v>40</v>
      </c>
      <c r="X522" s="1" t="s">
        <v>40</v>
      </c>
      <c r="AA522" s="1" t="s">
        <v>1687</v>
      </c>
      <c r="AB522" s="2">
        <v>46282</v>
      </c>
      <c r="AC522" s="2">
        <v>46282.555324074099</v>
      </c>
      <c r="AE522" s="1" t="s">
        <v>40</v>
      </c>
      <c r="AF522" s="1" t="s">
        <v>79</v>
      </c>
    </row>
    <row r="523" spans="1:32" ht="12.75" hidden="1" customHeight="1" x14ac:dyDescent="0.2">
      <c r="A523" s="1" t="s">
        <v>30</v>
      </c>
      <c r="B523" s="1" t="s">
        <v>1688</v>
      </c>
      <c r="C523" s="1" t="s">
        <v>71</v>
      </c>
      <c r="D523" s="1" t="s">
        <v>72</v>
      </c>
      <c r="E523" s="1" t="s">
        <v>1321</v>
      </c>
      <c r="F523" s="1" t="s">
        <v>345</v>
      </c>
      <c r="G523" s="3">
        <v>10</v>
      </c>
      <c r="H523" s="4">
        <v>1</v>
      </c>
      <c r="I523" s="5">
        <v>19.399999999999999</v>
      </c>
      <c r="J523" s="5">
        <v>0</v>
      </c>
      <c r="K523" s="1" t="s">
        <v>36</v>
      </c>
      <c r="L523" s="1" t="s">
        <v>75</v>
      </c>
      <c r="M523" s="1" t="s">
        <v>37</v>
      </c>
      <c r="N523" s="3">
        <v>10</v>
      </c>
      <c r="O523" s="6">
        <f>Table1[[#This Row],[Invoice Qty]]-Table1[[#This Row],[ExFactory Qty]]</f>
        <v>0</v>
      </c>
      <c r="P523" s="1" t="s">
        <v>1686</v>
      </c>
      <c r="Q523" s="2">
        <v>46282.640636574099</v>
      </c>
      <c r="R523" s="2">
        <v>46290</v>
      </c>
      <c r="S523" s="1" t="s">
        <v>39</v>
      </c>
      <c r="U523" s="1" t="s">
        <v>40</v>
      </c>
      <c r="V523" s="1" t="s">
        <v>77</v>
      </c>
      <c r="W523" s="1" t="s">
        <v>40</v>
      </c>
      <c r="X523" s="1" t="s">
        <v>40</v>
      </c>
      <c r="Z523" s="2">
        <v>46290</v>
      </c>
      <c r="AA523" s="1" t="s">
        <v>1689</v>
      </c>
      <c r="AB523" s="2">
        <v>46282</v>
      </c>
      <c r="AC523" s="2">
        <v>46282.555324074099</v>
      </c>
      <c r="AE523" s="1" t="s">
        <v>40</v>
      </c>
      <c r="AF523" s="1" t="s">
        <v>79</v>
      </c>
    </row>
    <row r="524" spans="1:32" ht="12.75" hidden="1" customHeight="1" x14ac:dyDescent="0.2">
      <c r="A524" s="1" t="s">
        <v>30</v>
      </c>
      <c r="B524" s="1" t="s">
        <v>1690</v>
      </c>
      <c r="C524" s="1" t="s">
        <v>71</v>
      </c>
      <c r="D524" s="1" t="s">
        <v>72</v>
      </c>
      <c r="E524" s="1" t="s">
        <v>738</v>
      </c>
      <c r="F524" s="1" t="s">
        <v>376</v>
      </c>
      <c r="G524" s="3">
        <v>181</v>
      </c>
      <c r="H524" s="4">
        <v>2</v>
      </c>
      <c r="I524" s="5">
        <v>354.76</v>
      </c>
      <c r="J524" s="5">
        <v>0</v>
      </c>
      <c r="K524" s="1" t="s">
        <v>36</v>
      </c>
      <c r="L524" s="1" t="s">
        <v>75</v>
      </c>
      <c r="M524" s="1" t="s">
        <v>37</v>
      </c>
      <c r="N524" s="3">
        <v>181</v>
      </c>
      <c r="O524" s="6">
        <f>Table1[[#This Row],[Invoice Qty]]-Table1[[#This Row],[ExFactory Qty]]</f>
        <v>0</v>
      </c>
      <c r="P524" s="1" t="s">
        <v>1686</v>
      </c>
      <c r="Q524" s="2">
        <v>46282.640636574099</v>
      </c>
      <c r="R524" s="2">
        <v>46290</v>
      </c>
      <c r="S524" s="1" t="s">
        <v>39</v>
      </c>
      <c r="U524" s="1" t="s">
        <v>40</v>
      </c>
      <c r="V524" s="1" t="s">
        <v>77</v>
      </c>
      <c r="W524" s="1" t="s">
        <v>40</v>
      </c>
      <c r="X524" s="1" t="s">
        <v>40</v>
      </c>
      <c r="Z524" s="2">
        <v>46290</v>
      </c>
      <c r="AA524" s="1" t="s">
        <v>1691</v>
      </c>
      <c r="AB524" s="2">
        <v>46282</v>
      </c>
      <c r="AC524" s="2">
        <v>46282.555324074099</v>
      </c>
      <c r="AE524" s="1" t="s">
        <v>40</v>
      </c>
      <c r="AF524" s="1" t="s">
        <v>79</v>
      </c>
    </row>
    <row r="525" spans="1:32" ht="12.75" hidden="1" customHeight="1" x14ac:dyDescent="0.2">
      <c r="A525" s="1" t="s">
        <v>30</v>
      </c>
      <c r="B525" s="1" t="s">
        <v>1692</v>
      </c>
      <c r="C525" s="1" t="s">
        <v>71</v>
      </c>
      <c r="D525" s="1" t="s">
        <v>72</v>
      </c>
      <c r="E525" s="1" t="s">
        <v>738</v>
      </c>
      <c r="F525" s="1" t="s">
        <v>74</v>
      </c>
      <c r="G525" s="3">
        <v>50</v>
      </c>
      <c r="H525" s="4">
        <v>1</v>
      </c>
      <c r="I525" s="5">
        <v>96.5</v>
      </c>
      <c r="J525" s="5">
        <v>0</v>
      </c>
      <c r="K525" s="1" t="s">
        <v>36</v>
      </c>
      <c r="L525" s="1" t="s">
        <v>75</v>
      </c>
      <c r="M525" s="1" t="s">
        <v>37</v>
      </c>
      <c r="N525" s="3">
        <v>50</v>
      </c>
      <c r="O525" s="6">
        <f>Table1[[#This Row],[Invoice Qty]]-Table1[[#This Row],[ExFactory Qty]]</f>
        <v>0</v>
      </c>
      <c r="P525" s="1" t="s">
        <v>1693</v>
      </c>
      <c r="Q525" s="2">
        <v>46282.643356481502</v>
      </c>
      <c r="R525" s="2">
        <v>46290</v>
      </c>
      <c r="S525" s="1" t="s">
        <v>39</v>
      </c>
      <c r="U525" s="1" t="s">
        <v>40</v>
      </c>
      <c r="V525" s="1" t="s">
        <v>77</v>
      </c>
      <c r="W525" s="1" t="s">
        <v>40</v>
      </c>
      <c r="X525" s="1" t="s">
        <v>40</v>
      </c>
      <c r="Z525" s="2">
        <v>46290</v>
      </c>
      <c r="AA525" s="1" t="s">
        <v>1694</v>
      </c>
      <c r="AB525" s="2">
        <v>46282</v>
      </c>
      <c r="AC525" s="2">
        <v>46282</v>
      </c>
      <c r="AE525" s="1" t="s">
        <v>40</v>
      </c>
      <c r="AF525" s="1" t="s">
        <v>79</v>
      </c>
    </row>
    <row r="526" spans="1:32" ht="12.75" hidden="1" customHeight="1" x14ac:dyDescent="0.2">
      <c r="A526" s="1" t="s">
        <v>30</v>
      </c>
      <c r="B526" s="1" t="s">
        <v>1695</v>
      </c>
      <c r="C526" s="1" t="s">
        <v>71</v>
      </c>
      <c r="D526" s="1" t="s">
        <v>72</v>
      </c>
      <c r="E526" s="1" t="s">
        <v>738</v>
      </c>
      <c r="F526" s="1" t="s">
        <v>74</v>
      </c>
      <c r="G526" s="3">
        <v>56</v>
      </c>
      <c r="H526" s="4">
        <v>1</v>
      </c>
      <c r="I526" s="5">
        <v>108.08</v>
      </c>
      <c r="J526" s="5">
        <v>0</v>
      </c>
      <c r="K526" s="1" t="s">
        <v>36</v>
      </c>
      <c r="L526" s="1" t="s">
        <v>75</v>
      </c>
      <c r="M526" s="1" t="s">
        <v>37</v>
      </c>
      <c r="N526" s="3">
        <v>56</v>
      </c>
      <c r="O526" s="6">
        <f>Table1[[#This Row],[Invoice Qty]]-Table1[[#This Row],[ExFactory Qty]]</f>
        <v>0</v>
      </c>
      <c r="P526" s="1" t="s">
        <v>1693</v>
      </c>
      <c r="Q526" s="2">
        <v>46282.643356481502</v>
      </c>
      <c r="R526" s="2">
        <v>46290</v>
      </c>
      <c r="S526" s="1" t="s">
        <v>39</v>
      </c>
      <c r="U526" s="1" t="s">
        <v>40</v>
      </c>
      <c r="V526" s="1" t="s">
        <v>77</v>
      </c>
      <c r="W526" s="1" t="s">
        <v>40</v>
      </c>
      <c r="X526" s="1" t="s">
        <v>40</v>
      </c>
      <c r="Z526" s="2">
        <v>46289</v>
      </c>
      <c r="AA526" s="1" t="s">
        <v>1696</v>
      </c>
      <c r="AB526" s="2">
        <v>46282</v>
      </c>
      <c r="AC526" s="2">
        <v>46282</v>
      </c>
      <c r="AE526" s="1" t="s">
        <v>40</v>
      </c>
      <c r="AF526" s="1" t="s">
        <v>79</v>
      </c>
    </row>
    <row r="527" spans="1:32" ht="12.75" hidden="1" customHeight="1" x14ac:dyDescent="0.2">
      <c r="A527" s="1" t="s">
        <v>30</v>
      </c>
      <c r="B527" s="1" t="s">
        <v>1697</v>
      </c>
      <c r="C527" s="1" t="s">
        <v>71</v>
      </c>
      <c r="D527" s="1" t="s">
        <v>72</v>
      </c>
      <c r="E527" s="1" t="s">
        <v>1328</v>
      </c>
      <c r="F527" s="1" t="s">
        <v>376</v>
      </c>
      <c r="G527" s="3">
        <v>2444</v>
      </c>
      <c r="H527" s="4">
        <v>34</v>
      </c>
      <c r="I527" s="5">
        <v>6818.76</v>
      </c>
      <c r="J527" s="5">
        <v>0</v>
      </c>
      <c r="K527" s="1" t="s">
        <v>36</v>
      </c>
      <c r="L527" s="1" t="s">
        <v>75</v>
      </c>
      <c r="M527" s="1" t="s">
        <v>37</v>
      </c>
      <c r="N527" s="3">
        <v>2444</v>
      </c>
      <c r="O527" s="6">
        <f>Table1[[#This Row],[Invoice Qty]]-Table1[[#This Row],[ExFactory Qty]]</f>
        <v>0</v>
      </c>
      <c r="P527" s="1" t="s">
        <v>1686</v>
      </c>
      <c r="Q527" s="2">
        <v>46282.640636574099</v>
      </c>
      <c r="R527" s="2">
        <v>46290</v>
      </c>
      <c r="S527" s="1" t="s">
        <v>39</v>
      </c>
      <c r="U527" s="1" t="s">
        <v>40</v>
      </c>
      <c r="V527" s="1" t="s">
        <v>77</v>
      </c>
      <c r="W527" s="1" t="s">
        <v>40</v>
      </c>
      <c r="X527" s="1" t="s">
        <v>40</v>
      </c>
      <c r="Z527" s="2">
        <v>46290</v>
      </c>
      <c r="AA527" s="1" t="s">
        <v>1698</v>
      </c>
      <c r="AB527" s="2">
        <v>46282</v>
      </c>
      <c r="AC527" s="2">
        <v>46282.555324074099</v>
      </c>
      <c r="AE527" s="1" t="s">
        <v>40</v>
      </c>
      <c r="AF527" s="1" t="s">
        <v>79</v>
      </c>
    </row>
    <row r="528" spans="1:32" ht="12.75" hidden="1" customHeight="1" x14ac:dyDescent="0.2">
      <c r="A528" s="1" t="s">
        <v>30</v>
      </c>
      <c r="B528" s="1" t="s">
        <v>1699</v>
      </c>
      <c r="C528" s="1" t="s">
        <v>71</v>
      </c>
      <c r="D528" s="1" t="s">
        <v>72</v>
      </c>
      <c r="E528" s="1" t="s">
        <v>1328</v>
      </c>
      <c r="F528" s="1" t="s">
        <v>252</v>
      </c>
      <c r="G528" s="3">
        <v>1224</v>
      </c>
      <c r="H528" s="4">
        <v>18</v>
      </c>
      <c r="I528" s="5">
        <v>3414.96</v>
      </c>
      <c r="J528" s="5">
        <v>0</v>
      </c>
      <c r="K528" s="1" t="s">
        <v>36</v>
      </c>
      <c r="L528" s="1" t="s">
        <v>75</v>
      </c>
      <c r="M528" s="1" t="s">
        <v>37</v>
      </c>
      <c r="N528" s="3">
        <v>1224</v>
      </c>
      <c r="O528" s="6">
        <f>Table1[[#This Row],[Invoice Qty]]-Table1[[#This Row],[ExFactory Qty]]</f>
        <v>0</v>
      </c>
      <c r="P528" s="1" t="s">
        <v>1693</v>
      </c>
      <c r="Q528" s="2">
        <v>46282.643356481502</v>
      </c>
      <c r="R528" s="2">
        <v>46290</v>
      </c>
      <c r="S528" s="1" t="s">
        <v>39</v>
      </c>
      <c r="U528" s="1" t="s">
        <v>40</v>
      </c>
      <c r="V528" s="1" t="s">
        <v>77</v>
      </c>
      <c r="W528" s="1" t="s">
        <v>40</v>
      </c>
      <c r="X528" s="1" t="s">
        <v>40</v>
      </c>
      <c r="Z528" s="2">
        <v>46290</v>
      </c>
      <c r="AA528" s="1" t="s">
        <v>1700</v>
      </c>
      <c r="AB528" s="2">
        <v>46282</v>
      </c>
      <c r="AC528" s="2">
        <v>46282.555324074099</v>
      </c>
      <c r="AE528" s="1" t="s">
        <v>40</v>
      </c>
      <c r="AF528" s="1" t="s">
        <v>79</v>
      </c>
    </row>
    <row r="529" spans="1:32" ht="12.75" hidden="1" customHeight="1" x14ac:dyDescent="0.2">
      <c r="A529" s="1" t="s">
        <v>30</v>
      </c>
      <c r="B529" s="1" t="s">
        <v>1701</v>
      </c>
      <c r="C529" s="1" t="s">
        <v>71</v>
      </c>
      <c r="D529" s="1" t="s">
        <v>72</v>
      </c>
      <c r="E529" s="1" t="s">
        <v>1331</v>
      </c>
      <c r="F529" s="1" t="s">
        <v>376</v>
      </c>
      <c r="G529" s="3">
        <v>102</v>
      </c>
      <c r="H529" s="4">
        <v>1</v>
      </c>
      <c r="I529" s="5">
        <v>315.18</v>
      </c>
      <c r="J529" s="5">
        <v>0</v>
      </c>
      <c r="K529" s="1" t="s">
        <v>36</v>
      </c>
      <c r="L529" s="1" t="s">
        <v>75</v>
      </c>
      <c r="M529" s="1" t="s">
        <v>37</v>
      </c>
      <c r="N529" s="3">
        <v>102</v>
      </c>
      <c r="O529" s="6">
        <f>Table1[[#This Row],[Invoice Qty]]-Table1[[#This Row],[ExFactory Qty]]</f>
        <v>0</v>
      </c>
      <c r="P529" s="1" t="s">
        <v>1686</v>
      </c>
      <c r="Q529" s="2">
        <v>46282.640636574099</v>
      </c>
      <c r="R529" s="2">
        <v>46290</v>
      </c>
      <c r="S529" s="1" t="s">
        <v>39</v>
      </c>
      <c r="U529" s="1" t="s">
        <v>40</v>
      </c>
      <c r="V529" s="1" t="s">
        <v>77</v>
      </c>
      <c r="W529" s="1" t="s">
        <v>40</v>
      </c>
      <c r="X529" s="1" t="s">
        <v>40</v>
      </c>
      <c r="Z529" s="2">
        <v>46290</v>
      </c>
      <c r="AA529" s="1" t="s">
        <v>1702</v>
      </c>
      <c r="AB529" s="2">
        <v>46282</v>
      </c>
      <c r="AC529" s="2">
        <v>46282.555324074099</v>
      </c>
      <c r="AE529" s="1" t="s">
        <v>40</v>
      </c>
      <c r="AF529" s="1" t="s">
        <v>79</v>
      </c>
    </row>
    <row r="530" spans="1:32" ht="12.75" hidden="1" customHeight="1" x14ac:dyDescent="0.2">
      <c r="A530" s="1" t="s">
        <v>30</v>
      </c>
      <c r="B530" s="1" t="s">
        <v>1703</v>
      </c>
      <c r="C530" s="1" t="s">
        <v>71</v>
      </c>
      <c r="D530" s="1" t="s">
        <v>72</v>
      </c>
      <c r="E530" s="1" t="s">
        <v>1331</v>
      </c>
      <c r="F530" s="1" t="s">
        <v>345</v>
      </c>
      <c r="G530" s="3">
        <v>190</v>
      </c>
      <c r="H530" s="4">
        <v>2</v>
      </c>
      <c r="I530" s="5">
        <v>581.4</v>
      </c>
      <c r="J530" s="5">
        <v>0</v>
      </c>
      <c r="K530" s="1" t="s">
        <v>36</v>
      </c>
      <c r="L530" s="1" t="s">
        <v>75</v>
      </c>
      <c r="M530" s="1" t="s">
        <v>37</v>
      </c>
      <c r="N530" s="3">
        <v>190</v>
      </c>
      <c r="O530" s="6">
        <f>Table1[[#This Row],[Invoice Qty]]-Table1[[#This Row],[ExFactory Qty]]</f>
        <v>0</v>
      </c>
      <c r="P530" s="1" t="s">
        <v>1686</v>
      </c>
      <c r="Q530" s="2">
        <v>46282.640636574099</v>
      </c>
      <c r="R530" s="2">
        <v>46290</v>
      </c>
      <c r="S530" s="1" t="s">
        <v>39</v>
      </c>
      <c r="U530" s="1" t="s">
        <v>40</v>
      </c>
      <c r="V530" s="1" t="s">
        <v>77</v>
      </c>
      <c r="W530" s="1" t="s">
        <v>40</v>
      </c>
      <c r="X530" s="1" t="s">
        <v>40</v>
      </c>
      <c r="Z530" s="2">
        <v>46290</v>
      </c>
      <c r="AA530" s="1" t="s">
        <v>1704</v>
      </c>
      <c r="AB530" s="2">
        <v>46282</v>
      </c>
      <c r="AC530" s="2">
        <v>46282.555324074099</v>
      </c>
      <c r="AE530" s="1" t="s">
        <v>40</v>
      </c>
      <c r="AF530" s="1" t="s">
        <v>79</v>
      </c>
    </row>
    <row r="531" spans="1:32" ht="12.75" hidden="1" customHeight="1" x14ac:dyDescent="0.2">
      <c r="A531" s="1" t="s">
        <v>30</v>
      </c>
      <c r="B531" s="1" t="s">
        <v>1705</v>
      </c>
      <c r="C531" s="1" t="s">
        <v>71</v>
      </c>
      <c r="D531" s="1" t="s">
        <v>72</v>
      </c>
      <c r="E531" s="1" t="s">
        <v>1334</v>
      </c>
      <c r="F531" s="1" t="s">
        <v>341</v>
      </c>
      <c r="G531" s="3">
        <v>212</v>
      </c>
      <c r="H531" s="4">
        <v>3</v>
      </c>
      <c r="I531" s="5">
        <v>699.6</v>
      </c>
      <c r="J531" s="5">
        <v>0</v>
      </c>
      <c r="K531" s="1" t="s">
        <v>36</v>
      </c>
      <c r="L531" s="1" t="s">
        <v>75</v>
      </c>
      <c r="M531" s="1" t="s">
        <v>37</v>
      </c>
      <c r="N531" s="3">
        <v>212</v>
      </c>
      <c r="O531" s="6">
        <f>Table1[[#This Row],[Invoice Qty]]-Table1[[#This Row],[ExFactory Qty]]</f>
        <v>0</v>
      </c>
      <c r="P531" s="1" t="s">
        <v>1686</v>
      </c>
      <c r="Q531" s="2">
        <v>46282.640636574099</v>
      </c>
      <c r="R531" s="2">
        <v>46287</v>
      </c>
      <c r="S531" s="1" t="s">
        <v>39</v>
      </c>
      <c r="U531" s="1" t="s">
        <v>40</v>
      </c>
      <c r="V531" s="1" t="s">
        <v>77</v>
      </c>
      <c r="W531" s="1" t="s">
        <v>40</v>
      </c>
      <c r="X531" s="1" t="s">
        <v>40</v>
      </c>
      <c r="Z531" s="2">
        <v>46289</v>
      </c>
      <c r="AA531" s="1" t="s">
        <v>1706</v>
      </c>
      <c r="AB531" s="2">
        <v>46282</v>
      </c>
      <c r="AC531" s="2">
        <v>46282.555324074099</v>
      </c>
      <c r="AE531" s="1" t="s">
        <v>40</v>
      </c>
      <c r="AF531" s="1" t="s">
        <v>79</v>
      </c>
    </row>
    <row r="532" spans="1:32" ht="12.75" hidden="1" customHeight="1" x14ac:dyDescent="0.2">
      <c r="A532" s="1" t="s">
        <v>30</v>
      </c>
      <c r="B532" s="1" t="s">
        <v>1707</v>
      </c>
      <c r="C532" s="1" t="s">
        <v>71</v>
      </c>
      <c r="D532" s="1" t="s">
        <v>72</v>
      </c>
      <c r="E532" s="1" t="s">
        <v>1334</v>
      </c>
      <c r="F532" s="1" t="s">
        <v>74</v>
      </c>
      <c r="G532" s="3">
        <v>802</v>
      </c>
      <c r="H532" s="4">
        <v>9</v>
      </c>
      <c r="I532" s="5">
        <v>2646.6</v>
      </c>
      <c r="J532" s="5">
        <v>0</v>
      </c>
      <c r="K532" s="1" t="s">
        <v>36</v>
      </c>
      <c r="L532" s="1" t="s">
        <v>75</v>
      </c>
      <c r="M532" s="1" t="s">
        <v>37</v>
      </c>
      <c r="N532" s="3">
        <v>802</v>
      </c>
      <c r="O532" s="6">
        <f>Table1[[#This Row],[Invoice Qty]]-Table1[[#This Row],[ExFactory Qty]]</f>
        <v>0</v>
      </c>
      <c r="P532" s="1" t="s">
        <v>1693</v>
      </c>
      <c r="Q532" s="2">
        <v>46282.643356481502</v>
      </c>
      <c r="R532" s="2">
        <v>46290</v>
      </c>
      <c r="S532" s="1" t="s">
        <v>39</v>
      </c>
      <c r="U532" s="1" t="s">
        <v>40</v>
      </c>
      <c r="V532" s="1" t="s">
        <v>77</v>
      </c>
      <c r="W532" s="1" t="s">
        <v>40</v>
      </c>
      <c r="X532" s="1" t="s">
        <v>40</v>
      </c>
      <c r="Z532" s="2">
        <v>46289</v>
      </c>
      <c r="AA532" s="1" t="s">
        <v>1708</v>
      </c>
      <c r="AB532" s="2">
        <v>46282</v>
      </c>
      <c r="AC532" s="2">
        <v>46282</v>
      </c>
      <c r="AE532" s="1" t="s">
        <v>40</v>
      </c>
      <c r="AF532" s="1" t="s">
        <v>79</v>
      </c>
    </row>
    <row r="533" spans="1:32" ht="12.75" hidden="1" customHeight="1" x14ac:dyDescent="0.2">
      <c r="A533" s="1" t="s">
        <v>30</v>
      </c>
      <c r="B533" s="1" t="s">
        <v>1709</v>
      </c>
      <c r="C533" s="1" t="s">
        <v>71</v>
      </c>
      <c r="D533" s="1" t="s">
        <v>72</v>
      </c>
      <c r="E533" s="1" t="s">
        <v>1334</v>
      </c>
      <c r="F533" s="1" t="s">
        <v>345</v>
      </c>
      <c r="G533" s="3">
        <v>324</v>
      </c>
      <c r="H533" s="4">
        <v>6</v>
      </c>
      <c r="I533" s="5">
        <v>1069.2</v>
      </c>
      <c r="J533" s="5">
        <v>0</v>
      </c>
      <c r="K533" s="1" t="s">
        <v>36</v>
      </c>
      <c r="L533" s="1" t="s">
        <v>75</v>
      </c>
      <c r="M533" s="1" t="s">
        <v>37</v>
      </c>
      <c r="N533" s="3">
        <v>324</v>
      </c>
      <c r="O533" s="6">
        <f>Table1[[#This Row],[Invoice Qty]]-Table1[[#This Row],[ExFactory Qty]]</f>
        <v>0</v>
      </c>
      <c r="P533" s="1" t="s">
        <v>1686</v>
      </c>
      <c r="Q533" s="2">
        <v>46282.640636574099</v>
      </c>
      <c r="R533" s="2">
        <v>46290</v>
      </c>
      <c r="S533" s="1" t="s">
        <v>39</v>
      </c>
      <c r="U533" s="1" t="s">
        <v>40</v>
      </c>
      <c r="V533" s="1" t="s">
        <v>77</v>
      </c>
      <c r="W533" s="1" t="s">
        <v>40</v>
      </c>
      <c r="X533" s="1" t="s">
        <v>40</v>
      </c>
      <c r="Z533" s="2">
        <v>46290</v>
      </c>
      <c r="AA533" s="1" t="s">
        <v>1710</v>
      </c>
      <c r="AB533" s="2">
        <v>46282</v>
      </c>
      <c r="AC533" s="2">
        <v>46282.555324074099</v>
      </c>
      <c r="AE533" s="1" t="s">
        <v>40</v>
      </c>
      <c r="AF533" s="1" t="s">
        <v>79</v>
      </c>
    </row>
    <row r="534" spans="1:32" ht="12.75" hidden="1" customHeight="1" x14ac:dyDescent="0.2">
      <c r="A534" s="1" t="s">
        <v>30</v>
      </c>
      <c r="B534" s="1" t="s">
        <v>1711</v>
      </c>
      <c r="C534" s="1" t="s">
        <v>71</v>
      </c>
      <c r="D534" s="1" t="s">
        <v>457</v>
      </c>
      <c r="E534" s="1" t="s">
        <v>1343</v>
      </c>
      <c r="F534" s="1" t="s">
        <v>1673</v>
      </c>
      <c r="G534" s="3">
        <v>33</v>
      </c>
      <c r="H534" s="4">
        <v>2</v>
      </c>
      <c r="I534" s="5">
        <v>139.26</v>
      </c>
      <c r="J534" s="5">
        <v>0</v>
      </c>
      <c r="K534" s="1" t="s">
        <v>36</v>
      </c>
      <c r="L534" s="1" t="s">
        <v>75</v>
      </c>
      <c r="M534" s="1" t="s">
        <v>37</v>
      </c>
      <c r="N534" s="3">
        <v>33</v>
      </c>
      <c r="O534" s="6">
        <f>Table1[[#This Row],[Invoice Qty]]-Table1[[#This Row],[ExFactory Qty]]</f>
        <v>0</v>
      </c>
      <c r="P534" s="1" t="s">
        <v>1683</v>
      </c>
      <c r="Q534" s="2">
        <v>46282.737557870401</v>
      </c>
      <c r="R534" s="2">
        <v>46291</v>
      </c>
      <c r="S534" s="1" t="s">
        <v>39</v>
      </c>
      <c r="U534" s="1" t="s">
        <v>40</v>
      </c>
      <c r="V534" s="1" t="s">
        <v>77</v>
      </c>
      <c r="W534" s="1" t="s">
        <v>40</v>
      </c>
      <c r="X534" s="1" t="s">
        <v>40</v>
      </c>
      <c r="Z534" s="2">
        <v>46292</v>
      </c>
      <c r="AA534" s="1" t="s">
        <v>1712</v>
      </c>
      <c r="AB534" s="2">
        <v>46282</v>
      </c>
      <c r="AC534" s="2">
        <v>46282.555324074099</v>
      </c>
      <c r="AE534" s="1" t="s">
        <v>40</v>
      </c>
      <c r="AF534" s="1" t="s">
        <v>326</v>
      </c>
    </row>
    <row r="535" spans="1:32" ht="12.75" hidden="1" customHeight="1" x14ac:dyDescent="0.2">
      <c r="A535" s="1" t="s">
        <v>30</v>
      </c>
      <c r="B535" s="1" t="s">
        <v>1713</v>
      </c>
      <c r="C535" s="1" t="s">
        <v>71</v>
      </c>
      <c r="D535" s="1" t="s">
        <v>457</v>
      </c>
      <c r="E535" s="1" t="s">
        <v>1343</v>
      </c>
      <c r="F535" s="1" t="s">
        <v>376</v>
      </c>
      <c r="G535" s="3">
        <v>204</v>
      </c>
      <c r="H535" s="4">
        <v>4</v>
      </c>
      <c r="I535" s="5">
        <v>867</v>
      </c>
      <c r="J535" s="5">
        <v>0</v>
      </c>
      <c r="K535" s="1" t="s">
        <v>36</v>
      </c>
      <c r="L535" s="1" t="s">
        <v>75</v>
      </c>
      <c r="M535" s="1" t="s">
        <v>37</v>
      </c>
      <c r="N535" s="3">
        <v>204</v>
      </c>
      <c r="O535" s="6">
        <f>Table1[[#This Row],[Invoice Qty]]-Table1[[#This Row],[ExFactory Qty]]</f>
        <v>0</v>
      </c>
      <c r="P535" s="1" t="s">
        <v>1686</v>
      </c>
      <c r="Q535" s="2">
        <v>46282.640636574099</v>
      </c>
      <c r="R535" s="2">
        <v>46290</v>
      </c>
      <c r="S535" s="1" t="s">
        <v>39</v>
      </c>
      <c r="U535" s="1" t="s">
        <v>40</v>
      </c>
      <c r="V535" s="1" t="s">
        <v>77</v>
      </c>
      <c r="W535" s="1" t="s">
        <v>40</v>
      </c>
      <c r="X535" s="1" t="s">
        <v>40</v>
      </c>
      <c r="Z535" s="2">
        <v>46290</v>
      </c>
      <c r="AA535" s="1" t="s">
        <v>1714</v>
      </c>
      <c r="AB535" s="2">
        <v>46282</v>
      </c>
      <c r="AC535" s="2">
        <v>46282.555324074099</v>
      </c>
      <c r="AE535" s="1" t="s">
        <v>40</v>
      </c>
      <c r="AF535" s="1" t="s">
        <v>326</v>
      </c>
    </row>
    <row r="536" spans="1:32" ht="12.75" hidden="1" customHeight="1" x14ac:dyDescent="0.2">
      <c r="A536" s="1" t="s">
        <v>30</v>
      </c>
      <c r="B536" s="1" t="s">
        <v>1715</v>
      </c>
      <c r="C536" s="1" t="s">
        <v>71</v>
      </c>
      <c r="D536" s="1" t="s">
        <v>457</v>
      </c>
      <c r="E536" s="1" t="s">
        <v>1343</v>
      </c>
      <c r="F536" s="1" t="s">
        <v>345</v>
      </c>
      <c r="G536" s="3">
        <v>95</v>
      </c>
      <c r="H536" s="4">
        <v>2</v>
      </c>
      <c r="I536" s="5">
        <v>400.9</v>
      </c>
      <c r="J536" s="5">
        <v>0</v>
      </c>
      <c r="K536" s="1" t="s">
        <v>36</v>
      </c>
      <c r="L536" s="1" t="s">
        <v>75</v>
      </c>
      <c r="M536" s="1" t="s">
        <v>37</v>
      </c>
      <c r="N536" s="3">
        <v>95</v>
      </c>
      <c r="O536" s="6">
        <f>Table1[[#This Row],[Invoice Qty]]-Table1[[#This Row],[ExFactory Qty]]</f>
        <v>0</v>
      </c>
      <c r="P536" s="1" t="s">
        <v>1686</v>
      </c>
      <c r="Q536" s="2">
        <v>46282.640636574099</v>
      </c>
      <c r="R536" s="2">
        <v>46290</v>
      </c>
      <c r="S536" s="1" t="s">
        <v>39</v>
      </c>
      <c r="U536" s="1" t="s">
        <v>40</v>
      </c>
      <c r="V536" s="1" t="s">
        <v>77</v>
      </c>
      <c r="W536" s="1" t="s">
        <v>40</v>
      </c>
      <c r="X536" s="1" t="s">
        <v>40</v>
      </c>
      <c r="AA536" s="1" t="s">
        <v>1716</v>
      </c>
      <c r="AB536" s="2">
        <v>46282</v>
      </c>
      <c r="AC536" s="2">
        <v>46282.555324074099</v>
      </c>
      <c r="AE536" s="1" t="s">
        <v>40</v>
      </c>
      <c r="AF536" s="1" t="s">
        <v>326</v>
      </c>
    </row>
    <row r="537" spans="1:32" ht="12.75" hidden="1" customHeight="1" x14ac:dyDescent="0.2">
      <c r="A537" s="1" t="s">
        <v>30</v>
      </c>
      <c r="B537" s="1" t="s">
        <v>1717</v>
      </c>
      <c r="C537" s="1" t="s">
        <v>71</v>
      </c>
      <c r="D537" s="1" t="s">
        <v>323</v>
      </c>
      <c r="E537" s="1" t="s">
        <v>1718</v>
      </c>
      <c r="F537" s="1" t="s">
        <v>350</v>
      </c>
      <c r="G537" s="3">
        <v>137</v>
      </c>
      <c r="H537" s="4">
        <v>2</v>
      </c>
      <c r="I537" s="5">
        <v>646.64</v>
      </c>
      <c r="J537" s="5">
        <v>0</v>
      </c>
      <c r="K537" s="1" t="s">
        <v>36</v>
      </c>
      <c r="L537" s="1" t="s">
        <v>75</v>
      </c>
      <c r="M537" s="1" t="s">
        <v>37</v>
      </c>
      <c r="N537" s="3">
        <v>137</v>
      </c>
      <c r="O537" s="6">
        <f>Table1[[#This Row],[Invoice Qty]]-Table1[[#This Row],[ExFactory Qty]]</f>
        <v>0</v>
      </c>
      <c r="P537" s="1" t="s">
        <v>1686</v>
      </c>
      <c r="Q537" s="2">
        <v>46282.640636574099</v>
      </c>
      <c r="R537" s="2">
        <v>46290</v>
      </c>
      <c r="S537" s="1" t="s">
        <v>39</v>
      </c>
      <c r="U537" s="1" t="s">
        <v>40</v>
      </c>
      <c r="V537" s="1" t="s">
        <v>77</v>
      </c>
      <c r="W537" s="1" t="s">
        <v>40</v>
      </c>
      <c r="X537" s="1" t="s">
        <v>40</v>
      </c>
      <c r="Z537" s="2">
        <v>46290</v>
      </c>
      <c r="AA537" s="1" t="s">
        <v>1719</v>
      </c>
      <c r="AB537" s="2">
        <v>46282</v>
      </c>
      <c r="AC537" s="2">
        <v>46282</v>
      </c>
      <c r="AE537" s="1" t="s">
        <v>40</v>
      </c>
      <c r="AF537" s="1" t="s">
        <v>326</v>
      </c>
    </row>
    <row r="538" spans="1:32" ht="12.75" hidden="1" customHeight="1" x14ac:dyDescent="0.2">
      <c r="A538" s="1" t="s">
        <v>30</v>
      </c>
      <c r="B538" s="1" t="s">
        <v>1720</v>
      </c>
      <c r="C538" s="1" t="s">
        <v>71</v>
      </c>
      <c r="D538" s="1" t="s">
        <v>72</v>
      </c>
      <c r="E538" s="1" t="s">
        <v>982</v>
      </c>
      <c r="F538" s="1" t="s">
        <v>108</v>
      </c>
      <c r="G538" s="3">
        <v>148</v>
      </c>
      <c r="H538" s="4">
        <v>2</v>
      </c>
      <c r="I538" s="5">
        <v>285.64</v>
      </c>
      <c r="J538" s="5">
        <v>0</v>
      </c>
      <c r="K538" s="1" t="s">
        <v>36</v>
      </c>
      <c r="L538" s="1" t="s">
        <v>75</v>
      </c>
      <c r="M538" s="1" t="s">
        <v>37</v>
      </c>
      <c r="N538" s="3">
        <v>148</v>
      </c>
      <c r="O538" s="6">
        <f>Table1[[#This Row],[Invoice Qty]]-Table1[[#This Row],[ExFactory Qty]]</f>
        <v>0</v>
      </c>
      <c r="P538" s="1" t="s">
        <v>1683</v>
      </c>
      <c r="Q538" s="2">
        <v>46282.737557870401</v>
      </c>
      <c r="R538" s="2">
        <v>46292</v>
      </c>
      <c r="S538" s="1" t="s">
        <v>39</v>
      </c>
      <c r="U538" s="1" t="s">
        <v>40</v>
      </c>
      <c r="V538" s="1" t="s">
        <v>77</v>
      </c>
      <c r="W538" s="1" t="s">
        <v>40</v>
      </c>
      <c r="X538" s="1" t="s">
        <v>40</v>
      </c>
      <c r="AA538" s="1" t="s">
        <v>1721</v>
      </c>
      <c r="AB538" s="2">
        <v>46282</v>
      </c>
      <c r="AC538" s="2">
        <v>46282.555324074099</v>
      </c>
      <c r="AE538" s="1" t="s">
        <v>40</v>
      </c>
      <c r="AF538" s="1" t="s">
        <v>79</v>
      </c>
    </row>
    <row r="539" spans="1:32" ht="12.75" hidden="1" customHeight="1" x14ac:dyDescent="0.2">
      <c r="A539" s="1" t="s">
        <v>30</v>
      </c>
      <c r="B539" s="1" t="s">
        <v>1722</v>
      </c>
      <c r="C539" s="1" t="s">
        <v>71</v>
      </c>
      <c r="D539" s="1" t="s">
        <v>72</v>
      </c>
      <c r="E539" s="1" t="s">
        <v>710</v>
      </c>
      <c r="F539" s="1" t="s">
        <v>252</v>
      </c>
      <c r="G539" s="3">
        <v>107</v>
      </c>
      <c r="H539" s="4">
        <v>1</v>
      </c>
      <c r="I539" s="5">
        <v>206.51</v>
      </c>
      <c r="J539" s="5">
        <v>0</v>
      </c>
      <c r="K539" s="1" t="s">
        <v>36</v>
      </c>
      <c r="L539" s="1" t="s">
        <v>75</v>
      </c>
      <c r="M539" s="1" t="s">
        <v>37</v>
      </c>
      <c r="N539" s="3">
        <v>107</v>
      </c>
      <c r="O539" s="6">
        <f>Table1[[#This Row],[Invoice Qty]]-Table1[[#This Row],[ExFactory Qty]]</f>
        <v>0</v>
      </c>
      <c r="P539" s="1" t="s">
        <v>1693</v>
      </c>
      <c r="Q539" s="2">
        <v>46282.643356481502</v>
      </c>
      <c r="R539" s="2">
        <v>46290</v>
      </c>
      <c r="S539" s="1" t="s">
        <v>39</v>
      </c>
      <c r="U539" s="1" t="s">
        <v>40</v>
      </c>
      <c r="V539" s="1" t="s">
        <v>77</v>
      </c>
      <c r="W539" s="1" t="s">
        <v>40</v>
      </c>
      <c r="X539" s="1" t="s">
        <v>40</v>
      </c>
      <c r="Z539" s="2">
        <v>46290</v>
      </c>
      <c r="AA539" s="1" t="s">
        <v>1723</v>
      </c>
      <c r="AB539" s="2">
        <v>46282</v>
      </c>
      <c r="AC539" s="2">
        <v>46282.555324074099</v>
      </c>
      <c r="AE539" s="1" t="s">
        <v>40</v>
      </c>
      <c r="AF539" s="1" t="s">
        <v>79</v>
      </c>
    </row>
    <row r="540" spans="1:32" ht="12.75" hidden="1" customHeight="1" x14ac:dyDescent="0.2">
      <c r="A540" s="1" t="s">
        <v>30</v>
      </c>
      <c r="B540" s="1" t="s">
        <v>1724</v>
      </c>
      <c r="C540" s="1" t="s">
        <v>71</v>
      </c>
      <c r="D540" s="1" t="s">
        <v>72</v>
      </c>
      <c r="E540" s="1" t="s">
        <v>710</v>
      </c>
      <c r="F540" s="1" t="s">
        <v>384</v>
      </c>
      <c r="G540" s="3">
        <v>457</v>
      </c>
      <c r="H540" s="4">
        <v>6</v>
      </c>
      <c r="I540" s="5">
        <v>882.01</v>
      </c>
      <c r="J540" s="5">
        <v>0</v>
      </c>
      <c r="K540" s="1" t="s">
        <v>36</v>
      </c>
      <c r="L540" s="1" t="s">
        <v>75</v>
      </c>
      <c r="M540" s="1" t="s">
        <v>37</v>
      </c>
      <c r="N540" s="3">
        <v>457</v>
      </c>
      <c r="O540" s="6">
        <f>Table1[[#This Row],[Invoice Qty]]-Table1[[#This Row],[ExFactory Qty]]</f>
        <v>0</v>
      </c>
      <c r="P540" s="1" t="s">
        <v>1680</v>
      </c>
      <c r="Q540" s="2">
        <v>46282.617708333302</v>
      </c>
      <c r="R540" s="2">
        <v>46288</v>
      </c>
      <c r="S540" s="1" t="s">
        <v>39</v>
      </c>
      <c r="U540" s="1" t="s">
        <v>40</v>
      </c>
      <c r="V540" s="1" t="s">
        <v>77</v>
      </c>
      <c r="W540" s="1" t="s">
        <v>40</v>
      </c>
      <c r="X540" s="1" t="s">
        <v>40</v>
      </c>
      <c r="Z540" s="2">
        <v>46288</v>
      </c>
      <c r="AA540" s="1" t="s">
        <v>1725</v>
      </c>
      <c r="AB540" s="2">
        <v>46282</v>
      </c>
      <c r="AC540" s="2">
        <v>46282.555324074099</v>
      </c>
      <c r="AE540" s="1" t="s">
        <v>40</v>
      </c>
      <c r="AF540" s="1" t="s">
        <v>79</v>
      </c>
    </row>
    <row r="541" spans="1:32" ht="12.75" hidden="1" customHeight="1" x14ac:dyDescent="0.2">
      <c r="A541" s="1" t="s">
        <v>30</v>
      </c>
      <c r="B541" s="1" t="s">
        <v>1726</v>
      </c>
      <c r="C541" s="1" t="s">
        <v>71</v>
      </c>
      <c r="D541" s="1" t="s">
        <v>72</v>
      </c>
      <c r="E541" s="1" t="s">
        <v>710</v>
      </c>
      <c r="F541" s="1" t="s">
        <v>384</v>
      </c>
      <c r="G541" s="3">
        <v>497</v>
      </c>
      <c r="H541" s="4">
        <v>7</v>
      </c>
      <c r="I541" s="5">
        <v>959.21</v>
      </c>
      <c r="J541" s="5">
        <v>0</v>
      </c>
      <c r="K541" s="1" t="s">
        <v>36</v>
      </c>
      <c r="L541" s="1" t="s">
        <v>75</v>
      </c>
      <c r="M541" s="1" t="s">
        <v>37</v>
      </c>
      <c r="N541" s="3">
        <v>497</v>
      </c>
      <c r="O541" s="6">
        <f>Table1[[#This Row],[Invoice Qty]]-Table1[[#This Row],[ExFactory Qty]]</f>
        <v>0</v>
      </c>
      <c r="P541" s="1" t="s">
        <v>1680</v>
      </c>
      <c r="Q541" s="2">
        <v>46282.617708333302</v>
      </c>
      <c r="R541" s="2">
        <v>46288</v>
      </c>
      <c r="S541" s="1" t="s">
        <v>39</v>
      </c>
      <c r="U541" s="1" t="s">
        <v>40</v>
      </c>
      <c r="V541" s="1" t="s">
        <v>77</v>
      </c>
      <c r="W541" s="1" t="s">
        <v>40</v>
      </c>
      <c r="X541" s="1" t="s">
        <v>40</v>
      </c>
      <c r="Z541" s="2">
        <v>46288</v>
      </c>
      <c r="AA541" s="1" t="s">
        <v>1727</v>
      </c>
      <c r="AB541" s="2">
        <v>46282</v>
      </c>
      <c r="AC541" s="2">
        <v>46282.555324074099</v>
      </c>
      <c r="AE541" s="1" t="s">
        <v>40</v>
      </c>
      <c r="AF541" s="1" t="s">
        <v>79</v>
      </c>
    </row>
    <row r="542" spans="1:32" ht="12.75" hidden="1" customHeight="1" x14ac:dyDescent="0.2">
      <c r="A542" s="1" t="s">
        <v>30</v>
      </c>
      <c r="B542" s="1" t="s">
        <v>1728</v>
      </c>
      <c r="C542" s="1" t="s">
        <v>71</v>
      </c>
      <c r="D542" s="1" t="s">
        <v>72</v>
      </c>
      <c r="E542" s="1" t="s">
        <v>710</v>
      </c>
      <c r="F542" s="1" t="s">
        <v>372</v>
      </c>
      <c r="G542" s="3">
        <v>200</v>
      </c>
      <c r="H542" s="4">
        <v>2</v>
      </c>
      <c r="I542" s="5">
        <v>386</v>
      </c>
      <c r="J542" s="5">
        <v>0</v>
      </c>
      <c r="K542" s="1" t="s">
        <v>36</v>
      </c>
      <c r="L542" s="1" t="s">
        <v>75</v>
      </c>
      <c r="M542" s="1" t="s">
        <v>37</v>
      </c>
      <c r="N542" s="3">
        <v>200</v>
      </c>
      <c r="O542" s="6">
        <f>Table1[[#This Row],[Invoice Qty]]-Table1[[#This Row],[ExFactory Qty]]</f>
        <v>0</v>
      </c>
      <c r="P542" s="1" t="s">
        <v>1683</v>
      </c>
      <c r="Q542" s="2">
        <v>46282.737557870401</v>
      </c>
      <c r="R542" s="2">
        <v>46287</v>
      </c>
      <c r="S542" s="1" t="s">
        <v>39</v>
      </c>
      <c r="U542" s="1" t="s">
        <v>40</v>
      </c>
      <c r="V542" s="1" t="s">
        <v>77</v>
      </c>
      <c r="W542" s="1" t="s">
        <v>40</v>
      </c>
      <c r="X542" s="1" t="s">
        <v>40</v>
      </c>
      <c r="Z542" s="2">
        <v>46289</v>
      </c>
      <c r="AA542" s="1" t="s">
        <v>1729</v>
      </c>
      <c r="AB542" s="2">
        <v>46282</v>
      </c>
      <c r="AC542" s="2">
        <v>46282.555324074099</v>
      </c>
      <c r="AE542" s="1" t="s">
        <v>40</v>
      </c>
      <c r="AF542" s="1" t="s">
        <v>79</v>
      </c>
    </row>
    <row r="543" spans="1:32" ht="12.75" hidden="1" customHeight="1" x14ac:dyDescent="0.2">
      <c r="A543" s="1" t="s">
        <v>30</v>
      </c>
      <c r="B543" s="1" t="s">
        <v>1730</v>
      </c>
      <c r="C543" s="1" t="s">
        <v>71</v>
      </c>
      <c r="D543" s="1" t="s">
        <v>323</v>
      </c>
      <c r="E543" s="1" t="s">
        <v>491</v>
      </c>
      <c r="F543" s="1" t="s">
        <v>398</v>
      </c>
      <c r="G543" s="3">
        <v>355</v>
      </c>
      <c r="H543" s="4">
        <v>5</v>
      </c>
      <c r="I543" s="5">
        <v>809.4</v>
      </c>
      <c r="J543" s="5">
        <v>0</v>
      </c>
      <c r="K543" s="1" t="s">
        <v>36</v>
      </c>
      <c r="L543" s="1" t="s">
        <v>75</v>
      </c>
      <c r="M543" s="1" t="s">
        <v>37</v>
      </c>
      <c r="N543" s="3">
        <v>355</v>
      </c>
      <c r="O543" s="6">
        <f>Table1[[#This Row],[Invoice Qty]]-Table1[[#This Row],[ExFactory Qty]]</f>
        <v>0</v>
      </c>
      <c r="P543" s="1" t="s">
        <v>1686</v>
      </c>
      <c r="Q543" s="2">
        <v>46282.640636574099</v>
      </c>
      <c r="R543" s="2">
        <v>46291</v>
      </c>
      <c r="S543" s="1" t="s">
        <v>39</v>
      </c>
      <c r="U543" s="1" t="s">
        <v>40</v>
      </c>
      <c r="V543" s="1" t="s">
        <v>77</v>
      </c>
      <c r="W543" s="1" t="s">
        <v>40</v>
      </c>
      <c r="X543" s="1" t="s">
        <v>40</v>
      </c>
      <c r="Z543" s="2">
        <v>46291</v>
      </c>
      <c r="AA543" s="1" t="s">
        <v>1731</v>
      </c>
      <c r="AB543" s="2">
        <v>46282</v>
      </c>
      <c r="AC543" s="2">
        <v>46282</v>
      </c>
      <c r="AE543" s="1" t="s">
        <v>40</v>
      </c>
      <c r="AF543" s="1" t="s">
        <v>326</v>
      </c>
    </row>
    <row r="544" spans="1:32" ht="12.75" hidden="1" customHeight="1" x14ac:dyDescent="0.2">
      <c r="A544" s="1" t="s">
        <v>30</v>
      </c>
      <c r="B544" s="1" t="s">
        <v>1732</v>
      </c>
      <c r="C544" s="1" t="s">
        <v>71</v>
      </c>
      <c r="D544" s="1" t="s">
        <v>323</v>
      </c>
      <c r="E544" s="1" t="s">
        <v>491</v>
      </c>
      <c r="F544" s="1" t="s">
        <v>403</v>
      </c>
      <c r="G544" s="3">
        <v>77</v>
      </c>
      <c r="H544" s="4">
        <v>1</v>
      </c>
      <c r="I544" s="5">
        <v>175.56</v>
      </c>
      <c r="J544" s="5">
        <v>0</v>
      </c>
      <c r="K544" s="1" t="s">
        <v>36</v>
      </c>
      <c r="L544" s="1" t="s">
        <v>75</v>
      </c>
      <c r="M544" s="1" t="s">
        <v>37</v>
      </c>
      <c r="N544" s="3">
        <v>77</v>
      </c>
      <c r="O544" s="6">
        <f>Table1[[#This Row],[Invoice Qty]]-Table1[[#This Row],[ExFactory Qty]]</f>
        <v>0</v>
      </c>
      <c r="P544" s="1" t="s">
        <v>1693</v>
      </c>
      <c r="Q544" s="2">
        <v>46282.643356481502</v>
      </c>
      <c r="R544" s="2">
        <v>46292</v>
      </c>
      <c r="S544" s="1" t="s">
        <v>39</v>
      </c>
      <c r="U544" s="1" t="s">
        <v>40</v>
      </c>
      <c r="V544" s="1" t="s">
        <v>77</v>
      </c>
      <c r="W544" s="1" t="s">
        <v>40</v>
      </c>
      <c r="X544" s="1" t="s">
        <v>40</v>
      </c>
      <c r="AA544" s="1" t="s">
        <v>1733</v>
      </c>
      <c r="AB544" s="2">
        <v>46282</v>
      </c>
      <c r="AC544" s="2">
        <v>46282.555324074099</v>
      </c>
      <c r="AE544" s="1" t="s">
        <v>40</v>
      </c>
      <c r="AF544" s="1" t="s">
        <v>326</v>
      </c>
    </row>
    <row r="545" spans="1:32" ht="12.75" hidden="1" customHeight="1" x14ac:dyDescent="0.2">
      <c r="A545" s="1" t="s">
        <v>30</v>
      </c>
      <c r="B545" s="1" t="s">
        <v>1734</v>
      </c>
      <c r="C545" s="1" t="s">
        <v>71</v>
      </c>
      <c r="D545" s="1" t="s">
        <v>72</v>
      </c>
      <c r="E545" s="1" t="s">
        <v>1267</v>
      </c>
      <c r="F545" s="1" t="s">
        <v>1673</v>
      </c>
      <c r="G545" s="3">
        <v>13</v>
      </c>
      <c r="H545" s="4">
        <v>1</v>
      </c>
      <c r="I545" s="5">
        <v>36.270000000000003</v>
      </c>
      <c r="J545" s="5">
        <v>0</v>
      </c>
      <c r="K545" s="1" t="s">
        <v>36</v>
      </c>
      <c r="L545" s="1" t="s">
        <v>75</v>
      </c>
      <c r="M545" s="1" t="s">
        <v>37</v>
      </c>
      <c r="N545" s="3">
        <v>13</v>
      </c>
      <c r="O545" s="6">
        <f>Table1[[#This Row],[Invoice Qty]]-Table1[[#This Row],[ExFactory Qty]]</f>
        <v>0</v>
      </c>
      <c r="P545" s="1" t="s">
        <v>1683</v>
      </c>
      <c r="Q545" s="2">
        <v>46282.737557870401</v>
      </c>
      <c r="R545" s="2">
        <v>46291</v>
      </c>
      <c r="S545" s="1" t="s">
        <v>39</v>
      </c>
      <c r="U545" s="1" t="s">
        <v>40</v>
      </c>
      <c r="V545" s="1" t="s">
        <v>77</v>
      </c>
      <c r="W545" s="1" t="s">
        <v>40</v>
      </c>
      <c r="X545" s="1" t="s">
        <v>40</v>
      </c>
      <c r="Z545" s="2">
        <v>46292</v>
      </c>
      <c r="AA545" s="1" t="s">
        <v>1735</v>
      </c>
      <c r="AB545" s="2">
        <v>46282</v>
      </c>
      <c r="AC545" s="2">
        <v>46282.555324074099</v>
      </c>
      <c r="AE545" s="1" t="s">
        <v>40</v>
      </c>
      <c r="AF545" s="1" t="s">
        <v>79</v>
      </c>
    </row>
    <row r="546" spans="1:32" ht="12.75" hidden="1" customHeight="1" x14ac:dyDescent="0.2">
      <c r="A546" s="1" t="s">
        <v>30</v>
      </c>
      <c r="B546" s="1" t="s">
        <v>1736</v>
      </c>
      <c r="C546" s="1" t="s">
        <v>71</v>
      </c>
      <c r="D546" s="1" t="s">
        <v>72</v>
      </c>
      <c r="E546" s="1" t="s">
        <v>1267</v>
      </c>
      <c r="F546" s="1" t="s">
        <v>376</v>
      </c>
      <c r="G546" s="3">
        <v>123</v>
      </c>
      <c r="H546" s="4">
        <v>2</v>
      </c>
      <c r="I546" s="5">
        <v>346.86</v>
      </c>
      <c r="J546" s="5">
        <v>0</v>
      </c>
      <c r="K546" s="1" t="s">
        <v>36</v>
      </c>
      <c r="L546" s="1" t="s">
        <v>75</v>
      </c>
      <c r="M546" s="1" t="s">
        <v>37</v>
      </c>
      <c r="N546" s="3">
        <v>123</v>
      </c>
      <c r="O546" s="6">
        <f>Table1[[#This Row],[Invoice Qty]]-Table1[[#This Row],[ExFactory Qty]]</f>
        <v>0</v>
      </c>
      <c r="P546" s="1" t="s">
        <v>1686</v>
      </c>
      <c r="Q546" s="2">
        <v>46282.640636574099</v>
      </c>
      <c r="R546" s="2">
        <v>46290</v>
      </c>
      <c r="S546" s="1" t="s">
        <v>39</v>
      </c>
      <c r="U546" s="1" t="s">
        <v>40</v>
      </c>
      <c r="V546" s="1" t="s">
        <v>77</v>
      </c>
      <c r="W546" s="1" t="s">
        <v>40</v>
      </c>
      <c r="X546" s="1" t="s">
        <v>40</v>
      </c>
      <c r="Z546" s="2">
        <v>46290</v>
      </c>
      <c r="AA546" s="1" t="s">
        <v>1737</v>
      </c>
      <c r="AB546" s="2">
        <v>46282</v>
      </c>
      <c r="AC546" s="2">
        <v>46282.555324074099</v>
      </c>
      <c r="AE546" s="1" t="s">
        <v>40</v>
      </c>
      <c r="AF546" s="1" t="s">
        <v>79</v>
      </c>
    </row>
    <row r="547" spans="1:32" ht="12.75" hidden="1" customHeight="1" x14ac:dyDescent="0.2">
      <c r="A547" s="1" t="s">
        <v>30</v>
      </c>
      <c r="B547" s="1" t="s">
        <v>1738</v>
      </c>
      <c r="C547" s="1" t="s">
        <v>71</v>
      </c>
      <c r="D547" s="1" t="s">
        <v>72</v>
      </c>
      <c r="E547" s="1" t="s">
        <v>1267</v>
      </c>
      <c r="F547" s="1" t="s">
        <v>345</v>
      </c>
      <c r="G547" s="3">
        <v>68</v>
      </c>
      <c r="H547" s="4">
        <v>1</v>
      </c>
      <c r="I547" s="5">
        <v>189.72</v>
      </c>
      <c r="J547" s="5">
        <v>0</v>
      </c>
      <c r="K547" s="1" t="s">
        <v>36</v>
      </c>
      <c r="L547" s="1" t="s">
        <v>75</v>
      </c>
      <c r="M547" s="1" t="s">
        <v>37</v>
      </c>
      <c r="N547" s="3">
        <v>68</v>
      </c>
      <c r="O547" s="6">
        <f>Table1[[#This Row],[Invoice Qty]]-Table1[[#This Row],[ExFactory Qty]]</f>
        <v>0</v>
      </c>
      <c r="P547" s="1" t="s">
        <v>1686</v>
      </c>
      <c r="Q547" s="2">
        <v>46282.640636574099</v>
      </c>
      <c r="R547" s="2">
        <v>46290</v>
      </c>
      <c r="S547" s="1" t="s">
        <v>39</v>
      </c>
      <c r="U547" s="1" t="s">
        <v>40</v>
      </c>
      <c r="V547" s="1" t="s">
        <v>77</v>
      </c>
      <c r="W547" s="1" t="s">
        <v>40</v>
      </c>
      <c r="X547" s="1" t="s">
        <v>40</v>
      </c>
      <c r="Z547" s="2">
        <v>46290</v>
      </c>
      <c r="AA547" s="1" t="s">
        <v>1739</v>
      </c>
      <c r="AB547" s="2">
        <v>46282</v>
      </c>
      <c r="AC547" s="2">
        <v>46282.555324074099</v>
      </c>
      <c r="AE547" s="1" t="s">
        <v>40</v>
      </c>
      <c r="AF547" s="1" t="s">
        <v>79</v>
      </c>
    </row>
    <row r="548" spans="1:32" ht="12.75" hidden="1" customHeight="1" x14ac:dyDescent="0.2">
      <c r="A548" s="1" t="s">
        <v>30</v>
      </c>
      <c r="B548" s="1" t="s">
        <v>1740</v>
      </c>
      <c r="C548" s="1" t="s">
        <v>71</v>
      </c>
      <c r="D548" s="1" t="s">
        <v>72</v>
      </c>
      <c r="E548" s="1" t="s">
        <v>1267</v>
      </c>
      <c r="F548" s="1" t="s">
        <v>252</v>
      </c>
      <c r="G548" s="3">
        <v>93</v>
      </c>
      <c r="H548" s="4">
        <v>2</v>
      </c>
      <c r="I548" s="5">
        <v>259.47000000000003</v>
      </c>
      <c r="J548" s="5">
        <v>0</v>
      </c>
      <c r="K548" s="1" t="s">
        <v>36</v>
      </c>
      <c r="L548" s="1" t="s">
        <v>75</v>
      </c>
      <c r="M548" s="1" t="s">
        <v>37</v>
      </c>
      <c r="N548" s="3">
        <v>93</v>
      </c>
      <c r="O548" s="6">
        <f>Table1[[#This Row],[Invoice Qty]]-Table1[[#This Row],[ExFactory Qty]]</f>
        <v>0</v>
      </c>
      <c r="P548" s="1" t="s">
        <v>1693</v>
      </c>
      <c r="Q548" s="2">
        <v>46282.643356481502</v>
      </c>
      <c r="R548" s="2">
        <v>46290</v>
      </c>
      <c r="S548" s="1" t="s">
        <v>39</v>
      </c>
      <c r="U548" s="1" t="s">
        <v>40</v>
      </c>
      <c r="V548" s="1" t="s">
        <v>77</v>
      </c>
      <c r="W548" s="1" t="s">
        <v>40</v>
      </c>
      <c r="X548" s="1" t="s">
        <v>40</v>
      </c>
      <c r="Z548" s="2">
        <v>46290</v>
      </c>
      <c r="AA548" s="1" t="s">
        <v>1741</v>
      </c>
      <c r="AB548" s="2">
        <v>46282</v>
      </c>
      <c r="AC548" s="2">
        <v>46282.555324074099</v>
      </c>
      <c r="AE548" s="1" t="s">
        <v>40</v>
      </c>
      <c r="AF548" s="1" t="s">
        <v>79</v>
      </c>
    </row>
    <row r="549" spans="1:32" ht="12.75" hidden="1" customHeight="1" x14ac:dyDescent="0.2">
      <c r="A549" s="1" t="s">
        <v>30</v>
      </c>
      <c r="B549" s="1" t="s">
        <v>1742</v>
      </c>
      <c r="C549" s="1" t="s">
        <v>71</v>
      </c>
      <c r="D549" s="1" t="s">
        <v>72</v>
      </c>
      <c r="E549" s="1" t="s">
        <v>1267</v>
      </c>
      <c r="F549" s="1" t="s">
        <v>384</v>
      </c>
      <c r="G549" s="3">
        <v>457</v>
      </c>
      <c r="H549" s="4">
        <v>9</v>
      </c>
      <c r="I549" s="5">
        <v>1275.03</v>
      </c>
      <c r="J549" s="5">
        <v>0</v>
      </c>
      <c r="K549" s="1" t="s">
        <v>36</v>
      </c>
      <c r="L549" s="1" t="s">
        <v>75</v>
      </c>
      <c r="M549" s="1" t="s">
        <v>37</v>
      </c>
      <c r="N549" s="3">
        <v>457</v>
      </c>
      <c r="O549" s="6">
        <f>Table1[[#This Row],[Invoice Qty]]-Table1[[#This Row],[ExFactory Qty]]</f>
        <v>0</v>
      </c>
      <c r="P549" s="1" t="s">
        <v>1680</v>
      </c>
      <c r="Q549" s="2">
        <v>46282.617708333302</v>
      </c>
      <c r="R549" s="2">
        <v>46288</v>
      </c>
      <c r="S549" s="1" t="s">
        <v>39</v>
      </c>
      <c r="U549" s="1" t="s">
        <v>40</v>
      </c>
      <c r="V549" s="1" t="s">
        <v>77</v>
      </c>
      <c r="W549" s="1" t="s">
        <v>40</v>
      </c>
      <c r="X549" s="1" t="s">
        <v>40</v>
      </c>
      <c r="Z549" s="2">
        <v>46288</v>
      </c>
      <c r="AA549" s="1" t="s">
        <v>1743</v>
      </c>
      <c r="AB549" s="2">
        <v>46282</v>
      </c>
      <c r="AC549" s="2">
        <v>46282.555324074099</v>
      </c>
      <c r="AE549" s="1" t="s">
        <v>40</v>
      </c>
      <c r="AF549" s="1" t="s">
        <v>79</v>
      </c>
    </row>
    <row r="550" spans="1:32" ht="12.75" hidden="1" customHeight="1" x14ac:dyDescent="0.2">
      <c r="A550" s="1" t="s">
        <v>30</v>
      </c>
      <c r="B550" s="1" t="s">
        <v>1744</v>
      </c>
      <c r="C550" s="1" t="s">
        <v>71</v>
      </c>
      <c r="D550" s="1" t="s">
        <v>72</v>
      </c>
      <c r="E550" s="1" t="s">
        <v>1267</v>
      </c>
      <c r="F550" s="1" t="s">
        <v>384</v>
      </c>
      <c r="G550" s="3">
        <v>450</v>
      </c>
      <c r="H550" s="4">
        <v>7</v>
      </c>
      <c r="I550" s="5">
        <v>1255.5</v>
      </c>
      <c r="J550" s="5">
        <v>0</v>
      </c>
      <c r="K550" s="1" t="s">
        <v>36</v>
      </c>
      <c r="L550" s="1" t="s">
        <v>75</v>
      </c>
      <c r="M550" s="1" t="s">
        <v>37</v>
      </c>
      <c r="N550" s="3">
        <v>450</v>
      </c>
      <c r="O550" s="6">
        <f>Table1[[#This Row],[Invoice Qty]]-Table1[[#This Row],[ExFactory Qty]]</f>
        <v>0</v>
      </c>
      <c r="P550" s="1" t="s">
        <v>1680</v>
      </c>
      <c r="Q550" s="2">
        <v>46282.617708333302</v>
      </c>
      <c r="R550" s="2">
        <v>46288</v>
      </c>
      <c r="S550" s="1" t="s">
        <v>39</v>
      </c>
      <c r="U550" s="1" t="s">
        <v>40</v>
      </c>
      <c r="V550" s="1" t="s">
        <v>77</v>
      </c>
      <c r="W550" s="1" t="s">
        <v>40</v>
      </c>
      <c r="X550" s="1" t="s">
        <v>40</v>
      </c>
      <c r="Z550" s="2">
        <v>46288</v>
      </c>
      <c r="AA550" s="1" t="s">
        <v>1745</v>
      </c>
      <c r="AB550" s="2">
        <v>46282</v>
      </c>
      <c r="AC550" s="2">
        <v>46282.555324074099</v>
      </c>
      <c r="AE550" s="1" t="s">
        <v>40</v>
      </c>
      <c r="AF550" s="1" t="s">
        <v>79</v>
      </c>
    </row>
    <row r="551" spans="1:32" ht="12.75" hidden="1" customHeight="1" x14ac:dyDescent="0.2">
      <c r="A551" s="1" t="s">
        <v>30</v>
      </c>
      <c r="B551" s="1" t="s">
        <v>1746</v>
      </c>
      <c r="C551" s="1" t="s">
        <v>71</v>
      </c>
      <c r="D551" s="1" t="s">
        <v>72</v>
      </c>
      <c r="E551" s="1" t="s">
        <v>685</v>
      </c>
      <c r="F551" s="1" t="s">
        <v>74</v>
      </c>
      <c r="G551" s="3">
        <v>1461</v>
      </c>
      <c r="H551" s="4">
        <v>17</v>
      </c>
      <c r="I551" s="5">
        <v>3857.04</v>
      </c>
      <c r="J551" s="5">
        <v>0</v>
      </c>
      <c r="K551" s="1" t="s">
        <v>36</v>
      </c>
      <c r="L551" s="1" t="s">
        <v>75</v>
      </c>
      <c r="M551" s="1" t="s">
        <v>37</v>
      </c>
      <c r="N551" s="3">
        <v>1461</v>
      </c>
      <c r="O551" s="6">
        <f>Table1[[#This Row],[Invoice Qty]]-Table1[[#This Row],[ExFactory Qty]]</f>
        <v>0</v>
      </c>
      <c r="P551" s="1" t="s">
        <v>1693</v>
      </c>
      <c r="Q551" s="2">
        <v>46282.643356481502</v>
      </c>
      <c r="R551" s="2">
        <v>46290</v>
      </c>
      <c r="S551" s="1" t="s">
        <v>39</v>
      </c>
      <c r="U551" s="1" t="s">
        <v>40</v>
      </c>
      <c r="V551" s="1" t="s">
        <v>77</v>
      </c>
      <c r="W551" s="1" t="s">
        <v>40</v>
      </c>
      <c r="X551" s="1" t="s">
        <v>40</v>
      </c>
      <c r="Z551" s="2">
        <v>46289</v>
      </c>
      <c r="AA551" s="1" t="s">
        <v>1747</v>
      </c>
      <c r="AB551" s="2">
        <v>46282</v>
      </c>
      <c r="AC551" s="2">
        <v>46282</v>
      </c>
      <c r="AE551" s="1" t="s">
        <v>40</v>
      </c>
      <c r="AF551" s="1" t="s">
        <v>79</v>
      </c>
    </row>
    <row r="552" spans="1:32" ht="12.75" hidden="1" customHeight="1" x14ac:dyDescent="0.2">
      <c r="A552" s="1" t="s">
        <v>30</v>
      </c>
      <c r="B552" s="1" t="s">
        <v>1748</v>
      </c>
      <c r="C552" s="1" t="s">
        <v>71</v>
      </c>
      <c r="D552" s="1" t="s">
        <v>72</v>
      </c>
      <c r="E552" s="1" t="s">
        <v>1289</v>
      </c>
      <c r="F552" s="1" t="s">
        <v>1673</v>
      </c>
      <c r="G552" s="3">
        <v>71</v>
      </c>
      <c r="H552" s="4">
        <v>1</v>
      </c>
      <c r="I552" s="5">
        <v>185.31</v>
      </c>
      <c r="J552" s="5">
        <v>0</v>
      </c>
      <c r="K552" s="1" t="s">
        <v>36</v>
      </c>
      <c r="L552" s="1" t="s">
        <v>75</v>
      </c>
      <c r="M552" s="1" t="s">
        <v>37</v>
      </c>
      <c r="N552" s="3">
        <v>71</v>
      </c>
      <c r="O552" s="6">
        <f>Table1[[#This Row],[Invoice Qty]]-Table1[[#This Row],[ExFactory Qty]]</f>
        <v>0</v>
      </c>
      <c r="P552" s="1" t="s">
        <v>1683</v>
      </c>
      <c r="Q552" s="2">
        <v>46282.737557870401</v>
      </c>
      <c r="R552" s="2">
        <v>46291</v>
      </c>
      <c r="S552" s="1" t="s">
        <v>39</v>
      </c>
      <c r="U552" s="1" t="s">
        <v>40</v>
      </c>
      <c r="V552" s="1" t="s">
        <v>77</v>
      </c>
      <c r="W552" s="1" t="s">
        <v>40</v>
      </c>
      <c r="X552" s="1" t="s">
        <v>40</v>
      </c>
      <c r="Z552" s="2">
        <v>46292</v>
      </c>
      <c r="AA552" s="1" t="s">
        <v>1749</v>
      </c>
      <c r="AB552" s="2">
        <v>46282</v>
      </c>
      <c r="AC552" s="2">
        <v>46282.555324074099</v>
      </c>
      <c r="AE552" s="1" t="s">
        <v>40</v>
      </c>
      <c r="AF552" s="1" t="s">
        <v>79</v>
      </c>
    </row>
    <row r="553" spans="1:32" ht="12.75" hidden="1" customHeight="1" x14ac:dyDescent="0.2">
      <c r="A553" s="1" t="s">
        <v>30</v>
      </c>
      <c r="B553" s="1" t="s">
        <v>1750</v>
      </c>
      <c r="C553" s="1" t="s">
        <v>71</v>
      </c>
      <c r="D553" s="1" t="s">
        <v>72</v>
      </c>
      <c r="E553" s="1" t="s">
        <v>1289</v>
      </c>
      <c r="F553" s="1" t="s">
        <v>376</v>
      </c>
      <c r="G553" s="3">
        <v>441</v>
      </c>
      <c r="H553" s="4">
        <v>7</v>
      </c>
      <c r="I553" s="5">
        <v>1164.24</v>
      </c>
      <c r="J553" s="5">
        <v>0</v>
      </c>
      <c r="K553" s="1" t="s">
        <v>36</v>
      </c>
      <c r="L553" s="1" t="s">
        <v>75</v>
      </c>
      <c r="M553" s="1" t="s">
        <v>37</v>
      </c>
      <c r="N553" s="3">
        <v>441</v>
      </c>
      <c r="O553" s="6">
        <f>Table1[[#This Row],[Invoice Qty]]-Table1[[#This Row],[ExFactory Qty]]</f>
        <v>0</v>
      </c>
      <c r="P553" s="1" t="s">
        <v>1686</v>
      </c>
      <c r="Q553" s="2">
        <v>46282.640636574099</v>
      </c>
      <c r="R553" s="2">
        <v>46290</v>
      </c>
      <c r="S553" s="1" t="s">
        <v>39</v>
      </c>
      <c r="U553" s="1" t="s">
        <v>40</v>
      </c>
      <c r="V553" s="1" t="s">
        <v>77</v>
      </c>
      <c r="W553" s="1" t="s">
        <v>40</v>
      </c>
      <c r="X553" s="1" t="s">
        <v>40</v>
      </c>
      <c r="Z553" s="2">
        <v>46290</v>
      </c>
      <c r="AA553" s="1" t="s">
        <v>1751</v>
      </c>
      <c r="AB553" s="2">
        <v>46282</v>
      </c>
      <c r="AC553" s="2">
        <v>46282.555324074099</v>
      </c>
      <c r="AE553" s="1" t="s">
        <v>40</v>
      </c>
      <c r="AF553" s="1" t="s">
        <v>79</v>
      </c>
    </row>
    <row r="554" spans="1:32" ht="12.75" hidden="1" customHeight="1" x14ac:dyDescent="0.2">
      <c r="A554" s="1" t="s">
        <v>30</v>
      </c>
      <c r="B554" s="1" t="s">
        <v>1752</v>
      </c>
      <c r="C554" s="1" t="s">
        <v>71</v>
      </c>
      <c r="D554" s="1" t="s">
        <v>72</v>
      </c>
      <c r="E554" s="1" t="s">
        <v>1289</v>
      </c>
      <c r="F554" s="1" t="s">
        <v>345</v>
      </c>
      <c r="G554" s="3">
        <v>184</v>
      </c>
      <c r="H554" s="4">
        <v>2</v>
      </c>
      <c r="I554" s="5">
        <v>480.24</v>
      </c>
      <c r="J554" s="5">
        <v>0</v>
      </c>
      <c r="K554" s="1" t="s">
        <v>36</v>
      </c>
      <c r="L554" s="1" t="s">
        <v>75</v>
      </c>
      <c r="M554" s="1" t="s">
        <v>37</v>
      </c>
      <c r="N554" s="3">
        <v>184</v>
      </c>
      <c r="O554" s="6">
        <f>Table1[[#This Row],[Invoice Qty]]-Table1[[#This Row],[ExFactory Qty]]</f>
        <v>0</v>
      </c>
      <c r="P554" s="1" t="s">
        <v>1686</v>
      </c>
      <c r="Q554" s="2">
        <v>46282.640636574099</v>
      </c>
      <c r="R554" s="2">
        <v>46290</v>
      </c>
      <c r="S554" s="1" t="s">
        <v>39</v>
      </c>
      <c r="U554" s="1" t="s">
        <v>40</v>
      </c>
      <c r="V554" s="1" t="s">
        <v>77</v>
      </c>
      <c r="W554" s="1" t="s">
        <v>40</v>
      </c>
      <c r="X554" s="1" t="s">
        <v>40</v>
      </c>
      <c r="Z554" s="2">
        <v>46290</v>
      </c>
      <c r="AA554" s="1" t="s">
        <v>1753</v>
      </c>
      <c r="AB554" s="2">
        <v>46282</v>
      </c>
      <c r="AC554" s="2">
        <v>46282.555324074099</v>
      </c>
      <c r="AE554" s="1" t="s">
        <v>40</v>
      </c>
      <c r="AF554" s="1" t="s">
        <v>79</v>
      </c>
    </row>
    <row r="555" spans="1:32" ht="12.75" hidden="1" customHeight="1" x14ac:dyDescent="0.2">
      <c r="A555" s="1" t="s">
        <v>86</v>
      </c>
      <c r="B555" s="1" t="s">
        <v>1754</v>
      </c>
      <c r="C555" s="1" t="s">
        <v>71</v>
      </c>
      <c r="D555" s="1" t="s">
        <v>323</v>
      </c>
      <c r="E555" s="1" t="s">
        <v>1023</v>
      </c>
      <c r="F555" s="1" t="s">
        <v>372</v>
      </c>
      <c r="G555" s="3">
        <v>409</v>
      </c>
      <c r="H555" s="4">
        <v>5</v>
      </c>
      <c r="I555" s="5">
        <v>899.8</v>
      </c>
      <c r="J555" s="5">
        <v>0</v>
      </c>
      <c r="K555" s="1" t="s">
        <v>36</v>
      </c>
      <c r="L555" s="1" t="s">
        <v>75</v>
      </c>
      <c r="M555" s="1" t="s">
        <v>37</v>
      </c>
      <c r="N555" s="3">
        <v>409</v>
      </c>
      <c r="O555" s="6">
        <f>Table1[[#This Row],[Invoice Qty]]-Table1[[#This Row],[ExFactory Qty]]</f>
        <v>0</v>
      </c>
      <c r="P555" s="1" t="s">
        <v>1034</v>
      </c>
      <c r="Q555" s="2">
        <v>46289.626203703701</v>
      </c>
      <c r="S555" s="1" t="s">
        <v>39</v>
      </c>
      <c r="U555" s="1" t="s">
        <v>40</v>
      </c>
      <c r="V555" s="1" t="s">
        <v>77</v>
      </c>
      <c r="W555" s="1" t="s">
        <v>40</v>
      </c>
      <c r="X555" s="1" t="s">
        <v>40</v>
      </c>
      <c r="AA555" s="1" t="s">
        <v>1755</v>
      </c>
      <c r="AB555" s="2">
        <v>46282</v>
      </c>
      <c r="AC555" s="2">
        <v>46282.555324074099</v>
      </c>
      <c r="AE555" s="1" t="s">
        <v>40</v>
      </c>
      <c r="AF555" s="1" t="s">
        <v>326</v>
      </c>
    </row>
    <row r="556" spans="1:32" ht="12.75" hidden="1" customHeight="1" x14ac:dyDescent="0.2">
      <c r="A556" s="1" t="s">
        <v>30</v>
      </c>
      <c r="B556" s="1" t="s">
        <v>1756</v>
      </c>
      <c r="C556" s="1" t="s">
        <v>71</v>
      </c>
      <c r="D556" s="1" t="s">
        <v>323</v>
      </c>
      <c r="E556" s="1" t="s">
        <v>504</v>
      </c>
      <c r="F556" s="1" t="s">
        <v>367</v>
      </c>
      <c r="G556" s="3">
        <v>334</v>
      </c>
      <c r="H556" s="4">
        <v>5</v>
      </c>
      <c r="I556" s="5">
        <v>751.5</v>
      </c>
      <c r="J556" s="5">
        <v>0</v>
      </c>
      <c r="K556" s="1" t="s">
        <v>36</v>
      </c>
      <c r="L556" s="1" t="s">
        <v>75</v>
      </c>
      <c r="M556" s="1" t="s">
        <v>37</v>
      </c>
      <c r="N556" s="3">
        <v>334</v>
      </c>
      <c r="O556" s="6">
        <f>Table1[[#This Row],[Invoice Qty]]-Table1[[#This Row],[ExFactory Qty]]</f>
        <v>0</v>
      </c>
      <c r="P556" s="1" t="s">
        <v>1683</v>
      </c>
      <c r="Q556" s="2">
        <v>46282.737557870401</v>
      </c>
      <c r="R556" s="2">
        <v>46288</v>
      </c>
      <c r="S556" s="1" t="s">
        <v>39</v>
      </c>
      <c r="U556" s="1" t="s">
        <v>40</v>
      </c>
      <c r="V556" s="1" t="s">
        <v>77</v>
      </c>
      <c r="W556" s="1" t="s">
        <v>40</v>
      </c>
      <c r="X556" s="1" t="s">
        <v>40</v>
      </c>
      <c r="Z556" s="2">
        <v>46288</v>
      </c>
      <c r="AA556" s="1" t="s">
        <v>1757</v>
      </c>
      <c r="AB556" s="2">
        <v>46282</v>
      </c>
      <c r="AC556" s="2">
        <v>46282.555324074099</v>
      </c>
      <c r="AE556" s="1" t="s">
        <v>40</v>
      </c>
      <c r="AF556" s="1" t="s">
        <v>326</v>
      </c>
    </row>
    <row r="557" spans="1:32" ht="12.75" hidden="1" customHeight="1" x14ac:dyDescent="0.2">
      <c r="A557" s="1" t="s">
        <v>30</v>
      </c>
      <c r="B557" s="1" t="s">
        <v>1758</v>
      </c>
      <c r="C557" s="1" t="s">
        <v>71</v>
      </c>
      <c r="D557" s="1" t="s">
        <v>323</v>
      </c>
      <c r="E557" s="1" t="s">
        <v>504</v>
      </c>
      <c r="F557" s="1" t="s">
        <v>445</v>
      </c>
      <c r="G557" s="3">
        <v>149</v>
      </c>
      <c r="H557" s="4">
        <v>2</v>
      </c>
      <c r="I557" s="5">
        <v>339.72</v>
      </c>
      <c r="J557" s="5">
        <v>0</v>
      </c>
      <c r="K557" s="1" t="s">
        <v>36</v>
      </c>
      <c r="L557" s="1" t="s">
        <v>75</v>
      </c>
      <c r="M557" s="1" t="s">
        <v>37</v>
      </c>
      <c r="N557" s="3">
        <v>149</v>
      </c>
      <c r="O557" s="6">
        <f>Table1[[#This Row],[Invoice Qty]]-Table1[[#This Row],[ExFactory Qty]]</f>
        <v>0</v>
      </c>
      <c r="P557" s="1" t="s">
        <v>1686</v>
      </c>
      <c r="Q557" s="2">
        <v>46282.640636574099</v>
      </c>
      <c r="R557" s="2">
        <v>46291</v>
      </c>
      <c r="S557" s="1" t="s">
        <v>39</v>
      </c>
      <c r="U557" s="1" t="s">
        <v>40</v>
      </c>
      <c r="V557" s="1" t="s">
        <v>77</v>
      </c>
      <c r="W557" s="1" t="s">
        <v>40</v>
      </c>
      <c r="X557" s="1" t="s">
        <v>40</v>
      </c>
      <c r="Z557" s="2">
        <v>46291</v>
      </c>
      <c r="AA557" s="1" t="s">
        <v>1759</v>
      </c>
      <c r="AB557" s="2">
        <v>46282</v>
      </c>
      <c r="AC557" s="2">
        <v>46282.555324074099</v>
      </c>
      <c r="AE557" s="1" t="s">
        <v>40</v>
      </c>
      <c r="AF557" s="1" t="s">
        <v>326</v>
      </c>
    </row>
    <row r="558" spans="1:32" ht="12.75" hidden="1" customHeight="1" x14ac:dyDescent="0.2">
      <c r="A558" s="1" t="s">
        <v>30</v>
      </c>
      <c r="B558" s="1" t="s">
        <v>1760</v>
      </c>
      <c r="C558" s="1" t="s">
        <v>71</v>
      </c>
      <c r="D558" s="1" t="s">
        <v>323</v>
      </c>
      <c r="E558" s="1" t="s">
        <v>504</v>
      </c>
      <c r="F558" s="1" t="s">
        <v>398</v>
      </c>
      <c r="G558" s="3">
        <v>168</v>
      </c>
      <c r="H558" s="4">
        <v>2</v>
      </c>
      <c r="I558" s="5">
        <v>383.04</v>
      </c>
      <c r="J558" s="5">
        <v>0</v>
      </c>
      <c r="K558" s="1" t="s">
        <v>36</v>
      </c>
      <c r="L558" s="1" t="s">
        <v>75</v>
      </c>
      <c r="M558" s="1" t="s">
        <v>37</v>
      </c>
      <c r="N558" s="3">
        <v>168</v>
      </c>
      <c r="O558" s="6">
        <f>Table1[[#This Row],[Invoice Qty]]-Table1[[#This Row],[ExFactory Qty]]</f>
        <v>0</v>
      </c>
      <c r="P558" s="1" t="s">
        <v>1686</v>
      </c>
      <c r="Q558" s="2">
        <v>46282.640636574099</v>
      </c>
      <c r="R558" s="2">
        <v>46291</v>
      </c>
      <c r="S558" s="1" t="s">
        <v>39</v>
      </c>
      <c r="U558" s="1" t="s">
        <v>40</v>
      </c>
      <c r="V558" s="1" t="s">
        <v>77</v>
      </c>
      <c r="W558" s="1" t="s">
        <v>40</v>
      </c>
      <c r="X558" s="1" t="s">
        <v>40</v>
      </c>
      <c r="Z558" s="2">
        <v>46291</v>
      </c>
      <c r="AA558" s="1" t="s">
        <v>1761</v>
      </c>
      <c r="AB558" s="2">
        <v>46282</v>
      </c>
      <c r="AC558" s="2">
        <v>46282</v>
      </c>
      <c r="AE558" s="1" t="s">
        <v>40</v>
      </c>
      <c r="AF558" s="1" t="s">
        <v>326</v>
      </c>
    </row>
    <row r="559" spans="1:32" ht="12.75" hidden="1" customHeight="1" x14ac:dyDescent="0.2">
      <c r="A559" s="1" t="s">
        <v>30</v>
      </c>
      <c r="B559" s="1" t="s">
        <v>1762</v>
      </c>
      <c r="C559" s="1" t="s">
        <v>71</v>
      </c>
      <c r="D559" s="1" t="s">
        <v>323</v>
      </c>
      <c r="E559" s="1" t="s">
        <v>504</v>
      </c>
      <c r="F559" s="1" t="s">
        <v>361</v>
      </c>
      <c r="G559" s="3">
        <v>35</v>
      </c>
      <c r="H559" s="4">
        <v>1</v>
      </c>
      <c r="I559" s="5">
        <v>78.75</v>
      </c>
      <c r="J559" s="5">
        <v>0</v>
      </c>
      <c r="K559" s="1" t="s">
        <v>36</v>
      </c>
      <c r="L559" s="1" t="s">
        <v>75</v>
      </c>
      <c r="M559" s="1" t="s">
        <v>37</v>
      </c>
      <c r="N559" s="3">
        <v>35</v>
      </c>
      <c r="O559" s="6">
        <f>Table1[[#This Row],[Invoice Qty]]-Table1[[#This Row],[ExFactory Qty]]</f>
        <v>0</v>
      </c>
      <c r="P559" s="1" t="s">
        <v>1693</v>
      </c>
      <c r="Q559" s="2">
        <v>46282.643356481502</v>
      </c>
      <c r="R559" s="2">
        <v>46288</v>
      </c>
      <c r="S559" s="1" t="s">
        <v>39</v>
      </c>
      <c r="U559" s="1" t="s">
        <v>40</v>
      </c>
      <c r="V559" s="1" t="s">
        <v>77</v>
      </c>
      <c r="W559" s="1" t="s">
        <v>40</v>
      </c>
      <c r="X559" s="1" t="s">
        <v>40</v>
      </c>
      <c r="Z559" s="2">
        <v>46289</v>
      </c>
      <c r="AA559" s="1" t="s">
        <v>1763</v>
      </c>
      <c r="AB559" s="2">
        <v>46282</v>
      </c>
      <c r="AC559" s="2">
        <v>46282.555324074099</v>
      </c>
      <c r="AE559" s="1" t="s">
        <v>40</v>
      </c>
      <c r="AF559" s="1" t="s">
        <v>326</v>
      </c>
    </row>
    <row r="560" spans="1:32" ht="12.75" hidden="1" customHeight="1" x14ac:dyDescent="0.2">
      <c r="A560" s="1" t="s">
        <v>30</v>
      </c>
      <c r="B560" s="1" t="s">
        <v>1764</v>
      </c>
      <c r="C560" s="1" t="s">
        <v>71</v>
      </c>
      <c r="D560" s="1" t="s">
        <v>72</v>
      </c>
      <c r="E560" s="1" t="s">
        <v>1303</v>
      </c>
      <c r="F560" s="1" t="s">
        <v>1673</v>
      </c>
      <c r="G560" s="3">
        <v>29</v>
      </c>
      <c r="H560" s="4">
        <v>1</v>
      </c>
      <c r="I560" s="5">
        <v>80.040000000000006</v>
      </c>
      <c r="J560" s="5">
        <v>0</v>
      </c>
      <c r="K560" s="1" t="s">
        <v>36</v>
      </c>
      <c r="L560" s="1" t="s">
        <v>75</v>
      </c>
      <c r="M560" s="1" t="s">
        <v>37</v>
      </c>
      <c r="N560" s="3">
        <v>29</v>
      </c>
      <c r="O560" s="6">
        <f>Table1[[#This Row],[Invoice Qty]]-Table1[[#This Row],[ExFactory Qty]]</f>
        <v>0</v>
      </c>
      <c r="P560" s="1" t="s">
        <v>1683</v>
      </c>
      <c r="Q560" s="2">
        <v>46282.737557870401</v>
      </c>
      <c r="R560" s="2">
        <v>46291</v>
      </c>
      <c r="S560" s="1" t="s">
        <v>39</v>
      </c>
      <c r="U560" s="1" t="s">
        <v>40</v>
      </c>
      <c r="V560" s="1" t="s">
        <v>77</v>
      </c>
      <c r="W560" s="1" t="s">
        <v>40</v>
      </c>
      <c r="X560" s="1" t="s">
        <v>40</v>
      </c>
      <c r="Z560" s="2">
        <v>46292</v>
      </c>
      <c r="AA560" s="1" t="s">
        <v>1765</v>
      </c>
      <c r="AB560" s="2">
        <v>46282</v>
      </c>
      <c r="AC560" s="2">
        <v>46282.555324074099</v>
      </c>
      <c r="AE560" s="1" t="s">
        <v>40</v>
      </c>
      <c r="AF560" s="1" t="s">
        <v>79</v>
      </c>
    </row>
    <row r="561" spans="1:32" ht="12.75" hidden="1" customHeight="1" x14ac:dyDescent="0.2">
      <c r="A561" s="1" t="s">
        <v>30</v>
      </c>
      <c r="B561" s="1" t="s">
        <v>1766</v>
      </c>
      <c r="C561" s="1" t="s">
        <v>71</v>
      </c>
      <c r="D561" s="1" t="s">
        <v>72</v>
      </c>
      <c r="E561" s="1" t="s">
        <v>1303</v>
      </c>
      <c r="F561" s="1" t="s">
        <v>376</v>
      </c>
      <c r="G561" s="3">
        <v>78</v>
      </c>
      <c r="H561" s="4">
        <v>1</v>
      </c>
      <c r="I561" s="5">
        <v>217.62</v>
      </c>
      <c r="J561" s="5">
        <v>0</v>
      </c>
      <c r="K561" s="1" t="s">
        <v>36</v>
      </c>
      <c r="L561" s="1" t="s">
        <v>75</v>
      </c>
      <c r="M561" s="1" t="s">
        <v>37</v>
      </c>
      <c r="N561" s="3">
        <v>78</v>
      </c>
      <c r="O561" s="6">
        <f>Table1[[#This Row],[Invoice Qty]]-Table1[[#This Row],[ExFactory Qty]]</f>
        <v>0</v>
      </c>
      <c r="P561" s="1" t="s">
        <v>1686</v>
      </c>
      <c r="Q561" s="2">
        <v>46282.640636574099</v>
      </c>
      <c r="R561" s="2">
        <v>46290</v>
      </c>
      <c r="S561" s="1" t="s">
        <v>39</v>
      </c>
      <c r="U561" s="1" t="s">
        <v>40</v>
      </c>
      <c r="V561" s="1" t="s">
        <v>77</v>
      </c>
      <c r="W561" s="1" t="s">
        <v>40</v>
      </c>
      <c r="X561" s="1" t="s">
        <v>40</v>
      </c>
      <c r="Z561" s="2">
        <v>46290</v>
      </c>
      <c r="AA561" s="1" t="s">
        <v>1767</v>
      </c>
      <c r="AB561" s="2">
        <v>46282</v>
      </c>
      <c r="AC561" s="2">
        <v>46282.555324074099</v>
      </c>
      <c r="AE561" s="1" t="s">
        <v>40</v>
      </c>
      <c r="AF561" s="1" t="s">
        <v>79</v>
      </c>
    </row>
    <row r="562" spans="1:32" ht="12.75" hidden="1" customHeight="1" x14ac:dyDescent="0.2">
      <c r="A562" s="1" t="s">
        <v>30</v>
      </c>
      <c r="B562" s="1" t="s">
        <v>1768</v>
      </c>
      <c r="C562" s="1" t="s">
        <v>71</v>
      </c>
      <c r="D562" s="1" t="s">
        <v>72</v>
      </c>
      <c r="E562" s="1" t="s">
        <v>1303</v>
      </c>
      <c r="F562" s="1" t="s">
        <v>345</v>
      </c>
      <c r="G562" s="3">
        <v>66</v>
      </c>
      <c r="H562" s="4">
        <v>1</v>
      </c>
      <c r="I562" s="5">
        <v>182.16</v>
      </c>
      <c r="J562" s="5">
        <v>0</v>
      </c>
      <c r="K562" s="1" t="s">
        <v>36</v>
      </c>
      <c r="L562" s="1" t="s">
        <v>75</v>
      </c>
      <c r="M562" s="1" t="s">
        <v>37</v>
      </c>
      <c r="N562" s="3">
        <v>66</v>
      </c>
      <c r="O562" s="6">
        <f>Table1[[#This Row],[Invoice Qty]]-Table1[[#This Row],[ExFactory Qty]]</f>
        <v>0</v>
      </c>
      <c r="P562" s="1" t="s">
        <v>1686</v>
      </c>
      <c r="Q562" s="2">
        <v>46282.640636574099</v>
      </c>
      <c r="R562" s="2">
        <v>46290</v>
      </c>
      <c r="S562" s="1" t="s">
        <v>39</v>
      </c>
      <c r="U562" s="1" t="s">
        <v>40</v>
      </c>
      <c r="V562" s="1" t="s">
        <v>77</v>
      </c>
      <c r="W562" s="1" t="s">
        <v>40</v>
      </c>
      <c r="X562" s="1" t="s">
        <v>40</v>
      </c>
      <c r="Z562" s="2">
        <v>46290</v>
      </c>
      <c r="AA562" s="1" t="s">
        <v>1769</v>
      </c>
      <c r="AB562" s="2">
        <v>46282</v>
      </c>
      <c r="AC562" s="2">
        <v>46282.555324074099</v>
      </c>
      <c r="AE562" s="1" t="s">
        <v>40</v>
      </c>
      <c r="AF562" s="1" t="s">
        <v>79</v>
      </c>
    </row>
    <row r="563" spans="1:32" ht="12.75" hidden="1" customHeight="1" x14ac:dyDescent="0.2">
      <c r="A563" s="1" t="s">
        <v>30</v>
      </c>
      <c r="B563" s="1" t="s">
        <v>1770</v>
      </c>
      <c r="C563" s="1" t="s">
        <v>71</v>
      </c>
      <c r="D563" s="1" t="s">
        <v>72</v>
      </c>
      <c r="E563" s="1" t="s">
        <v>1303</v>
      </c>
      <c r="F563" s="1" t="s">
        <v>252</v>
      </c>
      <c r="G563" s="3">
        <v>83</v>
      </c>
      <c r="H563" s="4">
        <v>2</v>
      </c>
      <c r="I563" s="5">
        <v>229.08</v>
      </c>
      <c r="J563" s="5">
        <v>0</v>
      </c>
      <c r="K563" s="1" t="s">
        <v>36</v>
      </c>
      <c r="L563" s="1" t="s">
        <v>75</v>
      </c>
      <c r="M563" s="1" t="s">
        <v>37</v>
      </c>
      <c r="N563" s="3">
        <v>83</v>
      </c>
      <c r="O563" s="6">
        <f>Table1[[#This Row],[Invoice Qty]]-Table1[[#This Row],[ExFactory Qty]]</f>
        <v>0</v>
      </c>
      <c r="P563" s="1" t="s">
        <v>1693</v>
      </c>
      <c r="Q563" s="2">
        <v>46282.643356481502</v>
      </c>
      <c r="R563" s="2">
        <v>46290</v>
      </c>
      <c r="S563" s="1" t="s">
        <v>39</v>
      </c>
      <c r="U563" s="1" t="s">
        <v>40</v>
      </c>
      <c r="V563" s="1" t="s">
        <v>77</v>
      </c>
      <c r="W563" s="1" t="s">
        <v>40</v>
      </c>
      <c r="X563" s="1" t="s">
        <v>40</v>
      </c>
      <c r="Z563" s="2">
        <v>46290</v>
      </c>
      <c r="AA563" s="1" t="s">
        <v>1771</v>
      </c>
      <c r="AB563" s="2">
        <v>46282</v>
      </c>
      <c r="AC563" s="2">
        <v>46282.555324074099</v>
      </c>
      <c r="AE563" s="1" t="s">
        <v>40</v>
      </c>
      <c r="AF563" s="1" t="s">
        <v>79</v>
      </c>
    </row>
    <row r="564" spans="1:32" ht="12.75" hidden="1" customHeight="1" x14ac:dyDescent="0.2">
      <c r="A564" s="1" t="s">
        <v>30</v>
      </c>
      <c r="B564" s="1" t="s">
        <v>1772</v>
      </c>
      <c r="C564" s="1" t="s">
        <v>71</v>
      </c>
      <c r="D564" s="1" t="s">
        <v>72</v>
      </c>
      <c r="E564" s="1" t="s">
        <v>1303</v>
      </c>
      <c r="F564" s="1" t="s">
        <v>384</v>
      </c>
      <c r="G564" s="3">
        <v>879</v>
      </c>
      <c r="H564" s="4">
        <v>16</v>
      </c>
      <c r="I564" s="5">
        <v>2426.04</v>
      </c>
      <c r="J564" s="5">
        <v>0</v>
      </c>
      <c r="K564" s="1" t="s">
        <v>36</v>
      </c>
      <c r="L564" s="1" t="s">
        <v>75</v>
      </c>
      <c r="M564" s="1" t="s">
        <v>37</v>
      </c>
      <c r="N564" s="3">
        <v>879</v>
      </c>
      <c r="O564" s="6">
        <f>Table1[[#This Row],[Invoice Qty]]-Table1[[#This Row],[ExFactory Qty]]</f>
        <v>0</v>
      </c>
      <c r="P564" s="1" t="s">
        <v>1680</v>
      </c>
      <c r="Q564" s="2">
        <v>46282.617708333302</v>
      </c>
      <c r="R564" s="2">
        <v>46288</v>
      </c>
      <c r="S564" s="1" t="s">
        <v>39</v>
      </c>
      <c r="U564" s="1" t="s">
        <v>40</v>
      </c>
      <c r="V564" s="1" t="s">
        <v>77</v>
      </c>
      <c r="W564" s="1" t="s">
        <v>40</v>
      </c>
      <c r="X564" s="1" t="s">
        <v>40</v>
      </c>
      <c r="Z564" s="2">
        <v>46288</v>
      </c>
      <c r="AA564" s="1" t="s">
        <v>1773</v>
      </c>
      <c r="AB564" s="2">
        <v>46282</v>
      </c>
      <c r="AC564" s="2">
        <v>46282.555324074099</v>
      </c>
      <c r="AE564" s="1" t="s">
        <v>40</v>
      </c>
      <c r="AF564" s="1" t="s">
        <v>79</v>
      </c>
    </row>
    <row r="565" spans="1:32" ht="12.75" hidden="1" customHeight="1" x14ac:dyDescent="0.2">
      <c r="A565" s="1" t="s">
        <v>86</v>
      </c>
      <c r="B565" s="1" t="s">
        <v>1774</v>
      </c>
      <c r="C565" s="1" t="s">
        <v>1041</v>
      </c>
      <c r="D565" s="1" t="s">
        <v>1042</v>
      </c>
      <c r="E565" s="1" t="s">
        <v>1775</v>
      </c>
      <c r="F565" s="1" t="s">
        <v>230</v>
      </c>
      <c r="G565" s="3">
        <v>8135</v>
      </c>
      <c r="H565" s="4">
        <v>363</v>
      </c>
      <c r="I565" s="5">
        <v>92498.21</v>
      </c>
      <c r="J565" s="5">
        <v>0</v>
      </c>
      <c r="K565" s="1" t="s">
        <v>36</v>
      </c>
      <c r="L565" s="1" t="s">
        <v>51</v>
      </c>
      <c r="M565" s="1" t="s">
        <v>37</v>
      </c>
      <c r="N565" s="3">
        <v>8135</v>
      </c>
      <c r="O565" s="6">
        <f>Table1[[#This Row],[Invoice Qty]]-Table1[[#This Row],[ExFactory Qty]]</f>
        <v>0</v>
      </c>
      <c r="P565" s="1" t="s">
        <v>1776</v>
      </c>
      <c r="Q565" s="2">
        <v>46281.693159722199</v>
      </c>
      <c r="S565" s="1" t="s">
        <v>39</v>
      </c>
      <c r="U565" s="1" t="s">
        <v>40</v>
      </c>
      <c r="V565" s="1" t="s">
        <v>55</v>
      </c>
      <c r="W565" s="1" t="s">
        <v>40</v>
      </c>
      <c r="X565" s="1" t="s">
        <v>40</v>
      </c>
      <c r="Z565" s="2">
        <v>46290</v>
      </c>
      <c r="AA565" s="1" t="s">
        <v>1777</v>
      </c>
      <c r="AB565" s="2">
        <v>46282</v>
      </c>
      <c r="AC565" s="2">
        <v>46282</v>
      </c>
      <c r="AE565" s="1" t="s">
        <v>40</v>
      </c>
      <c r="AF565" s="1" t="s">
        <v>43</v>
      </c>
    </row>
    <row r="566" spans="1:32" ht="12.75" hidden="1" customHeight="1" x14ac:dyDescent="0.2">
      <c r="A566" s="1" t="s">
        <v>111</v>
      </c>
      <c r="B566" s="1" t="s">
        <v>1778</v>
      </c>
      <c r="C566" s="1" t="s">
        <v>1779</v>
      </c>
      <c r="D566" s="1" t="s">
        <v>1780</v>
      </c>
      <c r="E566" s="1" t="s">
        <v>1781</v>
      </c>
      <c r="F566" s="1" t="s">
        <v>1782</v>
      </c>
      <c r="G566" s="3">
        <v>4192</v>
      </c>
      <c r="H566" s="4">
        <v>137</v>
      </c>
      <c r="I566" s="5">
        <v>10857.28</v>
      </c>
      <c r="J566" s="5">
        <v>0</v>
      </c>
      <c r="K566" s="1" t="s">
        <v>36</v>
      </c>
      <c r="L566" s="1" t="s">
        <v>51</v>
      </c>
      <c r="M566" s="1" t="s">
        <v>247</v>
      </c>
      <c r="N566" s="3">
        <v>4192</v>
      </c>
      <c r="O566" s="6">
        <f>Table1[[#This Row],[Invoice Qty]]-Table1[[#This Row],[ExFactory Qty]]</f>
        <v>0</v>
      </c>
      <c r="P566" s="1" t="s">
        <v>1783</v>
      </c>
      <c r="Q566" s="2">
        <v>46285.499895833302</v>
      </c>
      <c r="R566" s="2">
        <v>46292</v>
      </c>
      <c r="S566" s="1" t="s">
        <v>53</v>
      </c>
      <c r="T566" s="2">
        <v>46295</v>
      </c>
      <c r="U566" s="1" t="s">
        <v>1784</v>
      </c>
      <c r="V566" s="1" t="s">
        <v>55</v>
      </c>
      <c r="W566" s="1" t="s">
        <v>40</v>
      </c>
      <c r="X566" s="1" t="s">
        <v>40</v>
      </c>
      <c r="AA566" s="1" t="s">
        <v>1785</v>
      </c>
      <c r="AB566" s="2">
        <v>46283</v>
      </c>
      <c r="AC566" s="2">
        <v>46282</v>
      </c>
      <c r="AE566" s="1" t="s">
        <v>40</v>
      </c>
      <c r="AF566" s="1" t="s">
        <v>296</v>
      </c>
    </row>
    <row r="567" spans="1:32" ht="12.75" hidden="1" customHeight="1" x14ac:dyDescent="0.2">
      <c r="A567" s="1" t="s">
        <v>86</v>
      </c>
      <c r="B567" s="1" t="s">
        <v>1786</v>
      </c>
      <c r="C567" s="1" t="s">
        <v>71</v>
      </c>
      <c r="D567" s="1" t="s">
        <v>323</v>
      </c>
      <c r="E567" s="1" t="s">
        <v>604</v>
      </c>
      <c r="F567" s="1" t="s">
        <v>615</v>
      </c>
      <c r="G567" s="3">
        <v>1659</v>
      </c>
      <c r="H567" s="4">
        <v>31</v>
      </c>
      <c r="I567" s="5">
        <v>7730.94</v>
      </c>
      <c r="J567" s="5">
        <v>0</v>
      </c>
      <c r="K567" s="1" t="s">
        <v>36</v>
      </c>
      <c r="L567" s="1" t="s">
        <v>75</v>
      </c>
      <c r="M567" s="1" t="s">
        <v>75</v>
      </c>
      <c r="N567" s="3">
        <v>1659</v>
      </c>
      <c r="O567" s="6">
        <f>Table1[[#This Row],[Invoice Qty]]-Table1[[#This Row],[ExFactory Qty]]</f>
        <v>0</v>
      </c>
      <c r="P567" s="1" t="s">
        <v>1787</v>
      </c>
      <c r="Q567" s="2">
        <v>46285.685289351903</v>
      </c>
      <c r="S567" s="1" t="s">
        <v>39</v>
      </c>
      <c r="U567" s="1" t="s">
        <v>40</v>
      </c>
      <c r="V567" s="1" t="s">
        <v>77</v>
      </c>
      <c r="W567" s="1" t="s">
        <v>40</v>
      </c>
      <c r="X567" s="1" t="s">
        <v>40</v>
      </c>
      <c r="Z567" s="2">
        <v>46292</v>
      </c>
      <c r="AA567" s="1" t="s">
        <v>1788</v>
      </c>
      <c r="AB567" s="2">
        <v>46285</v>
      </c>
      <c r="AC567" s="2">
        <v>46284</v>
      </c>
      <c r="AD567" s="2">
        <v>46286</v>
      </c>
      <c r="AE567" s="1" t="s">
        <v>1789</v>
      </c>
      <c r="AF567" s="1" t="s">
        <v>326</v>
      </c>
    </row>
    <row r="568" spans="1:32" ht="12.75" hidden="1" customHeight="1" x14ac:dyDescent="0.2">
      <c r="A568" s="1" t="s">
        <v>86</v>
      </c>
      <c r="B568" s="1" t="s">
        <v>1790</v>
      </c>
      <c r="C568" s="1" t="s">
        <v>71</v>
      </c>
      <c r="D568" s="1" t="s">
        <v>348</v>
      </c>
      <c r="E568" s="1" t="s">
        <v>1545</v>
      </c>
      <c r="F568" s="1" t="s">
        <v>608</v>
      </c>
      <c r="G568" s="3">
        <v>469</v>
      </c>
      <c r="H568" s="4">
        <v>8</v>
      </c>
      <c r="I568" s="5">
        <v>2879.66</v>
      </c>
      <c r="J568" s="5">
        <v>0</v>
      </c>
      <c r="K568" s="1" t="s">
        <v>36</v>
      </c>
      <c r="L568" s="1" t="s">
        <v>75</v>
      </c>
      <c r="M568" s="1" t="s">
        <v>75</v>
      </c>
      <c r="N568" s="3">
        <v>469</v>
      </c>
      <c r="O568" s="6">
        <f>Table1[[#This Row],[Invoice Qty]]-Table1[[#This Row],[ExFactory Qty]]</f>
        <v>0</v>
      </c>
      <c r="P568" s="1" t="s">
        <v>1787</v>
      </c>
      <c r="Q568" s="2">
        <v>46285.685289351903</v>
      </c>
      <c r="S568" s="1" t="s">
        <v>39</v>
      </c>
      <c r="U568" s="1" t="s">
        <v>40</v>
      </c>
      <c r="V568" s="1" t="s">
        <v>77</v>
      </c>
      <c r="W568" s="1" t="s">
        <v>40</v>
      </c>
      <c r="X568" s="1" t="s">
        <v>40</v>
      </c>
      <c r="Z568" s="2">
        <v>46291</v>
      </c>
      <c r="AA568" s="1" t="s">
        <v>1791</v>
      </c>
      <c r="AB568" s="2">
        <v>46285</v>
      </c>
      <c r="AC568" s="2">
        <v>46284</v>
      </c>
      <c r="AE568" s="1" t="s">
        <v>40</v>
      </c>
      <c r="AF568" s="1" t="s">
        <v>326</v>
      </c>
    </row>
    <row r="569" spans="1:32" ht="12.75" hidden="1" customHeight="1" x14ac:dyDescent="0.2">
      <c r="A569" s="1" t="s">
        <v>86</v>
      </c>
      <c r="B569" s="1" t="s">
        <v>1792</v>
      </c>
      <c r="C569" s="1" t="s">
        <v>71</v>
      </c>
      <c r="D569" s="1" t="s">
        <v>348</v>
      </c>
      <c r="E569" s="1" t="s">
        <v>1545</v>
      </c>
      <c r="F569" s="1" t="s">
        <v>600</v>
      </c>
      <c r="G569" s="3">
        <v>80</v>
      </c>
      <c r="H569" s="4">
        <v>2</v>
      </c>
      <c r="I569" s="5">
        <v>491.2</v>
      </c>
      <c r="J569" s="5">
        <v>0</v>
      </c>
      <c r="K569" s="1" t="s">
        <v>36</v>
      </c>
      <c r="L569" s="1" t="s">
        <v>75</v>
      </c>
      <c r="M569" s="1" t="s">
        <v>75</v>
      </c>
      <c r="N569" s="3">
        <v>80</v>
      </c>
      <c r="O569" s="6">
        <f>Table1[[#This Row],[Invoice Qty]]-Table1[[#This Row],[ExFactory Qty]]</f>
        <v>0</v>
      </c>
      <c r="P569" s="1" t="s">
        <v>1793</v>
      </c>
      <c r="Q569" s="2">
        <v>46285.792175925897</v>
      </c>
      <c r="S569" s="1" t="s">
        <v>39</v>
      </c>
      <c r="U569" s="1" t="s">
        <v>40</v>
      </c>
      <c r="V569" s="1" t="s">
        <v>77</v>
      </c>
      <c r="W569" s="1" t="s">
        <v>40</v>
      </c>
      <c r="X569" s="1" t="s">
        <v>40</v>
      </c>
      <c r="Z569" s="2">
        <v>46292</v>
      </c>
      <c r="AA569" s="1" t="s">
        <v>1794</v>
      </c>
      <c r="AB569" s="2">
        <v>46285</v>
      </c>
      <c r="AC569" s="2">
        <v>46284.648101851897</v>
      </c>
      <c r="AE569" s="1" t="s">
        <v>40</v>
      </c>
      <c r="AF569" s="1" t="s">
        <v>326</v>
      </c>
    </row>
    <row r="570" spans="1:32" ht="12.75" hidden="1" customHeight="1" x14ac:dyDescent="0.2">
      <c r="A570" s="1" t="s">
        <v>86</v>
      </c>
      <c r="B570" s="1" t="s">
        <v>1795</v>
      </c>
      <c r="C570" s="1" t="s">
        <v>71</v>
      </c>
      <c r="D570" s="1" t="s">
        <v>323</v>
      </c>
      <c r="E570" s="1" t="s">
        <v>1549</v>
      </c>
      <c r="F570" s="1" t="s">
        <v>608</v>
      </c>
      <c r="G570" s="3">
        <v>95</v>
      </c>
      <c r="H570" s="4">
        <v>3</v>
      </c>
      <c r="I570" s="5">
        <v>442.7</v>
      </c>
      <c r="J570" s="5">
        <v>0</v>
      </c>
      <c r="K570" s="1" t="s">
        <v>36</v>
      </c>
      <c r="L570" s="1" t="s">
        <v>75</v>
      </c>
      <c r="M570" s="1" t="s">
        <v>75</v>
      </c>
      <c r="N570" s="3">
        <v>95</v>
      </c>
      <c r="O570" s="6">
        <f>Table1[[#This Row],[Invoice Qty]]-Table1[[#This Row],[ExFactory Qty]]</f>
        <v>0</v>
      </c>
      <c r="P570" s="1" t="s">
        <v>1787</v>
      </c>
      <c r="Q570" s="2">
        <v>46285.685289351903</v>
      </c>
      <c r="S570" s="1" t="s">
        <v>39</v>
      </c>
      <c r="U570" s="1" t="s">
        <v>40</v>
      </c>
      <c r="V570" s="1" t="s">
        <v>77</v>
      </c>
      <c r="W570" s="1" t="s">
        <v>40</v>
      </c>
      <c r="X570" s="1" t="s">
        <v>40</v>
      </c>
      <c r="Z570" s="2">
        <v>46291</v>
      </c>
      <c r="AA570" s="1" t="s">
        <v>1796</v>
      </c>
      <c r="AB570" s="2">
        <v>46285</v>
      </c>
      <c r="AC570" s="2">
        <v>46284</v>
      </c>
      <c r="AE570" s="1" t="s">
        <v>40</v>
      </c>
      <c r="AF570" s="1" t="s">
        <v>326</v>
      </c>
    </row>
    <row r="571" spans="1:32" ht="12.75" hidden="1" customHeight="1" x14ac:dyDescent="0.2">
      <c r="A571" s="1" t="s">
        <v>86</v>
      </c>
      <c r="B571" s="1" t="s">
        <v>1797</v>
      </c>
      <c r="C571" s="1" t="s">
        <v>71</v>
      </c>
      <c r="D571" s="1" t="s">
        <v>323</v>
      </c>
      <c r="E571" s="1" t="s">
        <v>1549</v>
      </c>
      <c r="F571" s="1" t="s">
        <v>600</v>
      </c>
      <c r="G571" s="3">
        <v>18</v>
      </c>
      <c r="H571" s="4">
        <v>1</v>
      </c>
      <c r="I571" s="5">
        <v>83.88</v>
      </c>
      <c r="J571" s="5">
        <v>0</v>
      </c>
      <c r="K571" s="1" t="s">
        <v>36</v>
      </c>
      <c r="L571" s="1" t="s">
        <v>75</v>
      </c>
      <c r="M571" s="1" t="s">
        <v>75</v>
      </c>
      <c r="N571" s="3">
        <v>18</v>
      </c>
      <c r="O571" s="6">
        <f>Table1[[#This Row],[Invoice Qty]]-Table1[[#This Row],[ExFactory Qty]]</f>
        <v>0</v>
      </c>
      <c r="P571" s="1" t="s">
        <v>1793</v>
      </c>
      <c r="Q571" s="2">
        <v>46285.792175925897</v>
      </c>
      <c r="S571" s="1" t="s">
        <v>39</v>
      </c>
      <c r="U571" s="1" t="s">
        <v>40</v>
      </c>
      <c r="V571" s="1" t="s">
        <v>77</v>
      </c>
      <c r="W571" s="1" t="s">
        <v>40</v>
      </c>
      <c r="X571" s="1" t="s">
        <v>40</v>
      </c>
      <c r="Z571" s="2">
        <v>46292</v>
      </c>
      <c r="AA571" s="1" t="s">
        <v>1798</v>
      </c>
      <c r="AB571" s="2">
        <v>46285</v>
      </c>
      <c r="AC571" s="2">
        <v>46284.648101851897</v>
      </c>
      <c r="AE571" s="1" t="s">
        <v>40</v>
      </c>
      <c r="AF571" s="1" t="s">
        <v>326</v>
      </c>
    </row>
    <row r="572" spans="1:32" ht="12.75" hidden="1" customHeight="1" x14ac:dyDescent="0.2">
      <c r="A572" s="1" t="s">
        <v>86</v>
      </c>
      <c r="B572" s="1" t="s">
        <v>1799</v>
      </c>
      <c r="C572" s="1" t="s">
        <v>71</v>
      </c>
      <c r="D572" s="1" t="s">
        <v>323</v>
      </c>
      <c r="E572" s="1" t="s">
        <v>1552</v>
      </c>
      <c r="F572" s="1" t="s">
        <v>608</v>
      </c>
      <c r="G572" s="3">
        <v>2000</v>
      </c>
      <c r="H572" s="4">
        <v>38</v>
      </c>
      <c r="I572" s="5">
        <v>9320</v>
      </c>
      <c r="J572" s="5">
        <v>0</v>
      </c>
      <c r="K572" s="1" t="s">
        <v>36</v>
      </c>
      <c r="L572" s="1" t="s">
        <v>75</v>
      </c>
      <c r="M572" s="1" t="s">
        <v>75</v>
      </c>
      <c r="N572" s="3">
        <v>2000</v>
      </c>
      <c r="O572" s="6">
        <f>Table1[[#This Row],[Invoice Qty]]-Table1[[#This Row],[ExFactory Qty]]</f>
        <v>0</v>
      </c>
      <c r="P572" s="1" t="s">
        <v>1787</v>
      </c>
      <c r="Q572" s="2">
        <v>46285.685289351903</v>
      </c>
      <c r="S572" s="1" t="s">
        <v>39</v>
      </c>
      <c r="U572" s="1" t="s">
        <v>40</v>
      </c>
      <c r="V572" s="1" t="s">
        <v>77</v>
      </c>
      <c r="W572" s="1" t="s">
        <v>40</v>
      </c>
      <c r="X572" s="1" t="s">
        <v>40</v>
      </c>
      <c r="Z572" s="2">
        <v>46291</v>
      </c>
      <c r="AA572" s="1" t="s">
        <v>1800</v>
      </c>
      <c r="AB572" s="2">
        <v>46285</v>
      </c>
      <c r="AC572" s="2">
        <v>46284</v>
      </c>
      <c r="AE572" s="1" t="s">
        <v>40</v>
      </c>
      <c r="AF572" s="1" t="s">
        <v>326</v>
      </c>
    </row>
    <row r="573" spans="1:32" ht="12.75" hidden="1" customHeight="1" x14ac:dyDescent="0.2">
      <c r="A573" s="1" t="s">
        <v>86</v>
      </c>
      <c r="B573" s="1" t="s">
        <v>1801</v>
      </c>
      <c r="C573" s="1" t="s">
        <v>71</v>
      </c>
      <c r="D573" s="1" t="s">
        <v>323</v>
      </c>
      <c r="E573" s="1" t="s">
        <v>1552</v>
      </c>
      <c r="F573" s="1" t="s">
        <v>600</v>
      </c>
      <c r="G573" s="3">
        <v>300</v>
      </c>
      <c r="H573" s="4">
        <v>8</v>
      </c>
      <c r="I573" s="5">
        <v>1398</v>
      </c>
      <c r="J573" s="5">
        <v>0</v>
      </c>
      <c r="K573" s="1" t="s">
        <v>36</v>
      </c>
      <c r="L573" s="1" t="s">
        <v>75</v>
      </c>
      <c r="M573" s="1" t="s">
        <v>75</v>
      </c>
      <c r="N573" s="3">
        <v>300</v>
      </c>
      <c r="O573" s="6">
        <f>Table1[[#This Row],[Invoice Qty]]-Table1[[#This Row],[ExFactory Qty]]</f>
        <v>0</v>
      </c>
      <c r="P573" s="1" t="s">
        <v>1793</v>
      </c>
      <c r="Q573" s="2">
        <v>46285.792175925897</v>
      </c>
      <c r="S573" s="1" t="s">
        <v>39</v>
      </c>
      <c r="U573" s="1" t="s">
        <v>40</v>
      </c>
      <c r="V573" s="1" t="s">
        <v>77</v>
      </c>
      <c r="W573" s="1" t="s">
        <v>40</v>
      </c>
      <c r="X573" s="1" t="s">
        <v>40</v>
      </c>
      <c r="Z573" s="2">
        <v>46292</v>
      </c>
      <c r="AA573" s="1" t="s">
        <v>1802</v>
      </c>
      <c r="AB573" s="2">
        <v>46285</v>
      </c>
      <c r="AC573" s="2">
        <v>46284.648101851897</v>
      </c>
      <c r="AE573" s="1" t="s">
        <v>40</v>
      </c>
      <c r="AF573" s="1" t="s">
        <v>326</v>
      </c>
    </row>
    <row r="574" spans="1:32" ht="12.75" hidden="1" customHeight="1" x14ac:dyDescent="0.2">
      <c r="A574" s="1" t="s">
        <v>86</v>
      </c>
      <c r="B574" s="1" t="s">
        <v>1803</v>
      </c>
      <c r="C574" s="1" t="s">
        <v>71</v>
      </c>
      <c r="D574" s="1" t="s">
        <v>348</v>
      </c>
      <c r="E574" s="1" t="s">
        <v>1555</v>
      </c>
      <c r="F574" s="1" t="s">
        <v>608</v>
      </c>
      <c r="G574" s="3">
        <v>506</v>
      </c>
      <c r="H574" s="4">
        <v>8</v>
      </c>
      <c r="I574" s="5">
        <v>3213.1</v>
      </c>
      <c r="J574" s="5">
        <v>0</v>
      </c>
      <c r="K574" s="1" t="s">
        <v>36</v>
      </c>
      <c r="L574" s="1" t="s">
        <v>75</v>
      </c>
      <c r="M574" s="1" t="s">
        <v>75</v>
      </c>
      <c r="N574" s="3">
        <v>506</v>
      </c>
      <c r="O574" s="6">
        <f>Table1[[#This Row],[Invoice Qty]]-Table1[[#This Row],[ExFactory Qty]]</f>
        <v>0</v>
      </c>
      <c r="P574" s="1" t="s">
        <v>1787</v>
      </c>
      <c r="Q574" s="2">
        <v>46285.685289351903</v>
      </c>
      <c r="S574" s="1" t="s">
        <v>39</v>
      </c>
      <c r="U574" s="1" t="s">
        <v>40</v>
      </c>
      <c r="V574" s="1" t="s">
        <v>77</v>
      </c>
      <c r="W574" s="1" t="s">
        <v>40</v>
      </c>
      <c r="X574" s="1" t="s">
        <v>40</v>
      </c>
      <c r="Z574" s="2">
        <v>46291</v>
      </c>
      <c r="AA574" s="1" t="s">
        <v>1804</v>
      </c>
      <c r="AB574" s="2">
        <v>46285</v>
      </c>
      <c r="AC574" s="2">
        <v>46284</v>
      </c>
      <c r="AE574" s="1" t="s">
        <v>40</v>
      </c>
      <c r="AF574" s="1" t="s">
        <v>326</v>
      </c>
    </row>
    <row r="575" spans="1:32" ht="12.75" hidden="1" customHeight="1" x14ac:dyDescent="0.2">
      <c r="A575" s="1" t="s">
        <v>86</v>
      </c>
      <c r="B575" s="1" t="s">
        <v>1805</v>
      </c>
      <c r="C575" s="1" t="s">
        <v>71</v>
      </c>
      <c r="D575" s="1" t="s">
        <v>348</v>
      </c>
      <c r="E575" s="1" t="s">
        <v>1555</v>
      </c>
      <c r="F575" s="1" t="s">
        <v>600</v>
      </c>
      <c r="G575" s="3">
        <v>86</v>
      </c>
      <c r="H575" s="4">
        <v>2</v>
      </c>
      <c r="I575" s="5">
        <v>546.1</v>
      </c>
      <c r="J575" s="5">
        <v>0</v>
      </c>
      <c r="K575" s="1" t="s">
        <v>36</v>
      </c>
      <c r="L575" s="1" t="s">
        <v>75</v>
      </c>
      <c r="M575" s="1" t="s">
        <v>75</v>
      </c>
      <c r="N575" s="3">
        <v>86</v>
      </c>
      <c r="O575" s="6">
        <f>Table1[[#This Row],[Invoice Qty]]-Table1[[#This Row],[ExFactory Qty]]</f>
        <v>0</v>
      </c>
      <c r="P575" s="1" t="s">
        <v>1793</v>
      </c>
      <c r="Q575" s="2">
        <v>46285.792175925897</v>
      </c>
      <c r="S575" s="1" t="s">
        <v>39</v>
      </c>
      <c r="U575" s="1" t="s">
        <v>40</v>
      </c>
      <c r="V575" s="1" t="s">
        <v>77</v>
      </c>
      <c r="W575" s="1" t="s">
        <v>40</v>
      </c>
      <c r="X575" s="1" t="s">
        <v>40</v>
      </c>
      <c r="Z575" s="2">
        <v>46292</v>
      </c>
      <c r="AA575" s="1" t="s">
        <v>1806</v>
      </c>
      <c r="AB575" s="2">
        <v>46285</v>
      </c>
      <c r="AC575" s="2">
        <v>46284.648101851897</v>
      </c>
      <c r="AE575" s="1" t="s">
        <v>40</v>
      </c>
      <c r="AF575" s="1" t="s">
        <v>326</v>
      </c>
    </row>
    <row r="576" spans="1:32" ht="12.75" hidden="1" customHeight="1" x14ac:dyDescent="0.2">
      <c r="A576" s="1" t="s">
        <v>86</v>
      </c>
      <c r="B576" s="1" t="s">
        <v>1807</v>
      </c>
      <c r="C576" s="1" t="s">
        <v>71</v>
      </c>
      <c r="D576" s="1" t="s">
        <v>72</v>
      </c>
      <c r="E576" s="1" t="s">
        <v>633</v>
      </c>
      <c r="F576" s="1" t="s">
        <v>605</v>
      </c>
      <c r="G576" s="3">
        <v>351</v>
      </c>
      <c r="H576" s="4">
        <v>5</v>
      </c>
      <c r="I576" s="5">
        <v>1035.45</v>
      </c>
      <c r="J576" s="5">
        <v>0</v>
      </c>
      <c r="K576" s="1" t="s">
        <v>36</v>
      </c>
      <c r="L576" s="1" t="s">
        <v>75</v>
      </c>
      <c r="M576" s="1" t="s">
        <v>75</v>
      </c>
      <c r="N576" s="3">
        <v>351</v>
      </c>
      <c r="O576" s="6">
        <f>Table1[[#This Row],[Invoice Qty]]-Table1[[#This Row],[ExFactory Qty]]</f>
        <v>0</v>
      </c>
      <c r="P576" s="1" t="s">
        <v>1793</v>
      </c>
      <c r="Q576" s="2">
        <v>46285.792175925897</v>
      </c>
      <c r="S576" s="1" t="s">
        <v>39</v>
      </c>
      <c r="U576" s="1" t="s">
        <v>40</v>
      </c>
      <c r="V576" s="1" t="s">
        <v>77</v>
      </c>
      <c r="W576" s="1" t="s">
        <v>40</v>
      </c>
      <c r="X576" s="1" t="s">
        <v>40</v>
      </c>
      <c r="AA576" s="1" t="s">
        <v>1808</v>
      </c>
      <c r="AB576" s="2">
        <v>46285</v>
      </c>
      <c r="AC576" s="2">
        <v>46284</v>
      </c>
      <c r="AE576" s="1" t="s">
        <v>40</v>
      </c>
      <c r="AF576" s="1" t="s">
        <v>79</v>
      </c>
    </row>
    <row r="577" spans="1:32" ht="12.75" hidden="1" customHeight="1" x14ac:dyDescent="0.2">
      <c r="A577" s="1" t="s">
        <v>86</v>
      </c>
      <c r="B577" s="1" t="s">
        <v>1809</v>
      </c>
      <c r="C577" s="1" t="s">
        <v>71</v>
      </c>
      <c r="D577" s="1" t="s">
        <v>72</v>
      </c>
      <c r="E577" s="1" t="s">
        <v>1132</v>
      </c>
      <c r="F577" s="1" t="s">
        <v>600</v>
      </c>
      <c r="G577" s="3">
        <v>243</v>
      </c>
      <c r="H577" s="4">
        <v>2</v>
      </c>
      <c r="I577" s="5">
        <v>517.59</v>
      </c>
      <c r="J577" s="5">
        <v>0</v>
      </c>
      <c r="K577" s="1" t="s">
        <v>36</v>
      </c>
      <c r="L577" s="1" t="s">
        <v>75</v>
      </c>
      <c r="M577" s="1" t="s">
        <v>75</v>
      </c>
      <c r="N577" s="3">
        <v>243</v>
      </c>
      <c r="O577" s="6">
        <f>Table1[[#This Row],[Invoice Qty]]-Table1[[#This Row],[ExFactory Qty]]</f>
        <v>0</v>
      </c>
      <c r="P577" s="1" t="s">
        <v>1793</v>
      </c>
      <c r="Q577" s="2">
        <v>46285.792175925897</v>
      </c>
      <c r="S577" s="1" t="s">
        <v>39</v>
      </c>
      <c r="U577" s="1" t="s">
        <v>40</v>
      </c>
      <c r="V577" s="1" t="s">
        <v>77</v>
      </c>
      <c r="W577" s="1" t="s">
        <v>40</v>
      </c>
      <c r="X577" s="1" t="s">
        <v>40</v>
      </c>
      <c r="Z577" s="2">
        <v>46292</v>
      </c>
      <c r="AA577" s="1" t="s">
        <v>1810</v>
      </c>
      <c r="AB577" s="2">
        <v>46285</v>
      </c>
      <c r="AC577" s="2">
        <v>46284.648101851897</v>
      </c>
      <c r="AE577" s="1" t="s">
        <v>40</v>
      </c>
      <c r="AF577" s="1" t="s">
        <v>79</v>
      </c>
    </row>
    <row r="578" spans="1:32" ht="12.75" hidden="1" customHeight="1" x14ac:dyDescent="0.2">
      <c r="A578" s="1" t="s">
        <v>86</v>
      </c>
      <c r="B578" s="1" t="s">
        <v>1811</v>
      </c>
      <c r="C578" s="1" t="s">
        <v>71</v>
      </c>
      <c r="D578" s="1" t="s">
        <v>323</v>
      </c>
      <c r="E578" s="1" t="s">
        <v>1812</v>
      </c>
      <c r="F578" s="1" t="s">
        <v>134</v>
      </c>
      <c r="G578" s="3">
        <v>23</v>
      </c>
      <c r="H578" s="4">
        <v>1</v>
      </c>
      <c r="I578" s="5">
        <v>73.14</v>
      </c>
      <c r="J578" s="5">
        <v>0</v>
      </c>
      <c r="K578" s="1" t="s">
        <v>36</v>
      </c>
      <c r="L578" s="1" t="s">
        <v>75</v>
      </c>
      <c r="M578" s="1" t="s">
        <v>75</v>
      </c>
      <c r="N578" s="3">
        <v>23</v>
      </c>
      <c r="O578" s="6">
        <f>Table1[[#This Row],[Invoice Qty]]-Table1[[#This Row],[ExFactory Qty]]</f>
        <v>0</v>
      </c>
      <c r="P578" s="1" t="s">
        <v>1813</v>
      </c>
      <c r="Q578" s="2">
        <v>46285.684166666702</v>
      </c>
      <c r="S578" s="1" t="s">
        <v>39</v>
      </c>
      <c r="U578" s="1" t="s">
        <v>40</v>
      </c>
      <c r="V578" s="1" t="s">
        <v>77</v>
      </c>
      <c r="W578" s="1" t="s">
        <v>40</v>
      </c>
      <c r="X578" s="1" t="s">
        <v>40</v>
      </c>
      <c r="AA578" s="1" t="s">
        <v>1814</v>
      </c>
      <c r="AB578" s="2">
        <v>46285</v>
      </c>
      <c r="AC578" s="2">
        <v>46284.648101851897</v>
      </c>
      <c r="AE578" s="1" t="s">
        <v>40</v>
      </c>
      <c r="AF578" s="1" t="s">
        <v>326</v>
      </c>
    </row>
    <row r="579" spans="1:32" ht="12.75" hidden="1" customHeight="1" x14ac:dyDescent="0.2">
      <c r="A579" s="1" t="s">
        <v>86</v>
      </c>
      <c r="B579" s="1" t="s">
        <v>1815</v>
      </c>
      <c r="C579" s="1" t="s">
        <v>71</v>
      </c>
      <c r="D579" s="1" t="s">
        <v>323</v>
      </c>
      <c r="E579" s="1" t="s">
        <v>1812</v>
      </c>
      <c r="F579" s="1" t="s">
        <v>615</v>
      </c>
      <c r="G579" s="3">
        <v>162</v>
      </c>
      <c r="H579" s="4">
        <v>4</v>
      </c>
      <c r="I579" s="5">
        <v>515.16</v>
      </c>
      <c r="J579" s="5">
        <v>0</v>
      </c>
      <c r="K579" s="1" t="s">
        <v>36</v>
      </c>
      <c r="L579" s="1" t="s">
        <v>75</v>
      </c>
      <c r="M579" s="1" t="s">
        <v>75</v>
      </c>
      <c r="N579" s="3">
        <v>162</v>
      </c>
      <c r="O579" s="6">
        <f>Table1[[#This Row],[Invoice Qty]]-Table1[[#This Row],[ExFactory Qty]]</f>
        <v>0</v>
      </c>
      <c r="P579" s="1" t="s">
        <v>1787</v>
      </c>
      <c r="Q579" s="2">
        <v>46285.685289351903</v>
      </c>
      <c r="S579" s="1" t="s">
        <v>39</v>
      </c>
      <c r="U579" s="1" t="s">
        <v>40</v>
      </c>
      <c r="V579" s="1" t="s">
        <v>77</v>
      </c>
      <c r="W579" s="1" t="s">
        <v>40</v>
      </c>
      <c r="X579" s="1" t="s">
        <v>40</v>
      </c>
      <c r="Z579" s="2">
        <v>46292</v>
      </c>
      <c r="AA579" s="1" t="s">
        <v>1816</v>
      </c>
      <c r="AB579" s="2">
        <v>46285</v>
      </c>
      <c r="AC579" s="2">
        <v>46284</v>
      </c>
      <c r="AD579" s="2">
        <v>46286</v>
      </c>
      <c r="AE579" s="1" t="s">
        <v>1817</v>
      </c>
      <c r="AF579" s="1" t="s">
        <v>326</v>
      </c>
    </row>
    <row r="580" spans="1:32" ht="12.75" hidden="1" customHeight="1" x14ac:dyDescent="0.2">
      <c r="A580" s="1" t="s">
        <v>86</v>
      </c>
      <c r="B580" s="1" t="s">
        <v>1818</v>
      </c>
      <c r="C580" s="1" t="s">
        <v>71</v>
      </c>
      <c r="D580" s="1" t="s">
        <v>72</v>
      </c>
      <c r="E580" s="1" t="s">
        <v>1162</v>
      </c>
      <c r="F580" s="1" t="s">
        <v>183</v>
      </c>
      <c r="G580" s="3">
        <v>2542</v>
      </c>
      <c r="H580" s="4">
        <v>40</v>
      </c>
      <c r="I580" s="5">
        <v>7244.7</v>
      </c>
      <c r="J580" s="5">
        <v>0</v>
      </c>
      <c r="K580" s="1" t="s">
        <v>36</v>
      </c>
      <c r="L580" s="1" t="s">
        <v>75</v>
      </c>
      <c r="M580" s="1" t="s">
        <v>75</v>
      </c>
      <c r="N580" s="3">
        <v>2542</v>
      </c>
      <c r="O580" s="6">
        <f>Table1[[#This Row],[Invoice Qty]]-Table1[[#This Row],[ExFactory Qty]]</f>
        <v>0</v>
      </c>
      <c r="P580" s="1" t="s">
        <v>1793</v>
      </c>
      <c r="Q580" s="2">
        <v>46285.792175925897</v>
      </c>
      <c r="S580" s="1" t="s">
        <v>39</v>
      </c>
      <c r="U580" s="1" t="s">
        <v>40</v>
      </c>
      <c r="V580" s="1" t="s">
        <v>77</v>
      </c>
      <c r="W580" s="1" t="s">
        <v>40</v>
      </c>
      <c r="X580" s="1" t="s">
        <v>40</v>
      </c>
      <c r="AA580" s="1" t="s">
        <v>1819</v>
      </c>
      <c r="AB580" s="2">
        <v>46285</v>
      </c>
      <c r="AC580" s="2">
        <v>46284.648101851897</v>
      </c>
      <c r="AE580" s="1" t="s">
        <v>40</v>
      </c>
      <c r="AF580" s="1" t="s">
        <v>79</v>
      </c>
    </row>
    <row r="581" spans="1:32" ht="12.75" hidden="1" customHeight="1" x14ac:dyDescent="0.2">
      <c r="A581" s="1" t="s">
        <v>86</v>
      </c>
      <c r="B581" s="1" t="s">
        <v>1820</v>
      </c>
      <c r="C581" s="1" t="s">
        <v>71</v>
      </c>
      <c r="D581" s="1" t="s">
        <v>72</v>
      </c>
      <c r="E581" s="1" t="s">
        <v>1162</v>
      </c>
      <c r="F581" s="1" t="s">
        <v>688</v>
      </c>
      <c r="G581" s="3">
        <v>257</v>
      </c>
      <c r="H581" s="4">
        <v>7</v>
      </c>
      <c r="I581" s="5">
        <v>732.45</v>
      </c>
      <c r="J581" s="5">
        <v>0</v>
      </c>
      <c r="K581" s="1" t="s">
        <v>36</v>
      </c>
      <c r="L581" s="1" t="s">
        <v>75</v>
      </c>
      <c r="M581" s="1" t="s">
        <v>75</v>
      </c>
      <c r="N581" s="3">
        <v>257</v>
      </c>
      <c r="O581" s="6">
        <f>Table1[[#This Row],[Invoice Qty]]-Table1[[#This Row],[ExFactory Qty]]</f>
        <v>0</v>
      </c>
      <c r="P581" s="1" t="s">
        <v>1787</v>
      </c>
      <c r="Q581" s="2">
        <v>46285.685289351903</v>
      </c>
      <c r="S581" s="1" t="s">
        <v>39</v>
      </c>
      <c r="U581" s="1" t="s">
        <v>40</v>
      </c>
      <c r="V581" s="1" t="s">
        <v>77</v>
      </c>
      <c r="W581" s="1" t="s">
        <v>40</v>
      </c>
      <c r="X581" s="1" t="s">
        <v>40</v>
      </c>
      <c r="Z581" s="2">
        <v>46291</v>
      </c>
      <c r="AA581" s="1" t="s">
        <v>1821</v>
      </c>
      <c r="AB581" s="2">
        <v>46285</v>
      </c>
      <c r="AC581" s="2">
        <v>46284.648101851897</v>
      </c>
      <c r="AE581" s="1" t="s">
        <v>40</v>
      </c>
      <c r="AF581" s="1" t="s">
        <v>79</v>
      </c>
    </row>
    <row r="582" spans="1:32" ht="12.75" hidden="1" customHeight="1" x14ac:dyDescent="0.2">
      <c r="A582" s="1" t="s">
        <v>86</v>
      </c>
      <c r="B582" s="1" t="s">
        <v>1822</v>
      </c>
      <c r="C582" s="1" t="s">
        <v>71</v>
      </c>
      <c r="D582" s="1" t="s">
        <v>72</v>
      </c>
      <c r="E582" s="1" t="s">
        <v>1162</v>
      </c>
      <c r="F582" s="1" t="s">
        <v>730</v>
      </c>
      <c r="G582" s="3">
        <v>4309</v>
      </c>
      <c r="H582" s="4">
        <v>68</v>
      </c>
      <c r="I582" s="5">
        <v>12280.65</v>
      </c>
      <c r="J582" s="5">
        <v>0</v>
      </c>
      <c r="K582" s="1" t="s">
        <v>36</v>
      </c>
      <c r="L582" s="1" t="s">
        <v>75</v>
      </c>
      <c r="M582" s="1" t="s">
        <v>75</v>
      </c>
      <c r="N582" s="3">
        <v>4309</v>
      </c>
      <c r="O582" s="6">
        <f>Table1[[#This Row],[Invoice Qty]]-Table1[[#This Row],[ExFactory Qty]]</f>
        <v>0</v>
      </c>
      <c r="P582" s="1" t="s">
        <v>1793</v>
      </c>
      <c r="Q582" s="2">
        <v>46285.792175925897</v>
      </c>
      <c r="S582" s="1" t="s">
        <v>39</v>
      </c>
      <c r="U582" s="1" t="s">
        <v>40</v>
      </c>
      <c r="V582" s="1" t="s">
        <v>77</v>
      </c>
      <c r="W582" s="1" t="s">
        <v>40</v>
      </c>
      <c r="X582" s="1" t="s">
        <v>40</v>
      </c>
      <c r="AA582" s="1" t="s">
        <v>1823</v>
      </c>
      <c r="AB582" s="2">
        <v>46285</v>
      </c>
      <c r="AC582" s="2">
        <v>46284.648101851897</v>
      </c>
      <c r="AE582" s="1" t="s">
        <v>40</v>
      </c>
      <c r="AF582" s="1" t="s">
        <v>79</v>
      </c>
    </row>
    <row r="583" spans="1:32" ht="12.75" hidden="1" customHeight="1" x14ac:dyDescent="0.2">
      <c r="A583" s="1" t="s">
        <v>86</v>
      </c>
      <c r="B583" s="1" t="s">
        <v>1824</v>
      </c>
      <c r="C583" s="1" t="s">
        <v>71</v>
      </c>
      <c r="D583" s="1" t="s">
        <v>72</v>
      </c>
      <c r="E583" s="1" t="s">
        <v>1162</v>
      </c>
      <c r="F583" s="1" t="s">
        <v>730</v>
      </c>
      <c r="G583" s="3">
        <v>6904</v>
      </c>
      <c r="H583" s="4">
        <v>100</v>
      </c>
      <c r="I583" s="5">
        <v>19676.400000000001</v>
      </c>
      <c r="J583" s="5">
        <v>0</v>
      </c>
      <c r="K583" s="1" t="s">
        <v>36</v>
      </c>
      <c r="L583" s="1" t="s">
        <v>75</v>
      </c>
      <c r="M583" s="1" t="s">
        <v>75</v>
      </c>
      <c r="N583" s="3">
        <v>6904</v>
      </c>
      <c r="O583" s="6">
        <f>Table1[[#This Row],[Invoice Qty]]-Table1[[#This Row],[ExFactory Qty]]</f>
        <v>0</v>
      </c>
      <c r="P583" s="1" t="s">
        <v>1793</v>
      </c>
      <c r="Q583" s="2">
        <v>46285.792175925897</v>
      </c>
      <c r="S583" s="1" t="s">
        <v>39</v>
      </c>
      <c r="U583" s="1" t="s">
        <v>40</v>
      </c>
      <c r="V583" s="1" t="s">
        <v>77</v>
      </c>
      <c r="W583" s="1" t="s">
        <v>40</v>
      </c>
      <c r="X583" s="1" t="s">
        <v>40</v>
      </c>
      <c r="AA583" s="1" t="s">
        <v>1825</v>
      </c>
      <c r="AB583" s="2">
        <v>46285</v>
      </c>
      <c r="AC583" s="2">
        <v>46284</v>
      </c>
      <c r="AE583" s="1" t="s">
        <v>40</v>
      </c>
      <c r="AF583" s="1" t="s">
        <v>79</v>
      </c>
    </row>
    <row r="584" spans="1:32" ht="12.75" hidden="1" customHeight="1" x14ac:dyDescent="0.2">
      <c r="A584" s="1" t="s">
        <v>86</v>
      </c>
      <c r="B584" s="1" t="s">
        <v>1826</v>
      </c>
      <c r="C584" s="1" t="s">
        <v>71</v>
      </c>
      <c r="D584" s="1" t="s">
        <v>457</v>
      </c>
      <c r="E584" s="1" t="s">
        <v>458</v>
      </c>
      <c r="F584" s="1" t="s">
        <v>183</v>
      </c>
      <c r="G584" s="3">
        <v>6060</v>
      </c>
      <c r="H584" s="4">
        <v>78</v>
      </c>
      <c r="I584" s="5">
        <v>25633.8</v>
      </c>
      <c r="J584" s="5">
        <v>0</v>
      </c>
      <c r="K584" s="1" t="s">
        <v>36</v>
      </c>
      <c r="L584" s="1" t="s">
        <v>75</v>
      </c>
      <c r="M584" s="1" t="s">
        <v>75</v>
      </c>
      <c r="N584" s="3">
        <v>6060</v>
      </c>
      <c r="O584" s="6">
        <f>Table1[[#This Row],[Invoice Qty]]-Table1[[#This Row],[ExFactory Qty]]</f>
        <v>0</v>
      </c>
      <c r="P584" s="1" t="s">
        <v>1827</v>
      </c>
      <c r="Q584" s="2">
        <v>46285.792175925897</v>
      </c>
      <c r="S584" s="1" t="s">
        <v>39</v>
      </c>
      <c r="U584" s="1" t="s">
        <v>40</v>
      </c>
      <c r="V584" s="1" t="s">
        <v>77</v>
      </c>
      <c r="W584" s="1" t="s">
        <v>40</v>
      </c>
      <c r="X584" s="1" t="s">
        <v>40</v>
      </c>
      <c r="AA584" s="1" t="s">
        <v>1828</v>
      </c>
      <c r="AB584" s="2">
        <v>46285</v>
      </c>
      <c r="AC584" s="2">
        <v>46284</v>
      </c>
      <c r="AE584" s="1" t="s">
        <v>40</v>
      </c>
      <c r="AF584" s="1" t="s">
        <v>326</v>
      </c>
    </row>
    <row r="585" spans="1:32" ht="12.75" hidden="1" customHeight="1" x14ac:dyDescent="0.2">
      <c r="A585" s="1" t="s">
        <v>86</v>
      </c>
      <c r="B585" s="1" t="s">
        <v>1829</v>
      </c>
      <c r="C585" s="1" t="s">
        <v>71</v>
      </c>
      <c r="D585" s="1" t="s">
        <v>457</v>
      </c>
      <c r="E585" s="1" t="s">
        <v>458</v>
      </c>
      <c r="F585" s="1" t="s">
        <v>688</v>
      </c>
      <c r="G585" s="3">
        <v>11093</v>
      </c>
      <c r="H585" s="4">
        <v>136</v>
      </c>
      <c r="I585" s="5">
        <v>46923.39</v>
      </c>
      <c r="J585" s="5">
        <v>0</v>
      </c>
      <c r="K585" s="1" t="s">
        <v>36</v>
      </c>
      <c r="L585" s="1" t="s">
        <v>75</v>
      </c>
      <c r="M585" s="1" t="s">
        <v>75</v>
      </c>
      <c r="N585" s="3">
        <v>11093</v>
      </c>
      <c r="O585" s="6">
        <f>Table1[[#This Row],[Invoice Qty]]-Table1[[#This Row],[ExFactory Qty]]</f>
        <v>0</v>
      </c>
      <c r="P585" s="1" t="s">
        <v>1787</v>
      </c>
      <c r="Q585" s="2">
        <v>46285.685289351903</v>
      </c>
      <c r="S585" s="1" t="s">
        <v>39</v>
      </c>
      <c r="U585" s="1" t="s">
        <v>40</v>
      </c>
      <c r="V585" s="1" t="s">
        <v>77</v>
      </c>
      <c r="W585" s="1" t="s">
        <v>40</v>
      </c>
      <c r="X585" s="1" t="s">
        <v>40</v>
      </c>
      <c r="Z585" s="2">
        <v>46291</v>
      </c>
      <c r="AA585" s="1" t="s">
        <v>1830</v>
      </c>
      <c r="AB585" s="2">
        <v>46285</v>
      </c>
      <c r="AC585" s="2">
        <v>46284.648101851897</v>
      </c>
      <c r="AE585" s="1" t="s">
        <v>40</v>
      </c>
      <c r="AF585" s="1" t="s">
        <v>326</v>
      </c>
    </row>
    <row r="586" spans="1:32" ht="12.75" hidden="1" customHeight="1" x14ac:dyDescent="0.2">
      <c r="A586" s="1" t="s">
        <v>86</v>
      </c>
      <c r="B586" s="1" t="s">
        <v>1831</v>
      </c>
      <c r="C586" s="1" t="s">
        <v>71</v>
      </c>
      <c r="D586" s="1" t="s">
        <v>457</v>
      </c>
      <c r="E586" s="1" t="s">
        <v>458</v>
      </c>
      <c r="F586" s="1" t="s">
        <v>730</v>
      </c>
      <c r="G586" s="3">
        <v>5519</v>
      </c>
      <c r="H586" s="4">
        <v>70</v>
      </c>
      <c r="I586" s="5">
        <v>23345.37</v>
      </c>
      <c r="J586" s="5">
        <v>0</v>
      </c>
      <c r="K586" s="1" t="s">
        <v>36</v>
      </c>
      <c r="L586" s="1" t="s">
        <v>75</v>
      </c>
      <c r="M586" s="1" t="s">
        <v>75</v>
      </c>
      <c r="N586" s="3">
        <v>5519</v>
      </c>
      <c r="O586" s="6">
        <f>Table1[[#This Row],[Invoice Qty]]-Table1[[#This Row],[ExFactory Qty]]</f>
        <v>0</v>
      </c>
      <c r="P586" s="1" t="s">
        <v>1793</v>
      </c>
      <c r="Q586" s="2">
        <v>46285.792175925897</v>
      </c>
      <c r="S586" s="1" t="s">
        <v>39</v>
      </c>
      <c r="U586" s="1" t="s">
        <v>40</v>
      </c>
      <c r="V586" s="1" t="s">
        <v>77</v>
      </c>
      <c r="W586" s="1" t="s">
        <v>40</v>
      </c>
      <c r="X586" s="1" t="s">
        <v>40</v>
      </c>
      <c r="AA586" s="1" t="s">
        <v>1832</v>
      </c>
      <c r="AB586" s="2">
        <v>46285</v>
      </c>
      <c r="AC586" s="2">
        <v>46284</v>
      </c>
      <c r="AE586" s="1" t="s">
        <v>40</v>
      </c>
      <c r="AF586" s="1" t="s">
        <v>326</v>
      </c>
    </row>
    <row r="587" spans="1:32" ht="12.75" hidden="1" customHeight="1" x14ac:dyDescent="0.2">
      <c r="A587" s="1" t="s">
        <v>86</v>
      </c>
      <c r="B587" s="1" t="s">
        <v>1833</v>
      </c>
      <c r="C587" s="1" t="s">
        <v>71</v>
      </c>
      <c r="D587" s="1" t="s">
        <v>457</v>
      </c>
      <c r="E587" s="1" t="s">
        <v>458</v>
      </c>
      <c r="F587" s="1" t="s">
        <v>730</v>
      </c>
      <c r="G587" s="3">
        <v>9229</v>
      </c>
      <c r="H587" s="4">
        <v>120</v>
      </c>
      <c r="I587" s="5">
        <v>39038.67</v>
      </c>
      <c r="J587" s="5">
        <v>0</v>
      </c>
      <c r="K587" s="1" t="s">
        <v>36</v>
      </c>
      <c r="L587" s="1" t="s">
        <v>75</v>
      </c>
      <c r="M587" s="1" t="s">
        <v>75</v>
      </c>
      <c r="N587" s="3">
        <v>9229</v>
      </c>
      <c r="O587" s="6">
        <f>Table1[[#This Row],[Invoice Qty]]-Table1[[#This Row],[ExFactory Qty]]</f>
        <v>0</v>
      </c>
      <c r="P587" s="1" t="s">
        <v>1793</v>
      </c>
      <c r="Q587" s="2">
        <v>46285.792175925897</v>
      </c>
      <c r="S587" s="1" t="s">
        <v>39</v>
      </c>
      <c r="U587" s="1" t="s">
        <v>40</v>
      </c>
      <c r="V587" s="1" t="s">
        <v>77</v>
      </c>
      <c r="W587" s="1" t="s">
        <v>40</v>
      </c>
      <c r="X587" s="1" t="s">
        <v>40</v>
      </c>
      <c r="AA587" s="1" t="s">
        <v>1834</v>
      </c>
      <c r="AB587" s="2">
        <v>46285</v>
      </c>
      <c r="AC587" s="2">
        <v>46284</v>
      </c>
      <c r="AE587" s="1" t="s">
        <v>40</v>
      </c>
      <c r="AF587" s="1" t="s">
        <v>326</v>
      </c>
    </row>
    <row r="588" spans="1:32" ht="12.75" hidden="1" customHeight="1" x14ac:dyDescent="0.2">
      <c r="A588" s="1" t="s">
        <v>86</v>
      </c>
      <c r="B588" s="1" t="s">
        <v>1835</v>
      </c>
      <c r="C588" s="1" t="s">
        <v>71</v>
      </c>
      <c r="D588" s="1" t="s">
        <v>457</v>
      </c>
      <c r="E588" s="1" t="s">
        <v>458</v>
      </c>
      <c r="F588" s="1" t="s">
        <v>269</v>
      </c>
      <c r="G588" s="3">
        <v>12929</v>
      </c>
      <c r="H588" s="4">
        <v>163</v>
      </c>
      <c r="I588" s="5">
        <v>54689.67</v>
      </c>
      <c r="J588" s="5">
        <v>0</v>
      </c>
      <c r="K588" s="1" t="s">
        <v>36</v>
      </c>
      <c r="L588" s="1" t="s">
        <v>75</v>
      </c>
      <c r="M588" s="1" t="s">
        <v>75</v>
      </c>
      <c r="N588" s="3">
        <v>12929</v>
      </c>
      <c r="O588" s="6">
        <f>Table1[[#This Row],[Invoice Qty]]-Table1[[#This Row],[ExFactory Qty]]</f>
        <v>0</v>
      </c>
      <c r="P588" s="1" t="s">
        <v>1836</v>
      </c>
      <c r="Q588" s="2">
        <v>46285.685995370397</v>
      </c>
      <c r="S588" s="1" t="s">
        <v>39</v>
      </c>
      <c r="U588" s="1" t="s">
        <v>40</v>
      </c>
      <c r="V588" s="1" t="s">
        <v>77</v>
      </c>
      <c r="W588" s="1" t="s">
        <v>40</v>
      </c>
      <c r="X588" s="1" t="s">
        <v>40</v>
      </c>
      <c r="AA588" s="1" t="s">
        <v>1837</v>
      </c>
      <c r="AB588" s="2">
        <v>46285</v>
      </c>
      <c r="AC588" s="2">
        <v>46284</v>
      </c>
      <c r="AE588" s="1" t="s">
        <v>40</v>
      </c>
      <c r="AF588" s="1" t="s">
        <v>326</v>
      </c>
    </row>
    <row r="589" spans="1:32" ht="12.75" hidden="1" customHeight="1" x14ac:dyDescent="0.2">
      <c r="A589" s="1" t="s">
        <v>86</v>
      </c>
      <c r="B589" s="1" t="s">
        <v>1838</v>
      </c>
      <c r="C589" s="1" t="s">
        <v>71</v>
      </c>
      <c r="D589" s="1" t="s">
        <v>457</v>
      </c>
      <c r="E589" s="1" t="s">
        <v>458</v>
      </c>
      <c r="F589" s="1" t="s">
        <v>269</v>
      </c>
      <c r="G589" s="3">
        <v>5217</v>
      </c>
      <c r="H589" s="4">
        <v>70</v>
      </c>
      <c r="I589" s="5">
        <v>22067.91</v>
      </c>
      <c r="J589" s="5">
        <v>0</v>
      </c>
      <c r="K589" s="1" t="s">
        <v>36</v>
      </c>
      <c r="L589" s="1" t="s">
        <v>75</v>
      </c>
      <c r="M589" s="1" t="s">
        <v>75</v>
      </c>
      <c r="N589" s="3">
        <v>5217</v>
      </c>
      <c r="O589" s="6">
        <f>Table1[[#This Row],[Invoice Qty]]-Table1[[#This Row],[ExFactory Qty]]</f>
        <v>0</v>
      </c>
      <c r="P589" s="1" t="s">
        <v>1836</v>
      </c>
      <c r="Q589" s="2">
        <v>46285.685995370397</v>
      </c>
      <c r="S589" s="1" t="s">
        <v>39</v>
      </c>
      <c r="U589" s="1" t="s">
        <v>40</v>
      </c>
      <c r="V589" s="1" t="s">
        <v>77</v>
      </c>
      <c r="W589" s="1" t="s">
        <v>40</v>
      </c>
      <c r="X589" s="1" t="s">
        <v>40</v>
      </c>
      <c r="AA589" s="1" t="s">
        <v>1839</v>
      </c>
      <c r="AB589" s="2">
        <v>46285</v>
      </c>
      <c r="AC589" s="2">
        <v>46284</v>
      </c>
      <c r="AE589" s="1" t="s">
        <v>40</v>
      </c>
      <c r="AF589" s="1" t="s">
        <v>326</v>
      </c>
    </row>
    <row r="590" spans="1:32" ht="12.75" hidden="1" customHeight="1" x14ac:dyDescent="0.2">
      <c r="A590" s="1" t="s">
        <v>86</v>
      </c>
      <c r="B590" s="1" t="s">
        <v>1840</v>
      </c>
      <c r="C590" s="1" t="s">
        <v>71</v>
      </c>
      <c r="D590" s="1" t="s">
        <v>72</v>
      </c>
      <c r="E590" s="1" t="s">
        <v>1175</v>
      </c>
      <c r="F590" s="1" t="s">
        <v>183</v>
      </c>
      <c r="G590" s="3">
        <v>74</v>
      </c>
      <c r="H590" s="4">
        <v>1</v>
      </c>
      <c r="I590" s="5">
        <v>202.76</v>
      </c>
      <c r="J590" s="5">
        <v>0</v>
      </c>
      <c r="K590" s="1" t="s">
        <v>36</v>
      </c>
      <c r="L590" s="1" t="s">
        <v>75</v>
      </c>
      <c r="M590" s="1" t="s">
        <v>75</v>
      </c>
      <c r="N590" s="3">
        <v>74</v>
      </c>
      <c r="O590" s="6">
        <f>Table1[[#This Row],[Invoice Qty]]-Table1[[#This Row],[ExFactory Qty]]</f>
        <v>0</v>
      </c>
      <c r="P590" s="1" t="s">
        <v>1793</v>
      </c>
      <c r="Q590" s="2">
        <v>46285.792175925897</v>
      </c>
      <c r="S590" s="1" t="s">
        <v>39</v>
      </c>
      <c r="U590" s="1" t="s">
        <v>40</v>
      </c>
      <c r="V590" s="1" t="s">
        <v>77</v>
      </c>
      <c r="W590" s="1" t="s">
        <v>40</v>
      </c>
      <c r="X590" s="1" t="s">
        <v>40</v>
      </c>
      <c r="AA590" s="1" t="s">
        <v>1841</v>
      </c>
      <c r="AB590" s="2">
        <v>46285</v>
      </c>
      <c r="AC590" s="2">
        <v>46284.648101851897</v>
      </c>
      <c r="AE590" s="1" t="s">
        <v>40</v>
      </c>
      <c r="AF590" s="1" t="s">
        <v>79</v>
      </c>
    </row>
    <row r="591" spans="1:32" ht="12.75" hidden="1" customHeight="1" x14ac:dyDescent="0.2">
      <c r="A591" s="1" t="s">
        <v>30</v>
      </c>
      <c r="B591" s="1" t="s">
        <v>1842</v>
      </c>
      <c r="C591" s="1" t="s">
        <v>227</v>
      </c>
      <c r="D591" s="1" t="s">
        <v>228</v>
      </c>
      <c r="E591" s="1" t="s">
        <v>1843</v>
      </c>
      <c r="F591" s="1" t="s">
        <v>230</v>
      </c>
      <c r="G591" s="3">
        <v>8578</v>
      </c>
      <c r="H591" s="4">
        <v>195</v>
      </c>
      <c r="I591" s="5">
        <v>68195.100000000006</v>
      </c>
      <c r="J591" s="5">
        <v>0</v>
      </c>
      <c r="K591" s="1" t="s">
        <v>36</v>
      </c>
      <c r="L591" s="1" t="s">
        <v>75</v>
      </c>
      <c r="M591" s="1" t="s">
        <v>75</v>
      </c>
      <c r="N591" s="3">
        <v>8578</v>
      </c>
      <c r="O591" s="6">
        <f>Table1[[#This Row],[Invoice Qty]]-Table1[[#This Row],[ExFactory Qty]]</f>
        <v>0</v>
      </c>
      <c r="P591" s="1" t="s">
        <v>1844</v>
      </c>
      <c r="Q591" s="2">
        <v>46284.620034722197</v>
      </c>
      <c r="R591" s="2">
        <v>46292</v>
      </c>
      <c r="S591" s="1" t="s">
        <v>39</v>
      </c>
      <c r="U591" s="1" t="s">
        <v>40</v>
      </c>
      <c r="V591" s="1" t="s">
        <v>64</v>
      </c>
      <c r="W591" s="1" t="s">
        <v>40</v>
      </c>
      <c r="X591" s="1" t="s">
        <v>40</v>
      </c>
      <c r="AA591" s="1" t="s">
        <v>1845</v>
      </c>
      <c r="AB591" s="2">
        <v>46285</v>
      </c>
      <c r="AC591" s="2">
        <v>46284</v>
      </c>
      <c r="AE591" s="1" t="s">
        <v>40</v>
      </c>
      <c r="AF591" s="1" t="s">
        <v>234</v>
      </c>
    </row>
    <row r="592" spans="1:32" ht="12.75" hidden="1" customHeight="1" x14ac:dyDescent="0.2">
      <c r="A592" s="1" t="s">
        <v>86</v>
      </c>
      <c r="B592" s="1" t="s">
        <v>1846</v>
      </c>
      <c r="C592" s="1" t="s">
        <v>71</v>
      </c>
      <c r="D592" s="1" t="s">
        <v>323</v>
      </c>
      <c r="E592" s="1" t="s">
        <v>1847</v>
      </c>
      <c r="F592" s="1" t="s">
        <v>605</v>
      </c>
      <c r="G592" s="3">
        <v>36</v>
      </c>
      <c r="H592" s="4">
        <v>1</v>
      </c>
      <c r="I592" s="5">
        <v>108</v>
      </c>
      <c r="J592" s="5">
        <v>0</v>
      </c>
      <c r="K592" s="1" t="s">
        <v>36</v>
      </c>
      <c r="L592" s="1" t="s">
        <v>75</v>
      </c>
      <c r="M592" s="1" t="s">
        <v>51</v>
      </c>
      <c r="N592" s="3">
        <v>36</v>
      </c>
      <c r="O592" s="6">
        <f>Table1[[#This Row],[Invoice Qty]]-Table1[[#This Row],[ExFactory Qty]]</f>
        <v>0</v>
      </c>
      <c r="P592" s="1" t="s">
        <v>1848</v>
      </c>
      <c r="Q592" s="2">
        <v>46285.384282407402</v>
      </c>
      <c r="S592" s="1" t="s">
        <v>39</v>
      </c>
      <c r="U592" s="1" t="s">
        <v>40</v>
      </c>
      <c r="V592" s="1" t="s">
        <v>77</v>
      </c>
      <c r="W592" s="1" t="s">
        <v>40</v>
      </c>
      <c r="X592" s="1" t="s">
        <v>40</v>
      </c>
      <c r="AA592" s="1" t="s">
        <v>1849</v>
      </c>
      <c r="AB592" s="2">
        <v>46285</v>
      </c>
      <c r="AC592" s="2">
        <v>46285</v>
      </c>
      <c r="AE592" s="1" t="s">
        <v>40</v>
      </c>
      <c r="AF592" s="1" t="s">
        <v>326</v>
      </c>
    </row>
    <row r="593" spans="1:32" ht="12.75" hidden="1" customHeight="1" x14ac:dyDescent="0.2">
      <c r="A593" s="1" t="s">
        <v>86</v>
      </c>
      <c r="B593" s="1" t="s">
        <v>1850</v>
      </c>
      <c r="C593" s="1" t="s">
        <v>71</v>
      </c>
      <c r="D593" s="1" t="s">
        <v>72</v>
      </c>
      <c r="E593" s="1" t="s">
        <v>1851</v>
      </c>
      <c r="F593" s="1" t="s">
        <v>713</v>
      </c>
      <c r="G593" s="3">
        <v>125</v>
      </c>
      <c r="H593" s="4">
        <v>2</v>
      </c>
      <c r="I593" s="5">
        <v>305</v>
      </c>
      <c r="J593" s="5">
        <v>0</v>
      </c>
      <c r="K593" s="1" t="s">
        <v>36</v>
      </c>
      <c r="L593" s="1" t="s">
        <v>75</v>
      </c>
      <c r="M593" s="1" t="s">
        <v>51</v>
      </c>
      <c r="N593" s="3">
        <v>125</v>
      </c>
      <c r="O593" s="6">
        <f>Table1[[#This Row],[Invoice Qty]]-Table1[[#This Row],[ExFactory Qty]]</f>
        <v>0</v>
      </c>
      <c r="P593" s="1" t="s">
        <v>1852</v>
      </c>
      <c r="Q593" s="2">
        <v>46285.3823611111</v>
      </c>
      <c r="S593" s="1" t="s">
        <v>39</v>
      </c>
      <c r="U593" s="1" t="s">
        <v>40</v>
      </c>
      <c r="V593" s="1" t="s">
        <v>77</v>
      </c>
      <c r="W593" s="1" t="s">
        <v>40</v>
      </c>
      <c r="X593" s="1" t="s">
        <v>40</v>
      </c>
      <c r="AA593" s="1" t="s">
        <v>1853</v>
      </c>
      <c r="AB593" s="2">
        <v>46285</v>
      </c>
      <c r="AC593" s="2">
        <v>46285</v>
      </c>
      <c r="AE593" s="1" t="s">
        <v>40</v>
      </c>
      <c r="AF593" s="1" t="s">
        <v>79</v>
      </c>
    </row>
    <row r="594" spans="1:32" ht="12.75" hidden="1" customHeight="1" x14ac:dyDescent="0.2">
      <c r="A594" s="1" t="s">
        <v>86</v>
      </c>
      <c r="B594" s="1" t="s">
        <v>1854</v>
      </c>
      <c r="C594" s="1" t="s">
        <v>71</v>
      </c>
      <c r="D594" s="1" t="s">
        <v>72</v>
      </c>
      <c r="E594" s="1" t="s">
        <v>1851</v>
      </c>
      <c r="F594" s="1" t="s">
        <v>1254</v>
      </c>
      <c r="G594" s="3">
        <v>25</v>
      </c>
      <c r="H594" s="4">
        <v>1</v>
      </c>
      <c r="I594" s="5">
        <v>61</v>
      </c>
      <c r="J594" s="5">
        <v>0</v>
      </c>
      <c r="K594" s="1" t="s">
        <v>36</v>
      </c>
      <c r="L594" s="1" t="s">
        <v>75</v>
      </c>
      <c r="M594" s="1" t="s">
        <v>51</v>
      </c>
      <c r="N594" s="3">
        <v>25</v>
      </c>
      <c r="O594" s="6">
        <f>Table1[[#This Row],[Invoice Qty]]-Table1[[#This Row],[ExFactory Qty]]</f>
        <v>0</v>
      </c>
      <c r="P594" s="1" t="s">
        <v>1855</v>
      </c>
      <c r="Q594" s="2">
        <v>46285.381782407399</v>
      </c>
      <c r="S594" s="1" t="s">
        <v>39</v>
      </c>
      <c r="U594" s="1" t="s">
        <v>40</v>
      </c>
      <c r="V594" s="1" t="s">
        <v>77</v>
      </c>
      <c r="W594" s="1" t="s">
        <v>40</v>
      </c>
      <c r="X594" s="1" t="s">
        <v>40</v>
      </c>
      <c r="AA594" s="1" t="s">
        <v>1856</v>
      </c>
      <c r="AB594" s="2">
        <v>46285</v>
      </c>
      <c r="AC594" s="2">
        <v>46285</v>
      </c>
      <c r="AE594" s="1" t="s">
        <v>40</v>
      </c>
      <c r="AF594" s="1" t="s">
        <v>79</v>
      </c>
    </row>
    <row r="595" spans="1:32" ht="12.75" hidden="1" customHeight="1" x14ac:dyDescent="0.2">
      <c r="A595" s="1" t="s">
        <v>86</v>
      </c>
      <c r="B595" s="1" t="s">
        <v>1857</v>
      </c>
      <c r="C595" s="1" t="s">
        <v>71</v>
      </c>
      <c r="D595" s="1" t="s">
        <v>323</v>
      </c>
      <c r="E595" s="1" t="s">
        <v>1858</v>
      </c>
      <c r="F595" s="1" t="s">
        <v>134</v>
      </c>
      <c r="G595" s="3">
        <v>10</v>
      </c>
      <c r="H595" s="4">
        <v>1</v>
      </c>
      <c r="I595" s="5">
        <v>29.5</v>
      </c>
      <c r="J595" s="5">
        <v>0</v>
      </c>
      <c r="K595" s="1" t="s">
        <v>36</v>
      </c>
      <c r="L595" s="1" t="s">
        <v>75</v>
      </c>
      <c r="M595" s="1" t="s">
        <v>51</v>
      </c>
      <c r="N595" s="3">
        <v>10</v>
      </c>
      <c r="O595" s="6">
        <f>Table1[[#This Row],[Invoice Qty]]-Table1[[#This Row],[ExFactory Qty]]</f>
        <v>0</v>
      </c>
      <c r="P595" s="1" t="s">
        <v>1855</v>
      </c>
      <c r="Q595" s="2">
        <v>46285.381782407399</v>
      </c>
      <c r="S595" s="1" t="s">
        <v>39</v>
      </c>
      <c r="U595" s="1" t="s">
        <v>40</v>
      </c>
      <c r="V595" s="1" t="s">
        <v>77</v>
      </c>
      <c r="W595" s="1" t="s">
        <v>40</v>
      </c>
      <c r="X595" s="1" t="s">
        <v>40</v>
      </c>
      <c r="AA595" s="1" t="s">
        <v>1859</v>
      </c>
      <c r="AB595" s="2">
        <v>46285</v>
      </c>
      <c r="AC595" s="2">
        <v>46285.3806944444</v>
      </c>
      <c r="AE595" s="1" t="s">
        <v>40</v>
      </c>
      <c r="AF595" s="1" t="s">
        <v>326</v>
      </c>
    </row>
    <row r="596" spans="1:32" ht="12.75" hidden="1" customHeight="1" x14ac:dyDescent="0.2">
      <c r="A596" s="1" t="s">
        <v>86</v>
      </c>
      <c r="B596" s="1" t="s">
        <v>1860</v>
      </c>
      <c r="C596" s="1" t="s">
        <v>71</v>
      </c>
      <c r="D596" s="1" t="s">
        <v>323</v>
      </c>
      <c r="E596" s="1" t="s">
        <v>1861</v>
      </c>
      <c r="F596" s="1" t="s">
        <v>269</v>
      </c>
      <c r="G596" s="3">
        <v>2420</v>
      </c>
      <c r="H596" s="4">
        <v>30</v>
      </c>
      <c r="I596" s="5">
        <v>7139</v>
      </c>
      <c r="J596" s="5">
        <v>0</v>
      </c>
      <c r="K596" s="1" t="s">
        <v>36</v>
      </c>
      <c r="L596" s="1" t="s">
        <v>75</v>
      </c>
      <c r="M596" s="1" t="s">
        <v>51</v>
      </c>
      <c r="N596" s="3">
        <v>2420</v>
      </c>
      <c r="O596" s="6">
        <f>Table1[[#This Row],[Invoice Qty]]-Table1[[#This Row],[ExFactory Qty]]</f>
        <v>0</v>
      </c>
      <c r="P596" s="1" t="s">
        <v>1862</v>
      </c>
      <c r="Q596" s="2">
        <v>46285.711539351898</v>
      </c>
      <c r="S596" s="1" t="s">
        <v>39</v>
      </c>
      <c r="U596" s="1" t="s">
        <v>40</v>
      </c>
      <c r="V596" s="1" t="s">
        <v>77</v>
      </c>
      <c r="W596" s="1" t="s">
        <v>40</v>
      </c>
      <c r="X596" s="1" t="s">
        <v>40</v>
      </c>
      <c r="AA596" s="1" t="s">
        <v>1863</v>
      </c>
      <c r="AB596" s="2">
        <v>46285</v>
      </c>
      <c r="AC596" s="2">
        <v>46285.3806944444</v>
      </c>
      <c r="AE596" s="1" t="s">
        <v>40</v>
      </c>
      <c r="AF596" s="1" t="s">
        <v>326</v>
      </c>
    </row>
    <row r="597" spans="1:32" ht="12.75" hidden="1" customHeight="1" x14ac:dyDescent="0.2">
      <c r="A597" s="1" t="s">
        <v>86</v>
      </c>
      <c r="B597" s="1" t="s">
        <v>1864</v>
      </c>
      <c r="C597" s="1" t="s">
        <v>71</v>
      </c>
      <c r="D597" s="1" t="s">
        <v>323</v>
      </c>
      <c r="E597" s="1" t="s">
        <v>1861</v>
      </c>
      <c r="F597" s="1" t="s">
        <v>269</v>
      </c>
      <c r="G597" s="3">
        <v>372</v>
      </c>
      <c r="H597" s="4">
        <v>6</v>
      </c>
      <c r="I597" s="5">
        <v>1097.4000000000001</v>
      </c>
      <c r="J597" s="5">
        <v>0</v>
      </c>
      <c r="K597" s="1" t="s">
        <v>36</v>
      </c>
      <c r="L597" s="1" t="s">
        <v>75</v>
      </c>
      <c r="M597" s="1" t="s">
        <v>51</v>
      </c>
      <c r="N597" s="3">
        <v>372</v>
      </c>
      <c r="O597" s="6">
        <f>Table1[[#This Row],[Invoice Qty]]-Table1[[#This Row],[ExFactory Qty]]</f>
        <v>0</v>
      </c>
      <c r="P597" s="1" t="s">
        <v>1862</v>
      </c>
      <c r="Q597" s="2">
        <v>46285.711539351898</v>
      </c>
      <c r="S597" s="1" t="s">
        <v>39</v>
      </c>
      <c r="U597" s="1" t="s">
        <v>40</v>
      </c>
      <c r="V597" s="1" t="s">
        <v>77</v>
      </c>
      <c r="W597" s="1" t="s">
        <v>40</v>
      </c>
      <c r="X597" s="1" t="s">
        <v>40</v>
      </c>
      <c r="AA597" s="1" t="s">
        <v>1865</v>
      </c>
      <c r="AB597" s="2">
        <v>46285</v>
      </c>
      <c r="AC597" s="2">
        <v>46285.3806944444</v>
      </c>
      <c r="AE597" s="1" t="s">
        <v>40</v>
      </c>
      <c r="AF597" s="1" t="s">
        <v>326</v>
      </c>
    </row>
    <row r="598" spans="1:32" ht="12.75" hidden="1" customHeight="1" x14ac:dyDescent="0.2">
      <c r="A598" s="1" t="s">
        <v>86</v>
      </c>
      <c r="B598" s="1" t="s">
        <v>1866</v>
      </c>
      <c r="C598" s="1" t="s">
        <v>71</v>
      </c>
      <c r="D598" s="1" t="s">
        <v>323</v>
      </c>
      <c r="E598" s="1" t="s">
        <v>1867</v>
      </c>
      <c r="F598" s="1" t="s">
        <v>735</v>
      </c>
      <c r="G598" s="3">
        <v>75</v>
      </c>
      <c r="H598" s="4">
        <v>1</v>
      </c>
      <c r="I598" s="5">
        <v>221.25</v>
      </c>
      <c r="J598" s="5">
        <v>0</v>
      </c>
      <c r="K598" s="1" t="s">
        <v>36</v>
      </c>
      <c r="L598" s="1" t="s">
        <v>75</v>
      </c>
      <c r="M598" s="1" t="s">
        <v>51</v>
      </c>
      <c r="N598" s="3">
        <v>75</v>
      </c>
      <c r="O598" s="6">
        <f>Table1[[#This Row],[Invoice Qty]]-Table1[[#This Row],[ExFactory Qty]]</f>
        <v>0</v>
      </c>
      <c r="P598" s="1" t="s">
        <v>1855</v>
      </c>
      <c r="Q598" s="2">
        <v>46285.381782407399</v>
      </c>
      <c r="S598" s="1" t="s">
        <v>39</v>
      </c>
      <c r="U598" s="1" t="s">
        <v>40</v>
      </c>
      <c r="V598" s="1" t="s">
        <v>77</v>
      </c>
      <c r="W598" s="1" t="s">
        <v>40</v>
      </c>
      <c r="X598" s="1" t="s">
        <v>40</v>
      </c>
      <c r="AA598" s="1" t="s">
        <v>1868</v>
      </c>
      <c r="AB598" s="2">
        <v>46285</v>
      </c>
      <c r="AC598" s="2">
        <v>46285.3806944444</v>
      </c>
      <c r="AE598" s="1" t="s">
        <v>40</v>
      </c>
      <c r="AF598" s="1" t="s">
        <v>326</v>
      </c>
    </row>
    <row r="599" spans="1:32" ht="12.75" hidden="1" customHeight="1" x14ac:dyDescent="0.2">
      <c r="A599" s="1" t="s">
        <v>86</v>
      </c>
      <c r="B599" s="1" t="s">
        <v>1869</v>
      </c>
      <c r="C599" s="1" t="s">
        <v>71</v>
      </c>
      <c r="D599" s="1" t="s">
        <v>457</v>
      </c>
      <c r="E599" s="1" t="s">
        <v>1215</v>
      </c>
      <c r="F599" s="1" t="s">
        <v>183</v>
      </c>
      <c r="G599" s="3">
        <v>1256</v>
      </c>
      <c r="H599" s="4">
        <v>18</v>
      </c>
      <c r="I599" s="5">
        <v>3805.68</v>
      </c>
      <c r="J599" s="5">
        <v>0</v>
      </c>
      <c r="K599" s="1" t="s">
        <v>36</v>
      </c>
      <c r="L599" s="1" t="s">
        <v>75</v>
      </c>
      <c r="M599" s="1" t="s">
        <v>51</v>
      </c>
      <c r="N599" s="3">
        <v>1256</v>
      </c>
      <c r="O599" s="6">
        <f>Table1[[#This Row],[Invoice Qty]]-Table1[[#This Row],[ExFactory Qty]]</f>
        <v>0</v>
      </c>
      <c r="P599" s="1" t="s">
        <v>1848</v>
      </c>
      <c r="Q599" s="2">
        <v>46285.384282407402</v>
      </c>
      <c r="S599" s="1" t="s">
        <v>39</v>
      </c>
      <c r="U599" s="1" t="s">
        <v>40</v>
      </c>
      <c r="V599" s="1" t="s">
        <v>77</v>
      </c>
      <c r="W599" s="1" t="s">
        <v>40</v>
      </c>
      <c r="X599" s="1" t="s">
        <v>40</v>
      </c>
      <c r="AA599" s="1" t="s">
        <v>1870</v>
      </c>
      <c r="AB599" s="2">
        <v>46285</v>
      </c>
      <c r="AC599" s="2">
        <v>46285.3806944444</v>
      </c>
      <c r="AE599" s="1" t="s">
        <v>40</v>
      </c>
      <c r="AF599" s="1" t="s">
        <v>326</v>
      </c>
    </row>
    <row r="600" spans="1:32" ht="12.75" hidden="1" customHeight="1" x14ac:dyDescent="0.2">
      <c r="A600" s="1" t="s">
        <v>86</v>
      </c>
      <c r="B600" s="1" t="s">
        <v>1871</v>
      </c>
      <c r="C600" s="1" t="s">
        <v>71</v>
      </c>
      <c r="D600" s="1" t="s">
        <v>457</v>
      </c>
      <c r="E600" s="1" t="s">
        <v>1215</v>
      </c>
      <c r="F600" s="1" t="s">
        <v>730</v>
      </c>
      <c r="G600" s="3">
        <v>176</v>
      </c>
      <c r="H600" s="4">
        <v>4</v>
      </c>
      <c r="I600" s="5">
        <v>533.28</v>
      </c>
      <c r="J600" s="5">
        <v>0</v>
      </c>
      <c r="K600" s="1" t="s">
        <v>36</v>
      </c>
      <c r="L600" s="1" t="s">
        <v>75</v>
      </c>
      <c r="M600" s="1" t="s">
        <v>51</v>
      </c>
      <c r="N600" s="3">
        <v>176</v>
      </c>
      <c r="O600" s="6">
        <f>Table1[[#This Row],[Invoice Qty]]-Table1[[#This Row],[ExFactory Qty]]</f>
        <v>0</v>
      </c>
      <c r="P600" s="1" t="s">
        <v>1848</v>
      </c>
      <c r="Q600" s="2">
        <v>46285.384282407402</v>
      </c>
      <c r="S600" s="1" t="s">
        <v>39</v>
      </c>
      <c r="U600" s="1" t="s">
        <v>40</v>
      </c>
      <c r="V600" s="1" t="s">
        <v>77</v>
      </c>
      <c r="W600" s="1" t="s">
        <v>40</v>
      </c>
      <c r="X600" s="1" t="s">
        <v>40</v>
      </c>
      <c r="AA600" s="1" t="s">
        <v>1872</v>
      </c>
      <c r="AB600" s="2">
        <v>46285</v>
      </c>
      <c r="AC600" s="2">
        <v>46285.3806944444</v>
      </c>
      <c r="AE600" s="1" t="s">
        <v>40</v>
      </c>
      <c r="AF600" s="1" t="s">
        <v>326</v>
      </c>
    </row>
    <row r="601" spans="1:32" ht="12.75" hidden="1" customHeight="1" x14ac:dyDescent="0.2">
      <c r="A601" s="1" t="s">
        <v>86</v>
      </c>
      <c r="B601" s="1" t="s">
        <v>1873</v>
      </c>
      <c r="C601" s="1" t="s">
        <v>71</v>
      </c>
      <c r="D601" s="1" t="s">
        <v>457</v>
      </c>
      <c r="E601" s="1" t="s">
        <v>1215</v>
      </c>
      <c r="F601" s="1" t="s">
        <v>730</v>
      </c>
      <c r="G601" s="3">
        <v>2044</v>
      </c>
      <c r="H601" s="4">
        <v>25</v>
      </c>
      <c r="I601" s="5">
        <v>6193.32</v>
      </c>
      <c r="J601" s="5">
        <v>0</v>
      </c>
      <c r="K601" s="1" t="s">
        <v>36</v>
      </c>
      <c r="L601" s="1" t="s">
        <v>75</v>
      </c>
      <c r="M601" s="1" t="s">
        <v>51</v>
      </c>
      <c r="N601" s="3">
        <v>2044</v>
      </c>
      <c r="O601" s="6">
        <f>Table1[[#This Row],[Invoice Qty]]-Table1[[#This Row],[ExFactory Qty]]</f>
        <v>0</v>
      </c>
      <c r="P601" s="1" t="s">
        <v>1848</v>
      </c>
      <c r="Q601" s="2">
        <v>46285.384282407402</v>
      </c>
      <c r="S601" s="1" t="s">
        <v>39</v>
      </c>
      <c r="U601" s="1" t="s">
        <v>40</v>
      </c>
      <c r="V601" s="1" t="s">
        <v>77</v>
      </c>
      <c r="W601" s="1" t="s">
        <v>40</v>
      </c>
      <c r="X601" s="1" t="s">
        <v>40</v>
      </c>
      <c r="AA601" s="1" t="s">
        <v>1874</v>
      </c>
      <c r="AB601" s="2">
        <v>46285</v>
      </c>
      <c r="AC601" s="2">
        <v>46285.3806944444</v>
      </c>
      <c r="AE601" s="1" t="s">
        <v>40</v>
      </c>
      <c r="AF601" s="1" t="s">
        <v>326</v>
      </c>
    </row>
    <row r="602" spans="1:32" ht="12.75" hidden="1" customHeight="1" x14ac:dyDescent="0.2">
      <c r="A602" s="1" t="s">
        <v>86</v>
      </c>
      <c r="B602" s="1" t="s">
        <v>1875</v>
      </c>
      <c r="C602" s="1" t="s">
        <v>71</v>
      </c>
      <c r="D602" s="1" t="s">
        <v>457</v>
      </c>
      <c r="E602" s="1" t="s">
        <v>1215</v>
      </c>
      <c r="F602" s="1" t="s">
        <v>688</v>
      </c>
      <c r="G602" s="3">
        <v>293</v>
      </c>
      <c r="H602" s="4">
        <v>4</v>
      </c>
      <c r="I602" s="5">
        <v>887.79</v>
      </c>
      <c r="J602" s="5">
        <v>0</v>
      </c>
      <c r="K602" s="1" t="s">
        <v>36</v>
      </c>
      <c r="L602" s="1" t="s">
        <v>75</v>
      </c>
      <c r="M602" s="1" t="s">
        <v>51</v>
      </c>
      <c r="N602" s="3">
        <v>293</v>
      </c>
      <c r="O602" s="6">
        <f>Table1[[#This Row],[Invoice Qty]]-Table1[[#This Row],[ExFactory Qty]]</f>
        <v>0</v>
      </c>
      <c r="P602" s="1" t="s">
        <v>1852</v>
      </c>
      <c r="Q602" s="2">
        <v>46285.3823611111</v>
      </c>
      <c r="S602" s="1" t="s">
        <v>39</v>
      </c>
      <c r="U602" s="1" t="s">
        <v>40</v>
      </c>
      <c r="V602" s="1" t="s">
        <v>77</v>
      </c>
      <c r="W602" s="1" t="s">
        <v>40</v>
      </c>
      <c r="X602" s="1" t="s">
        <v>40</v>
      </c>
      <c r="Z602" s="2">
        <v>46291</v>
      </c>
      <c r="AA602" s="1" t="s">
        <v>1876</v>
      </c>
      <c r="AB602" s="2">
        <v>46285</v>
      </c>
      <c r="AC602" s="2">
        <v>46285.3806944444</v>
      </c>
      <c r="AE602" s="1" t="s">
        <v>40</v>
      </c>
      <c r="AF602" s="1" t="s">
        <v>326</v>
      </c>
    </row>
    <row r="603" spans="1:32" ht="12.75" hidden="1" customHeight="1" x14ac:dyDescent="0.2">
      <c r="A603" s="1" t="s">
        <v>86</v>
      </c>
      <c r="B603" s="1" t="s">
        <v>1877</v>
      </c>
      <c r="C603" s="1" t="s">
        <v>71</v>
      </c>
      <c r="D603" s="1" t="s">
        <v>457</v>
      </c>
      <c r="E603" s="1" t="s">
        <v>1224</v>
      </c>
      <c r="F603" s="1" t="s">
        <v>183</v>
      </c>
      <c r="G603" s="3">
        <v>288</v>
      </c>
      <c r="H603" s="4">
        <v>6</v>
      </c>
      <c r="I603" s="5">
        <v>869.76</v>
      </c>
      <c r="J603" s="5">
        <v>0</v>
      </c>
      <c r="K603" s="1" t="s">
        <v>36</v>
      </c>
      <c r="L603" s="1" t="s">
        <v>75</v>
      </c>
      <c r="M603" s="1" t="s">
        <v>51</v>
      </c>
      <c r="N603" s="3">
        <v>288</v>
      </c>
      <c r="O603" s="6">
        <f>Table1[[#This Row],[Invoice Qty]]-Table1[[#This Row],[ExFactory Qty]]</f>
        <v>0</v>
      </c>
      <c r="P603" s="1" t="s">
        <v>1848</v>
      </c>
      <c r="Q603" s="2">
        <v>46285.384282407402</v>
      </c>
      <c r="S603" s="1" t="s">
        <v>39</v>
      </c>
      <c r="U603" s="1" t="s">
        <v>40</v>
      </c>
      <c r="V603" s="1" t="s">
        <v>77</v>
      </c>
      <c r="W603" s="1" t="s">
        <v>40</v>
      </c>
      <c r="X603" s="1" t="s">
        <v>40</v>
      </c>
      <c r="AA603" s="1" t="s">
        <v>1878</v>
      </c>
      <c r="AB603" s="2">
        <v>46285</v>
      </c>
      <c r="AC603" s="2">
        <v>46285.3806944444</v>
      </c>
      <c r="AE603" s="1" t="s">
        <v>40</v>
      </c>
      <c r="AF603" s="1" t="s">
        <v>326</v>
      </c>
    </row>
    <row r="604" spans="1:32" ht="12.75" hidden="1" customHeight="1" x14ac:dyDescent="0.2">
      <c r="A604" s="1" t="s">
        <v>86</v>
      </c>
      <c r="B604" s="1" t="s">
        <v>1879</v>
      </c>
      <c r="C604" s="1" t="s">
        <v>71</v>
      </c>
      <c r="D604" s="1" t="s">
        <v>457</v>
      </c>
      <c r="E604" s="1" t="s">
        <v>1224</v>
      </c>
      <c r="F604" s="1" t="s">
        <v>384</v>
      </c>
      <c r="G604" s="3">
        <v>320</v>
      </c>
      <c r="H604" s="4">
        <v>7</v>
      </c>
      <c r="I604" s="5">
        <v>966.4</v>
      </c>
      <c r="J604" s="5">
        <v>0</v>
      </c>
      <c r="K604" s="1" t="s">
        <v>36</v>
      </c>
      <c r="L604" s="1" t="s">
        <v>75</v>
      </c>
      <c r="M604" s="1" t="s">
        <v>51</v>
      </c>
      <c r="N604" s="3">
        <v>320</v>
      </c>
      <c r="O604" s="6">
        <f>Table1[[#This Row],[Invoice Qty]]-Table1[[#This Row],[ExFactory Qty]]</f>
        <v>0</v>
      </c>
      <c r="P604" s="1" t="s">
        <v>1852</v>
      </c>
      <c r="Q604" s="2">
        <v>46285.3823611111</v>
      </c>
      <c r="S604" s="1" t="s">
        <v>39</v>
      </c>
      <c r="U604" s="1" t="s">
        <v>40</v>
      </c>
      <c r="V604" s="1" t="s">
        <v>77</v>
      </c>
      <c r="W604" s="1" t="s">
        <v>40</v>
      </c>
      <c r="X604" s="1" t="s">
        <v>40</v>
      </c>
      <c r="AA604" s="1" t="s">
        <v>1880</v>
      </c>
      <c r="AB604" s="2">
        <v>46285</v>
      </c>
      <c r="AC604" s="2">
        <v>46285.3806944444</v>
      </c>
      <c r="AE604" s="1" t="s">
        <v>40</v>
      </c>
      <c r="AF604" s="1" t="s">
        <v>326</v>
      </c>
    </row>
    <row r="605" spans="1:32" ht="12.75" hidden="1" customHeight="1" x14ac:dyDescent="0.2">
      <c r="A605" s="1" t="s">
        <v>86</v>
      </c>
      <c r="B605" s="1" t="s">
        <v>1881</v>
      </c>
      <c r="C605" s="1" t="s">
        <v>71</v>
      </c>
      <c r="D605" s="1" t="s">
        <v>457</v>
      </c>
      <c r="E605" s="1" t="s">
        <v>1224</v>
      </c>
      <c r="F605" s="1" t="s">
        <v>252</v>
      </c>
      <c r="G605" s="3">
        <v>98</v>
      </c>
      <c r="H605" s="4">
        <v>2</v>
      </c>
      <c r="I605" s="5">
        <v>295.95999999999998</v>
      </c>
      <c r="J605" s="5">
        <v>0</v>
      </c>
      <c r="K605" s="1" t="s">
        <v>36</v>
      </c>
      <c r="L605" s="1" t="s">
        <v>75</v>
      </c>
      <c r="M605" s="1" t="s">
        <v>51</v>
      </c>
      <c r="N605" s="3">
        <v>98</v>
      </c>
      <c r="O605" s="6">
        <f>Table1[[#This Row],[Invoice Qty]]-Table1[[#This Row],[ExFactory Qty]]</f>
        <v>0</v>
      </c>
      <c r="P605" s="1" t="s">
        <v>1848</v>
      </c>
      <c r="Q605" s="2">
        <v>46285.384282407402</v>
      </c>
      <c r="S605" s="1" t="s">
        <v>39</v>
      </c>
      <c r="U605" s="1" t="s">
        <v>40</v>
      </c>
      <c r="V605" s="1" t="s">
        <v>77</v>
      </c>
      <c r="W605" s="1" t="s">
        <v>40</v>
      </c>
      <c r="X605" s="1" t="s">
        <v>40</v>
      </c>
      <c r="AA605" s="1" t="s">
        <v>1882</v>
      </c>
      <c r="AB605" s="2">
        <v>46285</v>
      </c>
      <c r="AC605" s="2">
        <v>46285.3806944444</v>
      </c>
      <c r="AE605" s="1" t="s">
        <v>40</v>
      </c>
      <c r="AF605" s="1" t="s">
        <v>326</v>
      </c>
    </row>
    <row r="606" spans="1:32" ht="12.75" hidden="1" customHeight="1" x14ac:dyDescent="0.2">
      <c r="A606" s="1" t="s">
        <v>86</v>
      </c>
      <c r="B606" s="1" t="s">
        <v>1883</v>
      </c>
      <c r="C606" s="1" t="s">
        <v>71</v>
      </c>
      <c r="D606" s="1" t="s">
        <v>457</v>
      </c>
      <c r="E606" s="1" t="s">
        <v>1884</v>
      </c>
      <c r="F606" s="1" t="s">
        <v>658</v>
      </c>
      <c r="G606" s="3">
        <v>128</v>
      </c>
      <c r="H606" s="4">
        <v>3</v>
      </c>
      <c r="I606" s="5">
        <v>387.84</v>
      </c>
      <c r="J606" s="5">
        <v>0</v>
      </c>
      <c r="K606" s="1" t="s">
        <v>36</v>
      </c>
      <c r="L606" s="1" t="s">
        <v>75</v>
      </c>
      <c r="M606" s="1" t="s">
        <v>51</v>
      </c>
      <c r="N606" s="3">
        <v>128</v>
      </c>
      <c r="O606" s="6">
        <f>Table1[[#This Row],[Invoice Qty]]-Table1[[#This Row],[ExFactory Qty]]</f>
        <v>0</v>
      </c>
      <c r="P606" s="1" t="s">
        <v>1852</v>
      </c>
      <c r="Q606" s="2">
        <v>46285.3823611111</v>
      </c>
      <c r="S606" s="1" t="s">
        <v>39</v>
      </c>
      <c r="U606" s="1" t="s">
        <v>40</v>
      </c>
      <c r="V606" s="1" t="s">
        <v>77</v>
      </c>
      <c r="W606" s="1" t="s">
        <v>40</v>
      </c>
      <c r="X606" s="1" t="s">
        <v>40</v>
      </c>
      <c r="Z606" s="2">
        <v>46291</v>
      </c>
      <c r="AA606" s="1" t="s">
        <v>1885</v>
      </c>
      <c r="AB606" s="2">
        <v>46285</v>
      </c>
      <c r="AC606" s="2">
        <v>46285.3806944444</v>
      </c>
      <c r="AE606" s="1" t="s">
        <v>40</v>
      </c>
      <c r="AF606" s="1" t="s">
        <v>326</v>
      </c>
    </row>
    <row r="607" spans="1:32" ht="12.75" hidden="1" customHeight="1" x14ac:dyDescent="0.2">
      <c r="A607" s="1" t="s">
        <v>86</v>
      </c>
      <c r="B607" s="1" t="s">
        <v>1886</v>
      </c>
      <c r="C607" s="1" t="s">
        <v>71</v>
      </c>
      <c r="D607" s="1" t="s">
        <v>457</v>
      </c>
      <c r="E607" s="1" t="s">
        <v>1215</v>
      </c>
      <c r="F607" s="1" t="s">
        <v>759</v>
      </c>
      <c r="G607" s="3">
        <v>2334</v>
      </c>
      <c r="H607" s="4">
        <v>30</v>
      </c>
      <c r="I607" s="5">
        <v>7072.02</v>
      </c>
      <c r="J607" s="5">
        <v>0</v>
      </c>
      <c r="K607" s="1" t="s">
        <v>36</v>
      </c>
      <c r="L607" s="1" t="s">
        <v>75</v>
      </c>
      <c r="M607" s="1" t="s">
        <v>51</v>
      </c>
      <c r="N607" s="3">
        <v>2334</v>
      </c>
      <c r="O607" s="6">
        <f>Table1[[#This Row],[Invoice Qty]]-Table1[[#This Row],[ExFactory Qty]]</f>
        <v>0</v>
      </c>
      <c r="P607" s="1" t="s">
        <v>1855</v>
      </c>
      <c r="Q607" s="2">
        <v>46285.381782407399</v>
      </c>
      <c r="S607" s="1" t="s">
        <v>39</v>
      </c>
      <c r="U607" s="1" t="s">
        <v>40</v>
      </c>
      <c r="V607" s="1" t="s">
        <v>77</v>
      </c>
      <c r="W607" s="1" t="s">
        <v>40</v>
      </c>
      <c r="X607" s="1" t="s">
        <v>40</v>
      </c>
      <c r="AA607" s="1" t="s">
        <v>1887</v>
      </c>
      <c r="AB607" s="2">
        <v>46285</v>
      </c>
      <c r="AC607" s="2">
        <v>46285</v>
      </c>
      <c r="AE607" s="1" t="s">
        <v>40</v>
      </c>
      <c r="AF607" s="1" t="s">
        <v>326</v>
      </c>
    </row>
    <row r="608" spans="1:32" ht="12.75" hidden="1" customHeight="1" x14ac:dyDescent="0.2">
      <c r="A608" s="1" t="s">
        <v>86</v>
      </c>
      <c r="B608" s="1" t="s">
        <v>1888</v>
      </c>
      <c r="C608" s="1" t="s">
        <v>71</v>
      </c>
      <c r="D608" s="1" t="s">
        <v>72</v>
      </c>
      <c r="E608" s="1" t="s">
        <v>1162</v>
      </c>
      <c r="F608" s="1" t="s">
        <v>759</v>
      </c>
      <c r="G608" s="3">
        <v>3728</v>
      </c>
      <c r="H608" s="4">
        <v>58</v>
      </c>
      <c r="I608" s="5">
        <v>10624.8</v>
      </c>
      <c r="J608" s="5">
        <v>0</v>
      </c>
      <c r="K608" s="1" t="s">
        <v>36</v>
      </c>
      <c r="L608" s="1" t="s">
        <v>75</v>
      </c>
      <c r="M608" s="1" t="s">
        <v>75</v>
      </c>
      <c r="N608" s="3">
        <v>3728</v>
      </c>
      <c r="O608" s="6">
        <f>Table1[[#This Row],[Invoice Qty]]-Table1[[#This Row],[ExFactory Qty]]</f>
        <v>0</v>
      </c>
      <c r="P608" s="1" t="s">
        <v>1813</v>
      </c>
      <c r="Q608" s="2">
        <v>46285.684166666702</v>
      </c>
      <c r="S608" s="1" t="s">
        <v>39</v>
      </c>
      <c r="U608" s="1" t="s">
        <v>40</v>
      </c>
      <c r="V608" s="1" t="s">
        <v>77</v>
      </c>
      <c r="W608" s="1" t="s">
        <v>40</v>
      </c>
      <c r="X608" s="1" t="s">
        <v>40</v>
      </c>
      <c r="AA608" s="1" t="s">
        <v>1889</v>
      </c>
      <c r="AB608" s="2">
        <v>46285</v>
      </c>
      <c r="AC608" s="2">
        <v>46285</v>
      </c>
      <c r="AE608" s="1" t="s">
        <v>40</v>
      </c>
      <c r="AF608" s="1" t="s">
        <v>79</v>
      </c>
    </row>
    <row r="609" spans="1:32" ht="12.75" hidden="1" customHeight="1" x14ac:dyDescent="0.2">
      <c r="A609" s="1" t="s">
        <v>86</v>
      </c>
      <c r="B609" s="1" t="s">
        <v>1890</v>
      </c>
      <c r="C609" s="1" t="s">
        <v>71</v>
      </c>
      <c r="D609" s="1" t="s">
        <v>457</v>
      </c>
      <c r="E609" s="1" t="s">
        <v>458</v>
      </c>
      <c r="F609" s="1" t="s">
        <v>759</v>
      </c>
      <c r="G609" s="3">
        <v>6386</v>
      </c>
      <c r="H609" s="4">
        <v>83</v>
      </c>
      <c r="I609" s="5">
        <v>27012.78</v>
      </c>
      <c r="J609" s="5">
        <v>0</v>
      </c>
      <c r="K609" s="1" t="s">
        <v>36</v>
      </c>
      <c r="L609" s="1" t="s">
        <v>75</v>
      </c>
      <c r="M609" s="1" t="s">
        <v>75</v>
      </c>
      <c r="N609" s="3">
        <v>6386</v>
      </c>
      <c r="O609" s="6">
        <f>Table1[[#This Row],[Invoice Qty]]-Table1[[#This Row],[ExFactory Qty]]</f>
        <v>0</v>
      </c>
      <c r="P609" s="1" t="s">
        <v>1813</v>
      </c>
      <c r="Q609" s="2">
        <v>46285.684166666702</v>
      </c>
      <c r="S609" s="1" t="s">
        <v>39</v>
      </c>
      <c r="U609" s="1" t="s">
        <v>40</v>
      </c>
      <c r="V609" s="1" t="s">
        <v>77</v>
      </c>
      <c r="W609" s="1" t="s">
        <v>40</v>
      </c>
      <c r="X609" s="1" t="s">
        <v>40</v>
      </c>
      <c r="AA609" s="1" t="s">
        <v>1891</v>
      </c>
      <c r="AB609" s="2">
        <v>46285</v>
      </c>
      <c r="AC609" s="2">
        <v>46285</v>
      </c>
      <c r="AE609" s="1" t="s">
        <v>40</v>
      </c>
      <c r="AF609" s="1" t="s">
        <v>326</v>
      </c>
    </row>
    <row r="610" spans="1:32" ht="12.75" hidden="1" customHeight="1" x14ac:dyDescent="0.2">
      <c r="A610" s="1" t="s">
        <v>86</v>
      </c>
      <c r="B610" s="1" t="s">
        <v>1892</v>
      </c>
      <c r="C610" s="1" t="s">
        <v>71</v>
      </c>
      <c r="D610" s="1" t="s">
        <v>72</v>
      </c>
      <c r="E610" s="1" t="s">
        <v>1175</v>
      </c>
      <c r="F610" s="1" t="s">
        <v>759</v>
      </c>
      <c r="G610" s="3">
        <v>93</v>
      </c>
      <c r="H610" s="4">
        <v>1</v>
      </c>
      <c r="I610" s="5">
        <v>254.82</v>
      </c>
      <c r="J610" s="5">
        <v>0</v>
      </c>
      <c r="K610" s="1" t="s">
        <v>36</v>
      </c>
      <c r="L610" s="1" t="s">
        <v>75</v>
      </c>
      <c r="M610" s="1" t="s">
        <v>75</v>
      </c>
      <c r="N610" s="3">
        <v>93</v>
      </c>
      <c r="O610" s="6">
        <f>Table1[[#This Row],[Invoice Qty]]-Table1[[#This Row],[ExFactory Qty]]</f>
        <v>0</v>
      </c>
      <c r="P610" s="1" t="s">
        <v>1813</v>
      </c>
      <c r="Q610" s="2">
        <v>46285.684166666702</v>
      </c>
      <c r="S610" s="1" t="s">
        <v>39</v>
      </c>
      <c r="U610" s="1" t="s">
        <v>40</v>
      </c>
      <c r="V610" s="1" t="s">
        <v>77</v>
      </c>
      <c r="W610" s="1" t="s">
        <v>40</v>
      </c>
      <c r="X610" s="1" t="s">
        <v>40</v>
      </c>
      <c r="AA610" s="1" t="s">
        <v>1893</v>
      </c>
      <c r="AB610" s="2">
        <v>46285</v>
      </c>
      <c r="AC610" s="2">
        <v>46285</v>
      </c>
      <c r="AE610" s="1" t="s">
        <v>40</v>
      </c>
      <c r="AF610" s="1" t="s">
        <v>79</v>
      </c>
    </row>
    <row r="611" spans="1:32" ht="12.75" hidden="1" customHeight="1" x14ac:dyDescent="0.2">
      <c r="A611" s="1" t="s">
        <v>86</v>
      </c>
      <c r="B611" s="1" t="s">
        <v>1894</v>
      </c>
      <c r="C611" s="1" t="s">
        <v>199</v>
      </c>
      <c r="D611" s="1" t="s">
        <v>850</v>
      </c>
      <c r="E611" s="1" t="s">
        <v>1895</v>
      </c>
      <c r="F611" s="1" t="s">
        <v>183</v>
      </c>
      <c r="G611" s="3">
        <v>2924</v>
      </c>
      <c r="H611" s="4">
        <v>146</v>
      </c>
      <c r="I611" s="5">
        <v>18200.849999999999</v>
      </c>
      <c r="J611" s="5">
        <v>0</v>
      </c>
      <c r="K611" s="1" t="s">
        <v>36</v>
      </c>
      <c r="L611" s="1" t="s">
        <v>51</v>
      </c>
      <c r="M611" s="1" t="s">
        <v>51</v>
      </c>
      <c r="N611" s="3">
        <v>2924</v>
      </c>
      <c r="O611" s="6">
        <f>Table1[[#This Row],[Invoice Qty]]-Table1[[#This Row],[ExFactory Qty]]</f>
        <v>0</v>
      </c>
      <c r="P611" s="1" t="s">
        <v>1896</v>
      </c>
      <c r="Q611" s="2">
        <v>46284.720243055599</v>
      </c>
      <c r="S611" s="1" t="s">
        <v>39</v>
      </c>
      <c r="U611" s="1" t="s">
        <v>40</v>
      </c>
      <c r="V611" s="1" t="s">
        <v>532</v>
      </c>
      <c r="W611" s="1" t="s">
        <v>40</v>
      </c>
      <c r="X611" s="1" t="s">
        <v>40</v>
      </c>
      <c r="AA611" s="1" t="s">
        <v>1897</v>
      </c>
      <c r="AB611" s="2">
        <v>46285</v>
      </c>
      <c r="AC611" s="2">
        <v>46285</v>
      </c>
      <c r="AE611" s="1" t="s">
        <v>40</v>
      </c>
      <c r="AF611" s="1" t="s">
        <v>167</v>
      </c>
    </row>
    <row r="612" spans="1:32" ht="12.75" hidden="1" customHeight="1" x14ac:dyDescent="0.2">
      <c r="A612" s="1" t="s">
        <v>86</v>
      </c>
      <c r="B612" s="1" t="s">
        <v>1898</v>
      </c>
      <c r="C612" s="1" t="s">
        <v>199</v>
      </c>
      <c r="D612" s="1" t="s">
        <v>850</v>
      </c>
      <c r="E612" s="1" t="s">
        <v>1899</v>
      </c>
      <c r="F612" s="1" t="s">
        <v>183</v>
      </c>
      <c r="G612" s="3">
        <v>2346</v>
      </c>
      <c r="H612" s="4">
        <v>161</v>
      </c>
      <c r="I612" s="5">
        <v>14310.6</v>
      </c>
      <c r="J612" s="5">
        <v>0</v>
      </c>
      <c r="K612" s="1" t="s">
        <v>36</v>
      </c>
      <c r="L612" s="1" t="s">
        <v>51</v>
      </c>
      <c r="M612" s="1" t="s">
        <v>51</v>
      </c>
      <c r="N612" s="3">
        <v>2346</v>
      </c>
      <c r="O612" s="6">
        <f>Table1[[#This Row],[Invoice Qty]]-Table1[[#This Row],[ExFactory Qty]]</f>
        <v>0</v>
      </c>
      <c r="P612" s="1" t="s">
        <v>1896</v>
      </c>
      <c r="Q612" s="2">
        <v>46284.720243055599</v>
      </c>
      <c r="S612" s="1" t="s">
        <v>39</v>
      </c>
      <c r="U612" s="1" t="s">
        <v>40</v>
      </c>
      <c r="V612" s="1" t="s">
        <v>532</v>
      </c>
      <c r="W612" s="1" t="s">
        <v>40</v>
      </c>
      <c r="X612" s="1" t="s">
        <v>40</v>
      </c>
      <c r="AA612" s="1" t="s">
        <v>1900</v>
      </c>
      <c r="AB612" s="2">
        <v>46285</v>
      </c>
      <c r="AC612" s="2">
        <v>46285</v>
      </c>
      <c r="AE612" s="1" t="s">
        <v>40</v>
      </c>
      <c r="AF612" s="1" t="s">
        <v>167</v>
      </c>
    </row>
    <row r="613" spans="1:32" ht="12.75" hidden="1" customHeight="1" x14ac:dyDescent="0.2">
      <c r="A613" s="1" t="s">
        <v>86</v>
      </c>
      <c r="B613" s="1" t="s">
        <v>1901</v>
      </c>
      <c r="C613" s="1" t="s">
        <v>71</v>
      </c>
      <c r="D613" s="1" t="s">
        <v>323</v>
      </c>
      <c r="E613" s="1" t="s">
        <v>691</v>
      </c>
      <c r="F613" s="1" t="s">
        <v>605</v>
      </c>
      <c r="G613" s="3">
        <v>13</v>
      </c>
      <c r="H613" s="4">
        <v>1</v>
      </c>
      <c r="I613" s="5">
        <v>53.82</v>
      </c>
      <c r="J613" s="5">
        <v>0</v>
      </c>
      <c r="K613" s="1" t="s">
        <v>36</v>
      </c>
      <c r="L613" s="1" t="s">
        <v>75</v>
      </c>
      <c r="M613" s="1" t="s">
        <v>37</v>
      </c>
      <c r="N613" s="3">
        <v>13</v>
      </c>
      <c r="O613" s="6">
        <f>Table1[[#This Row],[Invoice Qty]]-Table1[[#This Row],[ExFactory Qty]]</f>
        <v>0</v>
      </c>
      <c r="P613" s="1" t="s">
        <v>1902</v>
      </c>
      <c r="Q613" s="2">
        <v>46285.727581018502</v>
      </c>
      <c r="S613" s="1" t="s">
        <v>39</v>
      </c>
      <c r="U613" s="1" t="s">
        <v>40</v>
      </c>
      <c r="V613" s="1" t="s">
        <v>77</v>
      </c>
      <c r="W613" s="1" t="s">
        <v>40</v>
      </c>
      <c r="X613" s="1" t="s">
        <v>40</v>
      </c>
      <c r="AA613" s="1" t="s">
        <v>1903</v>
      </c>
      <c r="AB613" s="2">
        <v>46285</v>
      </c>
      <c r="AC613" s="2">
        <v>46285</v>
      </c>
      <c r="AE613" s="1" t="s">
        <v>40</v>
      </c>
      <c r="AF613" s="1" t="s">
        <v>326</v>
      </c>
    </row>
    <row r="614" spans="1:32" ht="12.75" hidden="1" customHeight="1" x14ac:dyDescent="0.2">
      <c r="A614" s="1" t="s">
        <v>86</v>
      </c>
      <c r="B614" s="1" t="s">
        <v>1904</v>
      </c>
      <c r="C614" s="1" t="s">
        <v>71</v>
      </c>
      <c r="D614" s="1" t="s">
        <v>72</v>
      </c>
      <c r="E614" s="1" t="s">
        <v>972</v>
      </c>
      <c r="F614" s="1" t="s">
        <v>615</v>
      </c>
      <c r="G614" s="3">
        <v>588</v>
      </c>
      <c r="H614" s="4">
        <v>8</v>
      </c>
      <c r="I614" s="5">
        <v>1534.68</v>
      </c>
      <c r="J614" s="5">
        <v>0</v>
      </c>
      <c r="K614" s="1" t="s">
        <v>36</v>
      </c>
      <c r="L614" s="1" t="s">
        <v>75</v>
      </c>
      <c r="M614" s="1" t="s">
        <v>37</v>
      </c>
      <c r="N614" s="3">
        <v>588</v>
      </c>
      <c r="O614" s="6">
        <f>Table1[[#This Row],[Invoice Qty]]-Table1[[#This Row],[ExFactory Qty]]</f>
        <v>0</v>
      </c>
      <c r="P614" s="1" t="s">
        <v>1905</v>
      </c>
      <c r="Q614" s="2">
        <v>46285.627395833297</v>
      </c>
      <c r="S614" s="1" t="s">
        <v>39</v>
      </c>
      <c r="U614" s="1" t="s">
        <v>40</v>
      </c>
      <c r="V614" s="1" t="s">
        <v>77</v>
      </c>
      <c r="W614" s="1" t="s">
        <v>40</v>
      </c>
      <c r="X614" s="1" t="s">
        <v>40</v>
      </c>
      <c r="Z614" s="2">
        <v>46292</v>
      </c>
      <c r="AA614" s="1" t="s">
        <v>1906</v>
      </c>
      <c r="AB614" s="2">
        <v>46285</v>
      </c>
      <c r="AC614" s="2">
        <v>46285</v>
      </c>
      <c r="AD614" s="2">
        <v>46286</v>
      </c>
      <c r="AE614" s="1" t="s">
        <v>1907</v>
      </c>
      <c r="AF614" s="1" t="s">
        <v>79</v>
      </c>
    </row>
    <row r="615" spans="1:32" ht="12.75" hidden="1" customHeight="1" x14ac:dyDescent="0.2">
      <c r="A615" s="1" t="s">
        <v>86</v>
      </c>
      <c r="B615" s="1" t="s">
        <v>1908</v>
      </c>
      <c r="C615" s="1" t="s">
        <v>71</v>
      </c>
      <c r="D615" s="1" t="s">
        <v>72</v>
      </c>
      <c r="E615" s="1" t="s">
        <v>972</v>
      </c>
      <c r="F615" s="1" t="s">
        <v>605</v>
      </c>
      <c r="G615" s="3">
        <v>198</v>
      </c>
      <c r="H615" s="4">
        <v>3</v>
      </c>
      <c r="I615" s="5">
        <v>516.78</v>
      </c>
      <c r="J615" s="5">
        <v>0</v>
      </c>
      <c r="K615" s="1" t="s">
        <v>36</v>
      </c>
      <c r="L615" s="1" t="s">
        <v>75</v>
      </c>
      <c r="M615" s="1" t="s">
        <v>37</v>
      </c>
      <c r="N615" s="3">
        <v>198</v>
      </c>
      <c r="O615" s="6">
        <f>Table1[[#This Row],[Invoice Qty]]-Table1[[#This Row],[ExFactory Qty]]</f>
        <v>0</v>
      </c>
      <c r="P615" s="1" t="s">
        <v>1902</v>
      </c>
      <c r="Q615" s="2">
        <v>46285.727581018502</v>
      </c>
      <c r="S615" s="1" t="s">
        <v>39</v>
      </c>
      <c r="U615" s="1" t="s">
        <v>40</v>
      </c>
      <c r="V615" s="1" t="s">
        <v>77</v>
      </c>
      <c r="W615" s="1" t="s">
        <v>40</v>
      </c>
      <c r="X615" s="1" t="s">
        <v>40</v>
      </c>
      <c r="AA615" s="1" t="s">
        <v>1909</v>
      </c>
      <c r="AB615" s="2">
        <v>46285</v>
      </c>
      <c r="AC615" s="2">
        <v>46285</v>
      </c>
      <c r="AE615" s="1" t="s">
        <v>40</v>
      </c>
      <c r="AF615" s="1" t="s">
        <v>79</v>
      </c>
    </row>
    <row r="616" spans="1:32" ht="12.75" hidden="1" customHeight="1" x14ac:dyDescent="0.2">
      <c r="A616" s="1" t="s">
        <v>86</v>
      </c>
      <c r="B616" s="1" t="s">
        <v>1910</v>
      </c>
      <c r="C616" s="1" t="s">
        <v>71</v>
      </c>
      <c r="D616" s="1" t="s">
        <v>323</v>
      </c>
      <c r="E616" s="1" t="s">
        <v>1718</v>
      </c>
      <c r="F616" s="1" t="s">
        <v>608</v>
      </c>
      <c r="G616" s="3">
        <v>351</v>
      </c>
      <c r="H616" s="4">
        <v>5</v>
      </c>
      <c r="I616" s="5">
        <v>1656.72</v>
      </c>
      <c r="J616" s="5">
        <v>0</v>
      </c>
      <c r="K616" s="1" t="s">
        <v>36</v>
      </c>
      <c r="L616" s="1" t="s">
        <v>75</v>
      </c>
      <c r="M616" s="1" t="s">
        <v>37</v>
      </c>
      <c r="N616" s="3">
        <v>351</v>
      </c>
      <c r="O616" s="6">
        <f>Table1[[#This Row],[Invoice Qty]]-Table1[[#This Row],[ExFactory Qty]]</f>
        <v>0</v>
      </c>
      <c r="P616" s="1" t="s">
        <v>1905</v>
      </c>
      <c r="Q616" s="2">
        <v>46285.627395833297</v>
      </c>
      <c r="S616" s="1" t="s">
        <v>39</v>
      </c>
      <c r="U616" s="1" t="s">
        <v>40</v>
      </c>
      <c r="V616" s="1" t="s">
        <v>77</v>
      </c>
      <c r="W616" s="1" t="s">
        <v>40</v>
      </c>
      <c r="X616" s="1" t="s">
        <v>40</v>
      </c>
      <c r="Z616" s="2">
        <v>46291</v>
      </c>
      <c r="AA616" s="1" t="s">
        <v>1911</v>
      </c>
      <c r="AB616" s="2">
        <v>46285</v>
      </c>
      <c r="AC616" s="2">
        <v>46285</v>
      </c>
      <c r="AE616" s="1" t="s">
        <v>40</v>
      </c>
      <c r="AF616" s="1" t="s">
        <v>326</v>
      </c>
    </row>
    <row r="617" spans="1:32" ht="12.75" hidden="1" customHeight="1" x14ac:dyDescent="0.2">
      <c r="A617" s="1" t="s">
        <v>86</v>
      </c>
      <c r="B617" s="1" t="s">
        <v>1912</v>
      </c>
      <c r="C617" s="1" t="s">
        <v>71</v>
      </c>
      <c r="D617" s="1" t="s">
        <v>323</v>
      </c>
      <c r="E617" s="1" t="s">
        <v>1718</v>
      </c>
      <c r="F617" s="1" t="s">
        <v>600</v>
      </c>
      <c r="G617" s="3">
        <v>77</v>
      </c>
      <c r="H617" s="4">
        <v>1</v>
      </c>
      <c r="I617" s="5">
        <v>363.44</v>
      </c>
      <c r="J617" s="5">
        <v>0</v>
      </c>
      <c r="K617" s="1" t="s">
        <v>36</v>
      </c>
      <c r="L617" s="1" t="s">
        <v>75</v>
      </c>
      <c r="M617" s="1" t="s">
        <v>37</v>
      </c>
      <c r="N617" s="3">
        <v>77</v>
      </c>
      <c r="O617" s="6">
        <f>Table1[[#This Row],[Invoice Qty]]-Table1[[#This Row],[ExFactory Qty]]</f>
        <v>0</v>
      </c>
      <c r="P617" s="1" t="s">
        <v>1902</v>
      </c>
      <c r="Q617" s="2">
        <v>46285.727581018502</v>
      </c>
      <c r="S617" s="1" t="s">
        <v>39</v>
      </c>
      <c r="U617" s="1" t="s">
        <v>40</v>
      </c>
      <c r="V617" s="1" t="s">
        <v>77</v>
      </c>
      <c r="W617" s="1" t="s">
        <v>40</v>
      </c>
      <c r="X617" s="1" t="s">
        <v>40</v>
      </c>
      <c r="Z617" s="2">
        <v>46292</v>
      </c>
      <c r="AA617" s="1" t="s">
        <v>1913</v>
      </c>
      <c r="AB617" s="2">
        <v>46285</v>
      </c>
      <c r="AC617" s="2">
        <v>46285.476377314801</v>
      </c>
      <c r="AE617" s="1" t="s">
        <v>40</v>
      </c>
      <c r="AF617" s="1" t="s">
        <v>326</v>
      </c>
    </row>
    <row r="618" spans="1:32" ht="12.75" hidden="1" customHeight="1" x14ac:dyDescent="0.2">
      <c r="A618" s="1" t="s">
        <v>86</v>
      </c>
      <c r="B618" s="1" t="s">
        <v>1914</v>
      </c>
      <c r="C618" s="1" t="s">
        <v>71</v>
      </c>
      <c r="D618" s="1" t="s">
        <v>72</v>
      </c>
      <c r="E618" s="1" t="s">
        <v>705</v>
      </c>
      <c r="F618" s="1" t="s">
        <v>134</v>
      </c>
      <c r="G618" s="3">
        <v>135</v>
      </c>
      <c r="H618" s="4">
        <v>2</v>
      </c>
      <c r="I618" s="5">
        <v>260.55</v>
      </c>
      <c r="J618" s="5">
        <v>0</v>
      </c>
      <c r="K618" s="1" t="s">
        <v>36</v>
      </c>
      <c r="L618" s="1" t="s">
        <v>75</v>
      </c>
      <c r="M618" s="1" t="s">
        <v>37</v>
      </c>
      <c r="N618" s="3">
        <v>135</v>
      </c>
      <c r="O618" s="6">
        <f>Table1[[#This Row],[Invoice Qty]]-Table1[[#This Row],[ExFactory Qty]]</f>
        <v>0</v>
      </c>
      <c r="P618" s="1" t="s">
        <v>1306</v>
      </c>
      <c r="Q618" s="2">
        <v>46285.719444444403</v>
      </c>
      <c r="S618" s="1" t="s">
        <v>39</v>
      </c>
      <c r="U618" s="1" t="s">
        <v>40</v>
      </c>
      <c r="V618" s="1" t="s">
        <v>77</v>
      </c>
      <c r="W618" s="1" t="s">
        <v>40</v>
      </c>
      <c r="X618" s="1" t="s">
        <v>40</v>
      </c>
      <c r="AA618" s="1" t="s">
        <v>1915</v>
      </c>
      <c r="AB618" s="2">
        <v>46285</v>
      </c>
      <c r="AC618" s="2">
        <v>46285.476377314801</v>
      </c>
      <c r="AE618" s="1" t="s">
        <v>40</v>
      </c>
      <c r="AF618" s="1" t="s">
        <v>79</v>
      </c>
    </row>
    <row r="619" spans="1:32" ht="12.75" hidden="1" customHeight="1" x14ac:dyDescent="0.2">
      <c r="A619" s="1" t="s">
        <v>86</v>
      </c>
      <c r="B619" s="1" t="s">
        <v>1916</v>
      </c>
      <c r="C619" s="1" t="s">
        <v>71</v>
      </c>
      <c r="D619" s="1" t="s">
        <v>72</v>
      </c>
      <c r="E619" s="1" t="s">
        <v>710</v>
      </c>
      <c r="F619" s="1" t="s">
        <v>269</v>
      </c>
      <c r="G619" s="3">
        <v>570</v>
      </c>
      <c r="H619" s="4">
        <v>7</v>
      </c>
      <c r="I619" s="5">
        <v>1100.0999999999999</v>
      </c>
      <c r="J619" s="5">
        <v>0</v>
      </c>
      <c r="K619" s="1" t="s">
        <v>36</v>
      </c>
      <c r="L619" s="1" t="s">
        <v>75</v>
      </c>
      <c r="M619" s="1" t="s">
        <v>37</v>
      </c>
      <c r="N619" s="3">
        <v>570</v>
      </c>
      <c r="O619" s="6">
        <f>Table1[[#This Row],[Invoice Qty]]-Table1[[#This Row],[ExFactory Qty]]</f>
        <v>0</v>
      </c>
      <c r="P619" s="1" t="s">
        <v>1917</v>
      </c>
      <c r="Q619" s="2">
        <v>46285.621782407397</v>
      </c>
      <c r="S619" s="1" t="s">
        <v>39</v>
      </c>
      <c r="U619" s="1" t="s">
        <v>40</v>
      </c>
      <c r="V619" s="1" t="s">
        <v>77</v>
      </c>
      <c r="W619" s="1" t="s">
        <v>40</v>
      </c>
      <c r="X619" s="1" t="s">
        <v>40</v>
      </c>
      <c r="AA619" s="1" t="s">
        <v>1918</v>
      </c>
      <c r="AB619" s="2">
        <v>46285</v>
      </c>
      <c r="AC619" s="2">
        <v>46285.476377314801</v>
      </c>
      <c r="AE619" s="1" t="s">
        <v>40</v>
      </c>
      <c r="AF619" s="1" t="s">
        <v>79</v>
      </c>
    </row>
    <row r="620" spans="1:32" ht="12.75" hidden="1" customHeight="1" x14ac:dyDescent="0.2">
      <c r="A620" s="1" t="s">
        <v>86</v>
      </c>
      <c r="B620" s="1" t="s">
        <v>1919</v>
      </c>
      <c r="C620" s="1" t="s">
        <v>71</v>
      </c>
      <c r="D620" s="1" t="s">
        <v>72</v>
      </c>
      <c r="E620" s="1" t="s">
        <v>710</v>
      </c>
      <c r="F620" s="1" t="s">
        <v>651</v>
      </c>
      <c r="G620" s="3">
        <v>266</v>
      </c>
      <c r="H620" s="4">
        <v>4</v>
      </c>
      <c r="I620" s="5">
        <v>513.38</v>
      </c>
      <c r="J620" s="5">
        <v>0</v>
      </c>
      <c r="K620" s="1" t="s">
        <v>36</v>
      </c>
      <c r="L620" s="1" t="s">
        <v>75</v>
      </c>
      <c r="M620" s="1" t="s">
        <v>37</v>
      </c>
      <c r="N620" s="3">
        <v>266</v>
      </c>
      <c r="O620" s="6">
        <f>Table1[[#This Row],[Invoice Qty]]-Table1[[#This Row],[ExFactory Qty]]</f>
        <v>0</v>
      </c>
      <c r="P620" s="1" t="s">
        <v>1917</v>
      </c>
      <c r="Q620" s="2">
        <v>46285.621782407397</v>
      </c>
      <c r="S620" s="1" t="s">
        <v>39</v>
      </c>
      <c r="U620" s="1" t="s">
        <v>40</v>
      </c>
      <c r="V620" s="1" t="s">
        <v>77</v>
      </c>
      <c r="W620" s="1" t="s">
        <v>40</v>
      </c>
      <c r="X620" s="1" t="s">
        <v>40</v>
      </c>
      <c r="AA620" s="1" t="s">
        <v>1920</v>
      </c>
      <c r="AB620" s="2">
        <v>46285</v>
      </c>
      <c r="AC620" s="2">
        <v>46285.476377314801</v>
      </c>
      <c r="AE620" s="1" t="s">
        <v>40</v>
      </c>
      <c r="AF620" s="1" t="s">
        <v>79</v>
      </c>
    </row>
    <row r="621" spans="1:32" ht="12.75" hidden="1" customHeight="1" x14ac:dyDescent="0.2">
      <c r="A621" s="1" t="s">
        <v>86</v>
      </c>
      <c r="B621" s="1" t="s">
        <v>1921</v>
      </c>
      <c r="C621" s="1" t="s">
        <v>71</v>
      </c>
      <c r="D621" s="1" t="s">
        <v>72</v>
      </c>
      <c r="E621" s="1" t="s">
        <v>1289</v>
      </c>
      <c r="F621" s="1" t="s">
        <v>384</v>
      </c>
      <c r="G621" s="3">
        <v>1114</v>
      </c>
      <c r="H621" s="4">
        <v>12</v>
      </c>
      <c r="I621" s="5">
        <v>2907.54</v>
      </c>
      <c r="J621" s="5">
        <v>0</v>
      </c>
      <c r="K621" s="1" t="s">
        <v>36</v>
      </c>
      <c r="L621" s="1" t="s">
        <v>75</v>
      </c>
      <c r="M621" s="1" t="s">
        <v>37</v>
      </c>
      <c r="N621" s="3">
        <v>1114</v>
      </c>
      <c r="O621" s="6">
        <f>Table1[[#This Row],[Invoice Qty]]-Table1[[#This Row],[ExFactory Qty]]</f>
        <v>0</v>
      </c>
      <c r="P621" s="1" t="s">
        <v>1905</v>
      </c>
      <c r="Q621" s="2">
        <v>46285.627395833297</v>
      </c>
      <c r="S621" s="1" t="s">
        <v>39</v>
      </c>
      <c r="U621" s="1" t="s">
        <v>40</v>
      </c>
      <c r="V621" s="1" t="s">
        <v>77</v>
      </c>
      <c r="W621" s="1" t="s">
        <v>40</v>
      </c>
      <c r="X621" s="1" t="s">
        <v>40</v>
      </c>
      <c r="AA621" s="1" t="s">
        <v>1922</v>
      </c>
      <c r="AB621" s="2">
        <v>46285</v>
      </c>
      <c r="AC621" s="2">
        <v>46285.476377314801</v>
      </c>
      <c r="AE621" s="1" t="s">
        <v>40</v>
      </c>
      <c r="AF621" s="1" t="s">
        <v>79</v>
      </c>
    </row>
    <row r="622" spans="1:32" ht="12.75" hidden="1" customHeight="1" x14ac:dyDescent="0.2">
      <c r="A622" s="1" t="s">
        <v>86</v>
      </c>
      <c r="B622" s="1" t="s">
        <v>1923</v>
      </c>
      <c r="C622" s="1" t="s">
        <v>71</v>
      </c>
      <c r="D622" s="1" t="s">
        <v>72</v>
      </c>
      <c r="E622" s="1" t="s">
        <v>1289</v>
      </c>
      <c r="F622" s="1" t="s">
        <v>183</v>
      </c>
      <c r="G622" s="3">
        <v>722</v>
      </c>
      <c r="H622" s="4">
        <v>9</v>
      </c>
      <c r="I622" s="5">
        <v>1884.42</v>
      </c>
      <c r="J622" s="5">
        <v>0</v>
      </c>
      <c r="K622" s="1" t="s">
        <v>36</v>
      </c>
      <c r="L622" s="1" t="s">
        <v>75</v>
      </c>
      <c r="M622" s="1" t="s">
        <v>37</v>
      </c>
      <c r="N622" s="3">
        <v>722</v>
      </c>
      <c r="O622" s="6">
        <f>Table1[[#This Row],[Invoice Qty]]-Table1[[#This Row],[ExFactory Qty]]</f>
        <v>0</v>
      </c>
      <c r="P622" s="1" t="s">
        <v>1902</v>
      </c>
      <c r="Q622" s="2">
        <v>46285.727581018502</v>
      </c>
      <c r="S622" s="1" t="s">
        <v>39</v>
      </c>
      <c r="U622" s="1" t="s">
        <v>40</v>
      </c>
      <c r="V622" s="1" t="s">
        <v>77</v>
      </c>
      <c r="W622" s="1" t="s">
        <v>40</v>
      </c>
      <c r="X622" s="1" t="s">
        <v>40</v>
      </c>
      <c r="AA622" s="1" t="s">
        <v>1924</v>
      </c>
      <c r="AB622" s="2">
        <v>46285</v>
      </c>
      <c r="AC622" s="2">
        <v>46285.476377314801</v>
      </c>
      <c r="AE622" s="1" t="s">
        <v>40</v>
      </c>
      <c r="AF622" s="1" t="s">
        <v>79</v>
      </c>
    </row>
    <row r="623" spans="1:32" ht="12.75" hidden="1" customHeight="1" x14ac:dyDescent="0.2">
      <c r="A623" s="1" t="s">
        <v>86</v>
      </c>
      <c r="B623" s="1" t="s">
        <v>1925</v>
      </c>
      <c r="C623" s="1" t="s">
        <v>71</v>
      </c>
      <c r="D623" s="1" t="s">
        <v>72</v>
      </c>
      <c r="E623" s="1" t="s">
        <v>1289</v>
      </c>
      <c r="F623" s="1" t="s">
        <v>252</v>
      </c>
      <c r="G623" s="3">
        <v>242</v>
      </c>
      <c r="H623" s="4">
        <v>2</v>
      </c>
      <c r="I623" s="5">
        <v>631.62</v>
      </c>
      <c r="J623" s="5">
        <v>0</v>
      </c>
      <c r="K623" s="1" t="s">
        <v>36</v>
      </c>
      <c r="L623" s="1" t="s">
        <v>75</v>
      </c>
      <c r="M623" s="1" t="s">
        <v>37</v>
      </c>
      <c r="N623" s="3">
        <v>242</v>
      </c>
      <c r="O623" s="6">
        <f>Table1[[#This Row],[Invoice Qty]]-Table1[[#This Row],[ExFactory Qty]]</f>
        <v>0</v>
      </c>
      <c r="P623" s="1" t="s">
        <v>1902</v>
      </c>
      <c r="Q623" s="2">
        <v>46285.727581018502</v>
      </c>
      <c r="S623" s="1" t="s">
        <v>39</v>
      </c>
      <c r="U623" s="1" t="s">
        <v>40</v>
      </c>
      <c r="V623" s="1" t="s">
        <v>77</v>
      </c>
      <c r="W623" s="1" t="s">
        <v>40</v>
      </c>
      <c r="X623" s="1" t="s">
        <v>40</v>
      </c>
      <c r="AA623" s="1" t="s">
        <v>1926</v>
      </c>
      <c r="AB623" s="2">
        <v>46285</v>
      </c>
      <c r="AC623" s="2">
        <v>46285.476377314801</v>
      </c>
      <c r="AE623" s="1" t="s">
        <v>40</v>
      </c>
      <c r="AF623" s="1" t="s">
        <v>79</v>
      </c>
    </row>
    <row r="624" spans="1:32" ht="12.75" hidden="1" customHeight="1" x14ac:dyDescent="0.2">
      <c r="A624" s="1" t="s">
        <v>86</v>
      </c>
      <c r="B624" s="1" t="s">
        <v>1927</v>
      </c>
      <c r="C624" s="1" t="s">
        <v>71</v>
      </c>
      <c r="D624" s="1" t="s">
        <v>72</v>
      </c>
      <c r="E624" s="1" t="s">
        <v>1321</v>
      </c>
      <c r="F624" s="1" t="s">
        <v>384</v>
      </c>
      <c r="G624" s="3">
        <v>267</v>
      </c>
      <c r="H624" s="4">
        <v>4</v>
      </c>
      <c r="I624" s="5">
        <v>517.98</v>
      </c>
      <c r="J624" s="5">
        <v>0</v>
      </c>
      <c r="K624" s="1" t="s">
        <v>36</v>
      </c>
      <c r="L624" s="1" t="s">
        <v>75</v>
      </c>
      <c r="M624" s="1" t="s">
        <v>37</v>
      </c>
      <c r="N624" s="3">
        <v>267</v>
      </c>
      <c r="O624" s="6">
        <f>Table1[[#This Row],[Invoice Qty]]-Table1[[#This Row],[ExFactory Qty]]</f>
        <v>0</v>
      </c>
      <c r="P624" s="1" t="s">
        <v>1905</v>
      </c>
      <c r="Q624" s="2">
        <v>46285.627395833297</v>
      </c>
      <c r="S624" s="1" t="s">
        <v>39</v>
      </c>
      <c r="U624" s="1" t="s">
        <v>40</v>
      </c>
      <c r="V624" s="1" t="s">
        <v>77</v>
      </c>
      <c r="W624" s="1" t="s">
        <v>40</v>
      </c>
      <c r="X624" s="1" t="s">
        <v>40</v>
      </c>
      <c r="AA624" s="1" t="s">
        <v>1928</v>
      </c>
      <c r="AB624" s="2">
        <v>46285</v>
      </c>
      <c r="AC624" s="2">
        <v>46285.476377314801</v>
      </c>
      <c r="AE624" s="1" t="s">
        <v>40</v>
      </c>
      <c r="AF624" s="1" t="s">
        <v>79</v>
      </c>
    </row>
    <row r="625" spans="1:32" ht="12.75" hidden="1" customHeight="1" x14ac:dyDescent="0.2">
      <c r="A625" s="1" t="s">
        <v>86</v>
      </c>
      <c r="B625" s="1" t="s">
        <v>1929</v>
      </c>
      <c r="C625" s="1" t="s">
        <v>71</v>
      </c>
      <c r="D625" s="1" t="s">
        <v>72</v>
      </c>
      <c r="E625" s="1" t="s">
        <v>1321</v>
      </c>
      <c r="F625" s="1" t="s">
        <v>183</v>
      </c>
      <c r="G625" s="3">
        <v>107</v>
      </c>
      <c r="H625" s="4">
        <v>1</v>
      </c>
      <c r="I625" s="5">
        <v>207.58</v>
      </c>
      <c r="J625" s="5">
        <v>0</v>
      </c>
      <c r="K625" s="1" t="s">
        <v>36</v>
      </c>
      <c r="L625" s="1" t="s">
        <v>75</v>
      </c>
      <c r="M625" s="1" t="s">
        <v>37</v>
      </c>
      <c r="N625" s="3">
        <v>107</v>
      </c>
      <c r="O625" s="6">
        <f>Table1[[#This Row],[Invoice Qty]]-Table1[[#This Row],[ExFactory Qty]]</f>
        <v>0</v>
      </c>
      <c r="P625" s="1" t="s">
        <v>1902</v>
      </c>
      <c r="Q625" s="2">
        <v>46285.727581018502</v>
      </c>
      <c r="S625" s="1" t="s">
        <v>39</v>
      </c>
      <c r="U625" s="1" t="s">
        <v>40</v>
      </c>
      <c r="V625" s="1" t="s">
        <v>77</v>
      </c>
      <c r="W625" s="1" t="s">
        <v>40</v>
      </c>
      <c r="X625" s="1" t="s">
        <v>40</v>
      </c>
      <c r="AA625" s="1" t="s">
        <v>1930</v>
      </c>
      <c r="AB625" s="2">
        <v>46285</v>
      </c>
      <c r="AC625" s="2">
        <v>46285.476377314801</v>
      </c>
      <c r="AE625" s="1" t="s">
        <v>40</v>
      </c>
      <c r="AF625" s="1" t="s">
        <v>79</v>
      </c>
    </row>
    <row r="626" spans="1:32" ht="12.75" hidden="1" customHeight="1" x14ac:dyDescent="0.2">
      <c r="A626" s="1" t="s">
        <v>86</v>
      </c>
      <c r="B626" s="1" t="s">
        <v>1931</v>
      </c>
      <c r="C626" s="1" t="s">
        <v>71</v>
      </c>
      <c r="D626" s="1" t="s">
        <v>72</v>
      </c>
      <c r="E626" s="1" t="s">
        <v>1321</v>
      </c>
      <c r="F626" s="1" t="s">
        <v>252</v>
      </c>
      <c r="G626" s="3">
        <v>36</v>
      </c>
      <c r="H626" s="4">
        <v>1</v>
      </c>
      <c r="I626" s="5">
        <v>69.84</v>
      </c>
      <c r="J626" s="5">
        <v>0</v>
      </c>
      <c r="K626" s="1" t="s">
        <v>36</v>
      </c>
      <c r="L626" s="1" t="s">
        <v>75</v>
      </c>
      <c r="M626" s="1" t="s">
        <v>37</v>
      </c>
      <c r="N626" s="3">
        <v>36</v>
      </c>
      <c r="O626" s="6">
        <f>Table1[[#This Row],[Invoice Qty]]-Table1[[#This Row],[ExFactory Qty]]</f>
        <v>0</v>
      </c>
      <c r="P626" s="1" t="s">
        <v>1902</v>
      </c>
      <c r="Q626" s="2">
        <v>46285.727581018502</v>
      </c>
      <c r="S626" s="1" t="s">
        <v>39</v>
      </c>
      <c r="U626" s="1" t="s">
        <v>40</v>
      </c>
      <c r="V626" s="1" t="s">
        <v>77</v>
      </c>
      <c r="W626" s="1" t="s">
        <v>40</v>
      </c>
      <c r="X626" s="1" t="s">
        <v>40</v>
      </c>
      <c r="AA626" s="1" t="s">
        <v>1932</v>
      </c>
      <c r="AB626" s="2">
        <v>46285</v>
      </c>
      <c r="AC626" s="2">
        <v>46285.476377314801</v>
      </c>
      <c r="AE626" s="1" t="s">
        <v>40</v>
      </c>
      <c r="AF626" s="1" t="s">
        <v>79</v>
      </c>
    </row>
    <row r="627" spans="1:32" ht="12.75" hidden="1" customHeight="1" x14ac:dyDescent="0.2">
      <c r="A627" s="1" t="s">
        <v>86</v>
      </c>
      <c r="B627" s="1" t="s">
        <v>1933</v>
      </c>
      <c r="C627" s="1" t="s">
        <v>71</v>
      </c>
      <c r="D627" s="1" t="s">
        <v>72</v>
      </c>
      <c r="E627" s="1" t="s">
        <v>738</v>
      </c>
      <c r="F627" s="1" t="s">
        <v>183</v>
      </c>
      <c r="G627" s="3">
        <v>320</v>
      </c>
      <c r="H627" s="4">
        <v>5</v>
      </c>
      <c r="I627" s="5">
        <v>617.6</v>
      </c>
      <c r="J627" s="5">
        <v>0</v>
      </c>
      <c r="K627" s="1" t="s">
        <v>36</v>
      </c>
      <c r="L627" s="1" t="s">
        <v>75</v>
      </c>
      <c r="M627" s="1" t="s">
        <v>37</v>
      </c>
      <c r="N627" s="3">
        <v>320</v>
      </c>
      <c r="O627" s="6">
        <f>Table1[[#This Row],[Invoice Qty]]-Table1[[#This Row],[ExFactory Qty]]</f>
        <v>0</v>
      </c>
      <c r="P627" s="1" t="s">
        <v>1902</v>
      </c>
      <c r="Q627" s="2">
        <v>46285.727581018502</v>
      </c>
      <c r="S627" s="1" t="s">
        <v>39</v>
      </c>
      <c r="U627" s="1" t="s">
        <v>40</v>
      </c>
      <c r="V627" s="1" t="s">
        <v>77</v>
      </c>
      <c r="W627" s="1" t="s">
        <v>40</v>
      </c>
      <c r="X627" s="1" t="s">
        <v>40</v>
      </c>
      <c r="AA627" s="1" t="s">
        <v>1934</v>
      </c>
      <c r="AB627" s="2">
        <v>46285</v>
      </c>
      <c r="AC627" s="2">
        <v>46285.476377314801</v>
      </c>
      <c r="AE627" s="1" t="s">
        <v>40</v>
      </c>
      <c r="AF627" s="1" t="s">
        <v>79</v>
      </c>
    </row>
    <row r="628" spans="1:32" ht="12.75" hidden="1" customHeight="1" x14ac:dyDescent="0.2">
      <c r="A628" s="1" t="s">
        <v>86</v>
      </c>
      <c r="B628" s="1" t="s">
        <v>1935</v>
      </c>
      <c r="C628" s="1" t="s">
        <v>71</v>
      </c>
      <c r="D628" s="1" t="s">
        <v>72</v>
      </c>
      <c r="E628" s="1" t="s">
        <v>738</v>
      </c>
      <c r="F628" s="1" t="s">
        <v>252</v>
      </c>
      <c r="G628" s="3">
        <v>109</v>
      </c>
      <c r="H628" s="4">
        <v>1</v>
      </c>
      <c r="I628" s="5">
        <v>210.37</v>
      </c>
      <c r="J628" s="5">
        <v>0</v>
      </c>
      <c r="K628" s="1" t="s">
        <v>36</v>
      </c>
      <c r="L628" s="1" t="s">
        <v>75</v>
      </c>
      <c r="M628" s="1" t="s">
        <v>37</v>
      </c>
      <c r="N628" s="3">
        <v>109</v>
      </c>
      <c r="O628" s="6">
        <f>Table1[[#This Row],[Invoice Qty]]-Table1[[#This Row],[ExFactory Qty]]</f>
        <v>0</v>
      </c>
      <c r="P628" s="1" t="s">
        <v>1902</v>
      </c>
      <c r="Q628" s="2">
        <v>46285.727581018502</v>
      </c>
      <c r="S628" s="1" t="s">
        <v>39</v>
      </c>
      <c r="U628" s="1" t="s">
        <v>40</v>
      </c>
      <c r="V628" s="1" t="s">
        <v>77</v>
      </c>
      <c r="W628" s="1" t="s">
        <v>40</v>
      </c>
      <c r="X628" s="1" t="s">
        <v>40</v>
      </c>
      <c r="AA628" s="1" t="s">
        <v>1936</v>
      </c>
      <c r="AB628" s="2">
        <v>46285</v>
      </c>
      <c r="AC628" s="2">
        <v>46285.476377314801</v>
      </c>
      <c r="AE628" s="1" t="s">
        <v>40</v>
      </c>
      <c r="AF628" s="1" t="s">
        <v>79</v>
      </c>
    </row>
    <row r="629" spans="1:32" ht="12.75" hidden="1" customHeight="1" x14ac:dyDescent="0.2">
      <c r="A629" s="1" t="s">
        <v>86</v>
      </c>
      <c r="B629" s="1" t="s">
        <v>1937</v>
      </c>
      <c r="C629" s="1" t="s">
        <v>71</v>
      </c>
      <c r="D629" s="1" t="s">
        <v>72</v>
      </c>
      <c r="E629" s="1" t="s">
        <v>1328</v>
      </c>
      <c r="F629" s="1" t="s">
        <v>730</v>
      </c>
      <c r="G629" s="3">
        <v>4101</v>
      </c>
      <c r="H629" s="4">
        <v>57</v>
      </c>
      <c r="I629" s="5">
        <v>11441.79</v>
      </c>
      <c r="J629" s="5">
        <v>0</v>
      </c>
      <c r="K629" s="1" t="s">
        <v>36</v>
      </c>
      <c r="L629" s="1" t="s">
        <v>75</v>
      </c>
      <c r="M629" s="1" t="s">
        <v>37</v>
      </c>
      <c r="N629" s="3">
        <v>4101</v>
      </c>
      <c r="O629" s="6">
        <f>Table1[[#This Row],[Invoice Qty]]-Table1[[#This Row],[ExFactory Qty]]</f>
        <v>0</v>
      </c>
      <c r="P629" s="1" t="s">
        <v>1902</v>
      </c>
      <c r="Q629" s="2">
        <v>46285.727581018502</v>
      </c>
      <c r="S629" s="1" t="s">
        <v>39</v>
      </c>
      <c r="U629" s="1" t="s">
        <v>40</v>
      </c>
      <c r="V629" s="1" t="s">
        <v>77</v>
      </c>
      <c r="W629" s="1" t="s">
        <v>40</v>
      </c>
      <c r="X629" s="1" t="s">
        <v>40</v>
      </c>
      <c r="AA629" s="1" t="s">
        <v>1938</v>
      </c>
      <c r="AB629" s="2">
        <v>46285</v>
      </c>
      <c r="AC629" s="2">
        <v>46285.476377314801</v>
      </c>
      <c r="AE629" s="1" t="s">
        <v>40</v>
      </c>
      <c r="AF629" s="1" t="s">
        <v>79</v>
      </c>
    </row>
    <row r="630" spans="1:32" ht="12.75" hidden="1" customHeight="1" x14ac:dyDescent="0.2">
      <c r="A630" s="1" t="s">
        <v>86</v>
      </c>
      <c r="B630" s="1" t="s">
        <v>1939</v>
      </c>
      <c r="C630" s="1" t="s">
        <v>71</v>
      </c>
      <c r="D630" s="1" t="s">
        <v>72</v>
      </c>
      <c r="E630" s="1" t="s">
        <v>1328</v>
      </c>
      <c r="F630" s="1" t="s">
        <v>730</v>
      </c>
      <c r="G630" s="3">
        <v>5927</v>
      </c>
      <c r="H630" s="4">
        <v>82</v>
      </c>
      <c r="I630" s="5">
        <v>16536.330000000002</v>
      </c>
      <c r="J630" s="5">
        <v>0</v>
      </c>
      <c r="K630" s="1" t="s">
        <v>36</v>
      </c>
      <c r="L630" s="1" t="s">
        <v>75</v>
      </c>
      <c r="M630" s="1" t="s">
        <v>37</v>
      </c>
      <c r="N630" s="3">
        <v>5927</v>
      </c>
      <c r="O630" s="6">
        <f>Table1[[#This Row],[Invoice Qty]]-Table1[[#This Row],[ExFactory Qty]]</f>
        <v>0</v>
      </c>
      <c r="P630" s="1" t="s">
        <v>1902</v>
      </c>
      <c r="Q630" s="2">
        <v>46285.727581018502</v>
      </c>
      <c r="S630" s="1" t="s">
        <v>39</v>
      </c>
      <c r="U630" s="1" t="s">
        <v>40</v>
      </c>
      <c r="V630" s="1" t="s">
        <v>77</v>
      </c>
      <c r="W630" s="1" t="s">
        <v>40</v>
      </c>
      <c r="X630" s="1" t="s">
        <v>40</v>
      </c>
      <c r="AA630" s="1" t="s">
        <v>1940</v>
      </c>
      <c r="AB630" s="2">
        <v>46285</v>
      </c>
      <c r="AC630" s="2">
        <v>46285</v>
      </c>
      <c r="AE630" s="1" t="s">
        <v>40</v>
      </c>
      <c r="AF630" s="1" t="s">
        <v>79</v>
      </c>
    </row>
    <row r="631" spans="1:32" ht="12.75" hidden="1" customHeight="1" x14ac:dyDescent="0.2">
      <c r="A631" s="1" t="s">
        <v>86</v>
      </c>
      <c r="B631" s="1" t="s">
        <v>1941</v>
      </c>
      <c r="C631" s="1" t="s">
        <v>71</v>
      </c>
      <c r="D631" s="1" t="s">
        <v>457</v>
      </c>
      <c r="E631" s="1" t="s">
        <v>1028</v>
      </c>
      <c r="F631" s="1" t="s">
        <v>1942</v>
      </c>
      <c r="G631" s="3">
        <v>12932</v>
      </c>
      <c r="H631" s="4">
        <v>156</v>
      </c>
      <c r="I631" s="5">
        <v>54702.36</v>
      </c>
      <c r="J631" s="5">
        <v>0</v>
      </c>
      <c r="K631" s="1" t="s">
        <v>36</v>
      </c>
      <c r="L631" s="1" t="s">
        <v>75</v>
      </c>
      <c r="M631" s="1" t="s">
        <v>37</v>
      </c>
      <c r="N631" s="3">
        <v>12932</v>
      </c>
      <c r="O631" s="6">
        <f>Table1[[#This Row],[Invoice Qty]]-Table1[[#This Row],[ExFactory Qty]]</f>
        <v>0</v>
      </c>
      <c r="P631" s="1" t="s">
        <v>1902</v>
      </c>
      <c r="Q631" s="2">
        <v>46285.727581018502</v>
      </c>
      <c r="S631" s="1" t="s">
        <v>39</v>
      </c>
      <c r="U631" s="1" t="s">
        <v>40</v>
      </c>
      <c r="V631" s="1" t="s">
        <v>77</v>
      </c>
      <c r="W631" s="1" t="s">
        <v>40</v>
      </c>
      <c r="X631" s="1" t="s">
        <v>40</v>
      </c>
      <c r="AA631" s="1" t="s">
        <v>1943</v>
      </c>
      <c r="AB631" s="2">
        <v>46285</v>
      </c>
      <c r="AC631" s="2">
        <v>46285</v>
      </c>
      <c r="AE631" s="1" t="s">
        <v>40</v>
      </c>
      <c r="AF631" s="1" t="s">
        <v>326</v>
      </c>
    </row>
    <row r="632" spans="1:32" ht="12.75" hidden="1" customHeight="1" x14ac:dyDescent="0.2">
      <c r="A632" s="1" t="s">
        <v>86</v>
      </c>
      <c r="B632" s="1" t="s">
        <v>1944</v>
      </c>
      <c r="C632" s="1" t="s">
        <v>71</v>
      </c>
      <c r="D632" s="1" t="s">
        <v>457</v>
      </c>
      <c r="E632" s="1" t="s">
        <v>1028</v>
      </c>
      <c r="F632" s="1" t="s">
        <v>654</v>
      </c>
      <c r="G632" s="3">
        <v>2099</v>
      </c>
      <c r="H632" s="4">
        <v>26</v>
      </c>
      <c r="I632" s="5">
        <v>8878.77</v>
      </c>
      <c r="J632" s="5">
        <v>0</v>
      </c>
      <c r="K632" s="1" t="s">
        <v>36</v>
      </c>
      <c r="L632" s="1" t="s">
        <v>75</v>
      </c>
      <c r="M632" s="1" t="s">
        <v>37</v>
      </c>
      <c r="N632" s="3">
        <v>2099</v>
      </c>
      <c r="O632" s="6">
        <f>Table1[[#This Row],[Invoice Qty]]-Table1[[#This Row],[ExFactory Qty]]</f>
        <v>0</v>
      </c>
      <c r="P632" s="1" t="s">
        <v>1306</v>
      </c>
      <c r="Q632" s="2">
        <v>46285.719444444403</v>
      </c>
      <c r="S632" s="1" t="s">
        <v>39</v>
      </c>
      <c r="U632" s="1" t="s">
        <v>40</v>
      </c>
      <c r="V632" s="1" t="s">
        <v>77</v>
      </c>
      <c r="W632" s="1" t="s">
        <v>40</v>
      </c>
      <c r="X632" s="1" t="s">
        <v>40</v>
      </c>
      <c r="Z632" s="2">
        <v>46292</v>
      </c>
      <c r="AA632" s="1" t="s">
        <v>1945</v>
      </c>
      <c r="AB632" s="2">
        <v>46285</v>
      </c>
      <c r="AC632" s="2">
        <v>46285.476377314801</v>
      </c>
      <c r="AE632" s="1" t="s">
        <v>40</v>
      </c>
      <c r="AF632" s="1" t="s">
        <v>326</v>
      </c>
    </row>
    <row r="633" spans="1:32" ht="12.75" hidden="1" customHeight="1" x14ac:dyDescent="0.2">
      <c r="A633" s="1" t="s">
        <v>86</v>
      </c>
      <c r="B633" s="1" t="s">
        <v>1946</v>
      </c>
      <c r="C633" s="1" t="s">
        <v>71</v>
      </c>
      <c r="D633" s="1" t="s">
        <v>457</v>
      </c>
      <c r="E633" s="1" t="s">
        <v>1028</v>
      </c>
      <c r="F633" s="1" t="s">
        <v>727</v>
      </c>
      <c r="G633" s="3">
        <v>587</v>
      </c>
      <c r="H633" s="4">
        <v>8</v>
      </c>
      <c r="I633" s="5">
        <v>2483.0100000000002</v>
      </c>
      <c r="J633" s="5">
        <v>0</v>
      </c>
      <c r="K633" s="1" t="s">
        <v>36</v>
      </c>
      <c r="L633" s="1" t="s">
        <v>75</v>
      </c>
      <c r="M633" s="1" t="s">
        <v>37</v>
      </c>
      <c r="N633" s="3">
        <v>587</v>
      </c>
      <c r="O633" s="6">
        <f>Table1[[#This Row],[Invoice Qty]]-Table1[[#This Row],[ExFactory Qty]]</f>
        <v>0</v>
      </c>
      <c r="P633" s="1" t="s">
        <v>1905</v>
      </c>
      <c r="Q633" s="2">
        <v>46285.627395833297</v>
      </c>
      <c r="S633" s="1" t="s">
        <v>39</v>
      </c>
      <c r="U633" s="1" t="s">
        <v>40</v>
      </c>
      <c r="V633" s="1" t="s">
        <v>77</v>
      </c>
      <c r="W633" s="1" t="s">
        <v>40</v>
      </c>
      <c r="X633" s="1" t="s">
        <v>40</v>
      </c>
      <c r="AA633" s="1" t="s">
        <v>1947</v>
      </c>
      <c r="AB633" s="2">
        <v>46285</v>
      </c>
      <c r="AC633" s="2">
        <v>46285.476377314801</v>
      </c>
      <c r="AE633" s="1" t="s">
        <v>40</v>
      </c>
      <c r="AF633" s="1" t="s">
        <v>326</v>
      </c>
    </row>
    <row r="634" spans="1:32" ht="12.75" hidden="1" customHeight="1" x14ac:dyDescent="0.2">
      <c r="A634" s="1" t="s">
        <v>86</v>
      </c>
      <c r="B634" s="1" t="s">
        <v>1948</v>
      </c>
      <c r="C634" s="1" t="s">
        <v>71</v>
      </c>
      <c r="D634" s="1" t="s">
        <v>457</v>
      </c>
      <c r="E634" s="1" t="s">
        <v>1028</v>
      </c>
      <c r="F634" s="1" t="s">
        <v>183</v>
      </c>
      <c r="G634" s="3">
        <v>3142</v>
      </c>
      <c r="H634" s="4">
        <v>39</v>
      </c>
      <c r="I634" s="5">
        <v>13290.66</v>
      </c>
      <c r="J634" s="5">
        <v>0</v>
      </c>
      <c r="K634" s="1" t="s">
        <v>36</v>
      </c>
      <c r="L634" s="1" t="s">
        <v>75</v>
      </c>
      <c r="M634" s="1" t="s">
        <v>37</v>
      </c>
      <c r="N634" s="3">
        <v>3142</v>
      </c>
      <c r="O634" s="6">
        <f>Table1[[#This Row],[Invoice Qty]]-Table1[[#This Row],[ExFactory Qty]]</f>
        <v>0</v>
      </c>
      <c r="P634" s="1" t="s">
        <v>1902</v>
      </c>
      <c r="Q634" s="2">
        <v>46285.727581018502</v>
      </c>
      <c r="S634" s="1" t="s">
        <v>39</v>
      </c>
      <c r="U634" s="1" t="s">
        <v>40</v>
      </c>
      <c r="V634" s="1" t="s">
        <v>77</v>
      </c>
      <c r="W634" s="1" t="s">
        <v>40</v>
      </c>
      <c r="X634" s="1" t="s">
        <v>40</v>
      </c>
      <c r="AA634" s="1" t="s">
        <v>1949</v>
      </c>
      <c r="AB634" s="2">
        <v>46285</v>
      </c>
      <c r="AC634" s="2">
        <v>46285.476377314801</v>
      </c>
      <c r="AE634" s="1" t="s">
        <v>40</v>
      </c>
      <c r="AF634" s="1" t="s">
        <v>326</v>
      </c>
    </row>
    <row r="635" spans="1:32" ht="12.75" hidden="1" customHeight="1" x14ac:dyDescent="0.2">
      <c r="A635" s="1" t="s">
        <v>86</v>
      </c>
      <c r="B635" s="1" t="s">
        <v>1950</v>
      </c>
      <c r="C635" s="1" t="s">
        <v>71</v>
      </c>
      <c r="D635" s="1" t="s">
        <v>457</v>
      </c>
      <c r="E635" s="1" t="s">
        <v>1028</v>
      </c>
      <c r="F635" s="1" t="s">
        <v>688</v>
      </c>
      <c r="G635" s="3">
        <v>2192</v>
      </c>
      <c r="H635" s="4">
        <v>30</v>
      </c>
      <c r="I635" s="5">
        <v>9272.16</v>
      </c>
      <c r="J635" s="5">
        <v>0</v>
      </c>
      <c r="K635" s="1" t="s">
        <v>36</v>
      </c>
      <c r="L635" s="1" t="s">
        <v>75</v>
      </c>
      <c r="M635" s="1" t="s">
        <v>37</v>
      </c>
      <c r="N635" s="3">
        <v>2192</v>
      </c>
      <c r="O635" s="6">
        <f>Table1[[#This Row],[Invoice Qty]]-Table1[[#This Row],[ExFactory Qty]]</f>
        <v>0</v>
      </c>
      <c r="P635" s="1" t="s">
        <v>1905</v>
      </c>
      <c r="Q635" s="2">
        <v>46285.627395833297</v>
      </c>
      <c r="S635" s="1" t="s">
        <v>39</v>
      </c>
      <c r="U635" s="1" t="s">
        <v>40</v>
      </c>
      <c r="V635" s="1" t="s">
        <v>77</v>
      </c>
      <c r="W635" s="1" t="s">
        <v>40</v>
      </c>
      <c r="X635" s="1" t="s">
        <v>40</v>
      </c>
      <c r="Z635" s="2">
        <v>46291</v>
      </c>
      <c r="AA635" s="1" t="s">
        <v>1951</v>
      </c>
      <c r="AB635" s="2">
        <v>46285</v>
      </c>
      <c r="AC635" s="2">
        <v>46285.476377314801</v>
      </c>
      <c r="AE635" s="1" t="s">
        <v>40</v>
      </c>
      <c r="AF635" s="1" t="s">
        <v>326</v>
      </c>
    </row>
    <row r="636" spans="1:32" ht="12.75" hidden="1" customHeight="1" x14ac:dyDescent="0.2">
      <c r="A636" s="1" t="s">
        <v>86</v>
      </c>
      <c r="B636" s="1" t="s">
        <v>1952</v>
      </c>
      <c r="C636" s="1" t="s">
        <v>71</v>
      </c>
      <c r="D636" s="1" t="s">
        <v>72</v>
      </c>
      <c r="E636" s="1" t="s">
        <v>1334</v>
      </c>
      <c r="F636" s="1" t="s">
        <v>183</v>
      </c>
      <c r="G636" s="3">
        <v>64</v>
      </c>
      <c r="H636" s="4">
        <v>1</v>
      </c>
      <c r="I636" s="5">
        <v>211.2</v>
      </c>
      <c r="J636" s="5">
        <v>0</v>
      </c>
      <c r="K636" s="1" t="s">
        <v>36</v>
      </c>
      <c r="L636" s="1" t="s">
        <v>75</v>
      </c>
      <c r="M636" s="1" t="s">
        <v>37</v>
      </c>
      <c r="N636" s="3">
        <v>64</v>
      </c>
      <c r="O636" s="6">
        <f>Table1[[#This Row],[Invoice Qty]]-Table1[[#This Row],[ExFactory Qty]]</f>
        <v>0</v>
      </c>
      <c r="P636" s="1" t="s">
        <v>1902</v>
      </c>
      <c r="Q636" s="2">
        <v>46285.727581018502</v>
      </c>
      <c r="S636" s="1" t="s">
        <v>39</v>
      </c>
      <c r="U636" s="1" t="s">
        <v>40</v>
      </c>
      <c r="V636" s="1" t="s">
        <v>77</v>
      </c>
      <c r="W636" s="1" t="s">
        <v>40</v>
      </c>
      <c r="X636" s="1" t="s">
        <v>40</v>
      </c>
      <c r="AA636" s="1" t="s">
        <v>1953</v>
      </c>
      <c r="AB636" s="2">
        <v>46285</v>
      </c>
      <c r="AC636" s="2">
        <v>46285.476377314801</v>
      </c>
      <c r="AE636" s="1" t="s">
        <v>40</v>
      </c>
      <c r="AF636" s="1" t="s">
        <v>79</v>
      </c>
    </row>
    <row r="637" spans="1:32" ht="12.75" hidden="1" customHeight="1" x14ac:dyDescent="0.2">
      <c r="A637" s="1" t="s">
        <v>86</v>
      </c>
      <c r="B637" s="1" t="s">
        <v>1954</v>
      </c>
      <c r="C637" s="1" t="s">
        <v>71</v>
      </c>
      <c r="D637" s="1" t="s">
        <v>457</v>
      </c>
      <c r="E637" s="1" t="s">
        <v>1343</v>
      </c>
      <c r="F637" s="1" t="s">
        <v>384</v>
      </c>
      <c r="G637" s="3">
        <v>518</v>
      </c>
      <c r="H637" s="4">
        <v>8</v>
      </c>
      <c r="I637" s="5">
        <v>2185.96</v>
      </c>
      <c r="J637" s="5">
        <v>0</v>
      </c>
      <c r="K637" s="1" t="s">
        <v>36</v>
      </c>
      <c r="L637" s="1" t="s">
        <v>75</v>
      </c>
      <c r="M637" s="1" t="s">
        <v>37</v>
      </c>
      <c r="N637" s="3">
        <v>518</v>
      </c>
      <c r="O637" s="6">
        <f>Table1[[#This Row],[Invoice Qty]]-Table1[[#This Row],[ExFactory Qty]]</f>
        <v>0</v>
      </c>
      <c r="P637" s="1" t="s">
        <v>1905</v>
      </c>
      <c r="Q637" s="2">
        <v>46285.627395833297</v>
      </c>
      <c r="S637" s="1" t="s">
        <v>39</v>
      </c>
      <c r="U637" s="1" t="s">
        <v>40</v>
      </c>
      <c r="V637" s="1" t="s">
        <v>77</v>
      </c>
      <c r="W637" s="1" t="s">
        <v>40</v>
      </c>
      <c r="X637" s="1" t="s">
        <v>40</v>
      </c>
      <c r="AA637" s="1" t="s">
        <v>1955</v>
      </c>
      <c r="AB637" s="2">
        <v>46285</v>
      </c>
      <c r="AC637" s="2">
        <v>46285.476377314801</v>
      </c>
      <c r="AE637" s="1" t="s">
        <v>40</v>
      </c>
      <c r="AF637" s="1" t="s">
        <v>326</v>
      </c>
    </row>
    <row r="638" spans="1:32" ht="12.75" hidden="1" customHeight="1" x14ac:dyDescent="0.2">
      <c r="A638" s="1" t="s">
        <v>86</v>
      </c>
      <c r="B638" s="1" t="s">
        <v>1956</v>
      </c>
      <c r="C638" s="1" t="s">
        <v>71</v>
      </c>
      <c r="D638" s="1" t="s">
        <v>457</v>
      </c>
      <c r="E638" s="1" t="s">
        <v>1343</v>
      </c>
      <c r="F638" s="1" t="s">
        <v>134</v>
      </c>
      <c r="G638" s="3">
        <v>154</v>
      </c>
      <c r="H638" s="4">
        <v>3</v>
      </c>
      <c r="I638" s="5">
        <v>649.88</v>
      </c>
      <c r="J638" s="5">
        <v>0</v>
      </c>
      <c r="K638" s="1" t="s">
        <v>36</v>
      </c>
      <c r="L638" s="1" t="s">
        <v>75</v>
      </c>
      <c r="M638" s="1" t="s">
        <v>37</v>
      </c>
      <c r="N638" s="3">
        <v>154</v>
      </c>
      <c r="O638" s="6">
        <f>Table1[[#This Row],[Invoice Qty]]-Table1[[#This Row],[ExFactory Qty]]</f>
        <v>0</v>
      </c>
      <c r="P638" s="1" t="s">
        <v>1306</v>
      </c>
      <c r="Q638" s="2">
        <v>46285.719444444403</v>
      </c>
      <c r="S638" s="1" t="s">
        <v>39</v>
      </c>
      <c r="U638" s="1" t="s">
        <v>40</v>
      </c>
      <c r="V638" s="1" t="s">
        <v>77</v>
      </c>
      <c r="W638" s="1" t="s">
        <v>40</v>
      </c>
      <c r="X638" s="1" t="s">
        <v>40</v>
      </c>
      <c r="AA638" s="1" t="s">
        <v>1957</v>
      </c>
      <c r="AB638" s="2">
        <v>46285</v>
      </c>
      <c r="AC638" s="2">
        <v>46285.476377314801</v>
      </c>
      <c r="AE638" s="1" t="s">
        <v>40</v>
      </c>
      <c r="AF638" s="1" t="s">
        <v>326</v>
      </c>
    </row>
    <row r="639" spans="1:32" ht="12.75" hidden="1" customHeight="1" x14ac:dyDescent="0.2">
      <c r="A639" s="1" t="s">
        <v>86</v>
      </c>
      <c r="B639" s="1" t="s">
        <v>1958</v>
      </c>
      <c r="C639" s="1" t="s">
        <v>71</v>
      </c>
      <c r="D639" s="1" t="s">
        <v>457</v>
      </c>
      <c r="E639" s="1" t="s">
        <v>1343</v>
      </c>
      <c r="F639" s="1" t="s">
        <v>183</v>
      </c>
      <c r="G639" s="3">
        <v>484</v>
      </c>
      <c r="H639" s="4">
        <v>6</v>
      </c>
      <c r="I639" s="5">
        <v>2042.48</v>
      </c>
      <c r="J639" s="5">
        <v>0</v>
      </c>
      <c r="K639" s="1" t="s">
        <v>36</v>
      </c>
      <c r="L639" s="1" t="s">
        <v>75</v>
      </c>
      <c r="M639" s="1" t="s">
        <v>37</v>
      </c>
      <c r="N639" s="3">
        <v>484</v>
      </c>
      <c r="O639" s="6">
        <f>Table1[[#This Row],[Invoice Qty]]-Table1[[#This Row],[ExFactory Qty]]</f>
        <v>0</v>
      </c>
      <c r="P639" s="1" t="s">
        <v>1902</v>
      </c>
      <c r="Q639" s="2">
        <v>46285.727581018502</v>
      </c>
      <c r="S639" s="1" t="s">
        <v>39</v>
      </c>
      <c r="U639" s="1" t="s">
        <v>40</v>
      </c>
      <c r="V639" s="1" t="s">
        <v>77</v>
      </c>
      <c r="W639" s="1" t="s">
        <v>40</v>
      </c>
      <c r="X639" s="1" t="s">
        <v>40</v>
      </c>
      <c r="AA639" s="1" t="s">
        <v>1959</v>
      </c>
      <c r="AB639" s="2">
        <v>46285</v>
      </c>
      <c r="AC639" s="2">
        <v>46285.476377314801</v>
      </c>
      <c r="AE639" s="1" t="s">
        <v>40</v>
      </c>
      <c r="AF639" s="1" t="s">
        <v>326</v>
      </c>
    </row>
    <row r="640" spans="1:32" ht="12.75" hidden="1" customHeight="1" x14ac:dyDescent="0.2">
      <c r="A640" s="1" t="s">
        <v>86</v>
      </c>
      <c r="B640" s="1" t="s">
        <v>1960</v>
      </c>
      <c r="C640" s="1" t="s">
        <v>71</v>
      </c>
      <c r="D640" s="1" t="s">
        <v>457</v>
      </c>
      <c r="E640" s="1" t="s">
        <v>1343</v>
      </c>
      <c r="F640" s="1" t="s">
        <v>252</v>
      </c>
      <c r="G640" s="3">
        <v>163</v>
      </c>
      <c r="H640" s="4">
        <v>3</v>
      </c>
      <c r="I640" s="5">
        <v>687.86</v>
      </c>
      <c r="J640" s="5">
        <v>0</v>
      </c>
      <c r="K640" s="1" t="s">
        <v>36</v>
      </c>
      <c r="L640" s="1" t="s">
        <v>75</v>
      </c>
      <c r="M640" s="1" t="s">
        <v>37</v>
      </c>
      <c r="N640" s="3">
        <v>163</v>
      </c>
      <c r="O640" s="6">
        <f>Table1[[#This Row],[Invoice Qty]]-Table1[[#This Row],[ExFactory Qty]]</f>
        <v>0</v>
      </c>
      <c r="P640" s="1" t="s">
        <v>1902</v>
      </c>
      <c r="Q640" s="2">
        <v>46285.727581018502</v>
      </c>
      <c r="S640" s="1" t="s">
        <v>39</v>
      </c>
      <c r="U640" s="1" t="s">
        <v>40</v>
      </c>
      <c r="V640" s="1" t="s">
        <v>77</v>
      </c>
      <c r="W640" s="1" t="s">
        <v>40</v>
      </c>
      <c r="X640" s="1" t="s">
        <v>40</v>
      </c>
      <c r="AA640" s="1" t="s">
        <v>1961</v>
      </c>
      <c r="AB640" s="2">
        <v>46285</v>
      </c>
      <c r="AC640" s="2">
        <v>46285.476377314801</v>
      </c>
      <c r="AE640" s="1" t="s">
        <v>40</v>
      </c>
      <c r="AF640" s="1" t="s">
        <v>326</v>
      </c>
    </row>
    <row r="641" spans="1:32" ht="12.75" hidden="1" customHeight="1" x14ac:dyDescent="0.2">
      <c r="A641" s="1" t="s">
        <v>86</v>
      </c>
      <c r="B641" s="1" t="s">
        <v>1962</v>
      </c>
      <c r="C641" s="1" t="s">
        <v>71</v>
      </c>
      <c r="D641" s="1" t="s">
        <v>457</v>
      </c>
      <c r="E641" s="1" t="s">
        <v>1343</v>
      </c>
      <c r="F641" s="1" t="s">
        <v>269</v>
      </c>
      <c r="G641" s="3">
        <v>478</v>
      </c>
      <c r="H641" s="4">
        <v>8</v>
      </c>
      <c r="I641" s="5">
        <v>2017.16</v>
      </c>
      <c r="J641" s="5">
        <v>0</v>
      </c>
      <c r="K641" s="1" t="s">
        <v>36</v>
      </c>
      <c r="L641" s="1" t="s">
        <v>75</v>
      </c>
      <c r="M641" s="1" t="s">
        <v>37</v>
      </c>
      <c r="N641" s="3">
        <v>478</v>
      </c>
      <c r="O641" s="6">
        <f>Table1[[#This Row],[Invoice Qty]]-Table1[[#This Row],[ExFactory Qty]]</f>
        <v>0</v>
      </c>
      <c r="P641" s="1" t="s">
        <v>1917</v>
      </c>
      <c r="Q641" s="2">
        <v>46285.621782407397</v>
      </c>
      <c r="S641" s="1" t="s">
        <v>39</v>
      </c>
      <c r="U641" s="1" t="s">
        <v>40</v>
      </c>
      <c r="V641" s="1" t="s">
        <v>77</v>
      </c>
      <c r="W641" s="1" t="s">
        <v>40</v>
      </c>
      <c r="X641" s="1" t="s">
        <v>40</v>
      </c>
      <c r="AA641" s="1" t="s">
        <v>1963</v>
      </c>
      <c r="AB641" s="2">
        <v>46285</v>
      </c>
      <c r="AC641" s="2">
        <v>46285.476377314801</v>
      </c>
      <c r="AE641" s="1" t="s">
        <v>40</v>
      </c>
      <c r="AF641" s="1" t="s">
        <v>326</v>
      </c>
    </row>
    <row r="642" spans="1:32" ht="12.75" hidden="1" customHeight="1" x14ac:dyDescent="0.2">
      <c r="A642" s="1" t="s">
        <v>86</v>
      </c>
      <c r="B642" s="1" t="s">
        <v>1964</v>
      </c>
      <c r="C642" s="1" t="s">
        <v>71</v>
      </c>
      <c r="D642" s="1" t="s">
        <v>457</v>
      </c>
      <c r="E642" s="1" t="s">
        <v>1343</v>
      </c>
      <c r="F642" s="1" t="s">
        <v>651</v>
      </c>
      <c r="G642" s="3">
        <v>221</v>
      </c>
      <c r="H642" s="4">
        <v>3</v>
      </c>
      <c r="I642" s="5">
        <v>932.62</v>
      </c>
      <c r="J642" s="5">
        <v>0</v>
      </c>
      <c r="K642" s="1" t="s">
        <v>36</v>
      </c>
      <c r="L642" s="1" t="s">
        <v>75</v>
      </c>
      <c r="M642" s="1" t="s">
        <v>37</v>
      </c>
      <c r="N642" s="3">
        <v>221</v>
      </c>
      <c r="O642" s="6">
        <f>Table1[[#This Row],[Invoice Qty]]-Table1[[#This Row],[ExFactory Qty]]</f>
        <v>0</v>
      </c>
      <c r="P642" s="1" t="s">
        <v>1917</v>
      </c>
      <c r="Q642" s="2">
        <v>46285.621782407397</v>
      </c>
      <c r="S642" s="1" t="s">
        <v>39</v>
      </c>
      <c r="U642" s="1" t="s">
        <v>40</v>
      </c>
      <c r="V642" s="1" t="s">
        <v>77</v>
      </c>
      <c r="W642" s="1" t="s">
        <v>40</v>
      </c>
      <c r="X642" s="1" t="s">
        <v>40</v>
      </c>
      <c r="AA642" s="1" t="s">
        <v>1965</v>
      </c>
      <c r="AB642" s="2">
        <v>46285</v>
      </c>
      <c r="AC642" s="2">
        <v>46285.476377314801</v>
      </c>
      <c r="AE642" s="1" t="s">
        <v>40</v>
      </c>
      <c r="AF642" s="1" t="s">
        <v>326</v>
      </c>
    </row>
    <row r="643" spans="1:32" ht="12.75" hidden="1" customHeight="1" x14ac:dyDescent="0.2">
      <c r="A643" s="1" t="s">
        <v>86</v>
      </c>
      <c r="B643" s="1" t="s">
        <v>1966</v>
      </c>
      <c r="C643" s="1" t="s">
        <v>71</v>
      </c>
      <c r="D643" s="1" t="s">
        <v>457</v>
      </c>
      <c r="E643" s="1" t="s">
        <v>1343</v>
      </c>
      <c r="F643" s="1" t="s">
        <v>654</v>
      </c>
      <c r="G643" s="3">
        <v>187</v>
      </c>
      <c r="H643" s="4">
        <v>4</v>
      </c>
      <c r="I643" s="5">
        <v>789.14</v>
      </c>
      <c r="J643" s="5">
        <v>0</v>
      </c>
      <c r="K643" s="1" t="s">
        <v>36</v>
      </c>
      <c r="L643" s="1" t="s">
        <v>75</v>
      </c>
      <c r="M643" s="1" t="s">
        <v>37</v>
      </c>
      <c r="N643" s="3">
        <v>187</v>
      </c>
      <c r="O643" s="6">
        <f>Table1[[#This Row],[Invoice Qty]]-Table1[[#This Row],[ExFactory Qty]]</f>
        <v>0</v>
      </c>
      <c r="P643" s="1" t="s">
        <v>1306</v>
      </c>
      <c r="Q643" s="2">
        <v>46285.719444444403</v>
      </c>
      <c r="S643" s="1" t="s">
        <v>39</v>
      </c>
      <c r="U643" s="1" t="s">
        <v>40</v>
      </c>
      <c r="V643" s="1" t="s">
        <v>77</v>
      </c>
      <c r="W643" s="1" t="s">
        <v>40</v>
      </c>
      <c r="X643" s="1" t="s">
        <v>40</v>
      </c>
      <c r="Z643" s="2">
        <v>46291</v>
      </c>
      <c r="AA643" s="1" t="s">
        <v>1967</v>
      </c>
      <c r="AB643" s="2">
        <v>46285</v>
      </c>
      <c r="AC643" s="2">
        <v>46285.476377314801</v>
      </c>
      <c r="AE643" s="1" t="s">
        <v>40</v>
      </c>
      <c r="AF643" s="1" t="s">
        <v>326</v>
      </c>
    </row>
    <row r="644" spans="1:32" ht="12.75" hidden="1" customHeight="1" x14ac:dyDescent="0.2">
      <c r="A644" s="1" t="s">
        <v>86</v>
      </c>
      <c r="B644" s="1" t="s">
        <v>1968</v>
      </c>
      <c r="C644" s="1" t="s">
        <v>71</v>
      </c>
      <c r="D644" s="1" t="s">
        <v>457</v>
      </c>
      <c r="E644" s="1" t="s">
        <v>1969</v>
      </c>
      <c r="F644" s="1" t="s">
        <v>735</v>
      </c>
      <c r="G644" s="3">
        <v>108</v>
      </c>
      <c r="H644" s="4">
        <v>2</v>
      </c>
      <c r="I644" s="5">
        <v>513</v>
      </c>
      <c r="J644" s="5">
        <v>0</v>
      </c>
      <c r="K644" s="1" t="s">
        <v>36</v>
      </c>
      <c r="L644" s="1" t="s">
        <v>75</v>
      </c>
      <c r="M644" s="1" t="s">
        <v>37</v>
      </c>
      <c r="N644" s="3">
        <v>108</v>
      </c>
      <c r="O644" s="6">
        <f>Table1[[#This Row],[Invoice Qty]]-Table1[[#This Row],[ExFactory Qty]]</f>
        <v>0</v>
      </c>
      <c r="P644" s="1" t="s">
        <v>1306</v>
      </c>
      <c r="Q644" s="2">
        <v>46285.719444444403</v>
      </c>
      <c r="S644" s="1" t="s">
        <v>39</v>
      </c>
      <c r="U644" s="1" t="s">
        <v>40</v>
      </c>
      <c r="V644" s="1" t="s">
        <v>77</v>
      </c>
      <c r="W644" s="1" t="s">
        <v>40</v>
      </c>
      <c r="X644" s="1" t="s">
        <v>40</v>
      </c>
      <c r="AA644" s="1" t="s">
        <v>1970</v>
      </c>
      <c r="AB644" s="2">
        <v>46285</v>
      </c>
      <c r="AC644" s="2">
        <v>46285.476377314801</v>
      </c>
      <c r="AE644" s="1" t="s">
        <v>40</v>
      </c>
      <c r="AF644" s="1" t="s">
        <v>326</v>
      </c>
    </row>
    <row r="645" spans="1:32" ht="12.75" hidden="1" customHeight="1" x14ac:dyDescent="0.2">
      <c r="A645" s="1" t="s">
        <v>86</v>
      </c>
      <c r="B645" s="1" t="s">
        <v>1971</v>
      </c>
      <c r="C645" s="1" t="s">
        <v>71</v>
      </c>
      <c r="D645" s="1" t="s">
        <v>457</v>
      </c>
      <c r="E645" s="1" t="s">
        <v>1969</v>
      </c>
      <c r="F645" s="1" t="s">
        <v>654</v>
      </c>
      <c r="G645" s="3">
        <v>2049</v>
      </c>
      <c r="H645" s="4">
        <v>25</v>
      </c>
      <c r="I645" s="5">
        <v>9732.75</v>
      </c>
      <c r="J645" s="5">
        <v>0</v>
      </c>
      <c r="K645" s="1" t="s">
        <v>36</v>
      </c>
      <c r="L645" s="1" t="s">
        <v>75</v>
      </c>
      <c r="M645" s="1" t="s">
        <v>37</v>
      </c>
      <c r="N645" s="3">
        <v>2049</v>
      </c>
      <c r="O645" s="6">
        <f>Table1[[#This Row],[Invoice Qty]]-Table1[[#This Row],[ExFactory Qty]]</f>
        <v>0</v>
      </c>
      <c r="P645" s="1" t="s">
        <v>1306</v>
      </c>
      <c r="Q645" s="2">
        <v>46285.719444444403</v>
      </c>
      <c r="S645" s="1" t="s">
        <v>39</v>
      </c>
      <c r="U645" s="1" t="s">
        <v>40</v>
      </c>
      <c r="V645" s="1" t="s">
        <v>77</v>
      </c>
      <c r="W645" s="1" t="s">
        <v>40</v>
      </c>
      <c r="X645" s="1" t="s">
        <v>40</v>
      </c>
      <c r="Z645" s="2">
        <v>46292</v>
      </c>
      <c r="AA645" s="1" t="s">
        <v>1972</v>
      </c>
      <c r="AB645" s="2">
        <v>46285</v>
      </c>
      <c r="AC645" s="2">
        <v>46285.476377314801</v>
      </c>
      <c r="AE645" s="1" t="s">
        <v>40</v>
      </c>
      <c r="AF645" s="1" t="s">
        <v>326</v>
      </c>
    </row>
    <row r="646" spans="1:32" ht="12.75" hidden="1" customHeight="1" x14ac:dyDescent="0.2">
      <c r="A646" s="1" t="s">
        <v>86</v>
      </c>
      <c r="B646" s="1" t="s">
        <v>1973</v>
      </c>
      <c r="C646" s="1" t="s">
        <v>71</v>
      </c>
      <c r="D646" s="1" t="s">
        <v>457</v>
      </c>
      <c r="E646" s="1" t="s">
        <v>1969</v>
      </c>
      <c r="F646" s="1" t="s">
        <v>727</v>
      </c>
      <c r="G646" s="3">
        <v>649</v>
      </c>
      <c r="H646" s="4">
        <v>9</v>
      </c>
      <c r="I646" s="5">
        <v>3082.75</v>
      </c>
      <c r="J646" s="5">
        <v>0</v>
      </c>
      <c r="K646" s="1" t="s">
        <v>36</v>
      </c>
      <c r="L646" s="1" t="s">
        <v>75</v>
      </c>
      <c r="M646" s="1" t="s">
        <v>37</v>
      </c>
      <c r="N646" s="3">
        <v>649</v>
      </c>
      <c r="O646" s="6">
        <f>Table1[[#This Row],[Invoice Qty]]-Table1[[#This Row],[ExFactory Qty]]</f>
        <v>0</v>
      </c>
      <c r="P646" s="1" t="s">
        <v>1905</v>
      </c>
      <c r="Q646" s="2">
        <v>46285.627395833297</v>
      </c>
      <c r="S646" s="1" t="s">
        <v>39</v>
      </c>
      <c r="U646" s="1" t="s">
        <v>40</v>
      </c>
      <c r="V646" s="1" t="s">
        <v>77</v>
      </c>
      <c r="W646" s="1" t="s">
        <v>40</v>
      </c>
      <c r="X646" s="1" t="s">
        <v>40</v>
      </c>
      <c r="AA646" s="1" t="s">
        <v>1974</v>
      </c>
      <c r="AB646" s="2">
        <v>46285</v>
      </c>
      <c r="AC646" s="2">
        <v>46285.476377314801</v>
      </c>
      <c r="AE646" s="1" t="s">
        <v>40</v>
      </c>
      <c r="AF646" s="1" t="s">
        <v>326</v>
      </c>
    </row>
    <row r="647" spans="1:32" ht="12.75" hidden="1" customHeight="1" x14ac:dyDescent="0.2">
      <c r="A647" s="1" t="s">
        <v>86</v>
      </c>
      <c r="B647" s="1" t="s">
        <v>1975</v>
      </c>
      <c r="C647" s="1" t="s">
        <v>71</v>
      </c>
      <c r="D647" s="1" t="s">
        <v>457</v>
      </c>
      <c r="E647" s="1" t="s">
        <v>1028</v>
      </c>
      <c r="F647" s="1" t="s">
        <v>759</v>
      </c>
      <c r="G647" s="3">
        <v>5853</v>
      </c>
      <c r="H647" s="4">
        <v>71</v>
      </c>
      <c r="I647" s="5">
        <v>24758.19</v>
      </c>
      <c r="J647" s="5">
        <v>0</v>
      </c>
      <c r="K647" s="1" t="s">
        <v>36</v>
      </c>
      <c r="L647" s="1" t="s">
        <v>75</v>
      </c>
      <c r="M647" s="1" t="s">
        <v>37</v>
      </c>
      <c r="N647" s="3">
        <v>5853</v>
      </c>
      <c r="O647" s="6">
        <f>Table1[[#This Row],[Invoice Qty]]-Table1[[#This Row],[ExFactory Qty]]</f>
        <v>0</v>
      </c>
      <c r="P647" s="1" t="s">
        <v>1306</v>
      </c>
      <c r="Q647" s="2">
        <v>46285.719444444403</v>
      </c>
      <c r="S647" s="1" t="s">
        <v>39</v>
      </c>
      <c r="U647" s="1" t="s">
        <v>40</v>
      </c>
      <c r="V647" s="1" t="s">
        <v>77</v>
      </c>
      <c r="W647" s="1" t="s">
        <v>40</v>
      </c>
      <c r="X647" s="1" t="s">
        <v>40</v>
      </c>
      <c r="AA647" s="1" t="s">
        <v>1976</v>
      </c>
      <c r="AB647" s="2">
        <v>46285</v>
      </c>
      <c r="AC647" s="2">
        <v>46285</v>
      </c>
      <c r="AE647" s="1" t="s">
        <v>40</v>
      </c>
      <c r="AF647" s="1" t="s">
        <v>326</v>
      </c>
    </row>
    <row r="648" spans="1:32" ht="12.75" hidden="1" customHeight="1" x14ac:dyDescent="0.2">
      <c r="A648" s="1" t="s">
        <v>86</v>
      </c>
      <c r="B648" s="1" t="s">
        <v>1977</v>
      </c>
      <c r="C648" s="1" t="s">
        <v>71</v>
      </c>
      <c r="D648" s="1" t="s">
        <v>72</v>
      </c>
      <c r="E648" s="1" t="s">
        <v>1334</v>
      </c>
      <c r="F648" s="1" t="s">
        <v>759</v>
      </c>
      <c r="G648" s="3">
        <v>84</v>
      </c>
      <c r="H648" s="4">
        <v>1</v>
      </c>
      <c r="I648" s="5">
        <v>277.2</v>
      </c>
      <c r="J648" s="5">
        <v>0</v>
      </c>
      <c r="K648" s="1" t="s">
        <v>36</v>
      </c>
      <c r="L648" s="1" t="s">
        <v>75</v>
      </c>
      <c r="M648" s="1" t="s">
        <v>37</v>
      </c>
      <c r="N648" s="3">
        <v>84</v>
      </c>
      <c r="O648" s="6">
        <f>Table1[[#This Row],[Invoice Qty]]-Table1[[#This Row],[ExFactory Qty]]</f>
        <v>0</v>
      </c>
      <c r="P648" s="1" t="s">
        <v>1306</v>
      </c>
      <c r="Q648" s="2">
        <v>46285.719444444403</v>
      </c>
      <c r="S648" s="1" t="s">
        <v>39</v>
      </c>
      <c r="U648" s="1" t="s">
        <v>40</v>
      </c>
      <c r="V648" s="1" t="s">
        <v>77</v>
      </c>
      <c r="W648" s="1" t="s">
        <v>40</v>
      </c>
      <c r="X648" s="1" t="s">
        <v>40</v>
      </c>
      <c r="AA648" s="1" t="s">
        <v>1978</v>
      </c>
      <c r="AB648" s="2">
        <v>46285</v>
      </c>
      <c r="AC648" s="2">
        <v>46285</v>
      </c>
      <c r="AE648" s="1" t="s">
        <v>40</v>
      </c>
      <c r="AF648" s="1" t="s">
        <v>79</v>
      </c>
    </row>
    <row r="649" spans="1:32" ht="12.75" hidden="1" customHeight="1" x14ac:dyDescent="0.2">
      <c r="A649" s="1" t="s">
        <v>111</v>
      </c>
      <c r="B649" s="1" t="s">
        <v>1979</v>
      </c>
      <c r="C649" s="1" t="s">
        <v>1779</v>
      </c>
      <c r="D649" s="1" t="s">
        <v>1780</v>
      </c>
      <c r="E649" s="1" t="s">
        <v>1980</v>
      </c>
      <c r="F649" s="1" t="s">
        <v>1782</v>
      </c>
      <c r="G649" s="3">
        <v>4778</v>
      </c>
      <c r="H649" s="4">
        <v>159</v>
      </c>
      <c r="I649" s="5">
        <v>15002.92</v>
      </c>
      <c r="J649" s="5">
        <v>0</v>
      </c>
      <c r="K649" s="1" t="s">
        <v>36</v>
      </c>
      <c r="L649" s="1" t="s">
        <v>51</v>
      </c>
      <c r="M649" s="1" t="s">
        <v>247</v>
      </c>
      <c r="N649" s="3">
        <v>4778</v>
      </c>
      <c r="O649" s="6">
        <f>Table1[[#This Row],[Invoice Qty]]-Table1[[#This Row],[ExFactory Qty]]</f>
        <v>0</v>
      </c>
      <c r="P649" s="1" t="s">
        <v>1783</v>
      </c>
      <c r="Q649" s="2">
        <v>46285.499895833302</v>
      </c>
      <c r="R649" s="2">
        <v>46292</v>
      </c>
      <c r="S649" s="1" t="s">
        <v>53</v>
      </c>
      <c r="T649" s="2">
        <v>46295</v>
      </c>
      <c r="U649" s="1" t="s">
        <v>1784</v>
      </c>
      <c r="V649" s="1" t="s">
        <v>55</v>
      </c>
      <c r="W649" s="1" t="s">
        <v>40</v>
      </c>
      <c r="X649" s="1" t="s">
        <v>40</v>
      </c>
      <c r="AA649" s="1" t="s">
        <v>1981</v>
      </c>
      <c r="AB649" s="2">
        <v>46286</v>
      </c>
      <c r="AC649" s="2">
        <v>46286</v>
      </c>
      <c r="AE649" s="1" t="s">
        <v>40</v>
      </c>
      <c r="AF649" s="1" t="s">
        <v>296</v>
      </c>
    </row>
    <row r="650" spans="1:32" ht="12.75" hidden="1" customHeight="1" x14ac:dyDescent="0.2">
      <c r="A650" s="1" t="s">
        <v>30</v>
      </c>
      <c r="B650" s="1" t="s">
        <v>1982</v>
      </c>
      <c r="C650" s="1" t="s">
        <v>244</v>
      </c>
      <c r="D650" s="1" t="s">
        <v>245</v>
      </c>
      <c r="E650" s="1" t="s">
        <v>569</v>
      </c>
      <c r="F650" s="1" t="s">
        <v>183</v>
      </c>
      <c r="G650" s="3">
        <v>5040</v>
      </c>
      <c r="H650" s="4">
        <v>126</v>
      </c>
      <c r="I650" s="5">
        <v>12273.66</v>
      </c>
      <c r="J650" s="5">
        <v>578.34</v>
      </c>
      <c r="K650" s="1" t="s">
        <v>36</v>
      </c>
      <c r="L650" s="1" t="s">
        <v>51</v>
      </c>
      <c r="M650" s="1" t="s">
        <v>247</v>
      </c>
      <c r="N650" s="3">
        <v>5040</v>
      </c>
      <c r="O650" s="6">
        <f>Table1[[#This Row],[Invoice Qty]]-Table1[[#This Row],[ExFactory Qty]]</f>
        <v>0</v>
      </c>
      <c r="P650" s="1" t="s">
        <v>1983</v>
      </c>
      <c r="Q650" s="2">
        <v>46286.933171296303</v>
      </c>
      <c r="R650" s="2">
        <v>46294</v>
      </c>
      <c r="S650" s="1" t="s">
        <v>39</v>
      </c>
      <c r="U650" s="1" t="s">
        <v>40</v>
      </c>
      <c r="V650" s="1" t="s">
        <v>55</v>
      </c>
      <c r="W650" s="1" t="s">
        <v>40</v>
      </c>
      <c r="X650" s="1" t="s">
        <v>40</v>
      </c>
      <c r="AA650" s="1" t="s">
        <v>1984</v>
      </c>
      <c r="AB650" s="2">
        <v>46286</v>
      </c>
      <c r="AC650" s="2">
        <v>46286</v>
      </c>
      <c r="AE650" s="1" t="s">
        <v>40</v>
      </c>
      <c r="AF650" s="1" t="s">
        <v>174</v>
      </c>
    </row>
    <row r="651" spans="1:32" ht="12.75" hidden="1" customHeight="1" x14ac:dyDescent="0.2">
      <c r="A651" s="1" t="s">
        <v>30</v>
      </c>
      <c r="B651" s="1" t="s">
        <v>1985</v>
      </c>
      <c r="C651" s="1" t="s">
        <v>244</v>
      </c>
      <c r="D651" s="1" t="s">
        <v>245</v>
      </c>
      <c r="E651" s="1" t="s">
        <v>569</v>
      </c>
      <c r="F651" s="1" t="s">
        <v>252</v>
      </c>
      <c r="G651" s="3">
        <v>4640</v>
      </c>
      <c r="H651" s="4">
        <v>116</v>
      </c>
      <c r="I651" s="5">
        <v>11299.56</v>
      </c>
      <c r="J651" s="5">
        <v>532.44000000000005</v>
      </c>
      <c r="K651" s="1" t="s">
        <v>36</v>
      </c>
      <c r="L651" s="1" t="s">
        <v>51</v>
      </c>
      <c r="M651" s="1" t="s">
        <v>247</v>
      </c>
      <c r="N651" s="3">
        <v>4640</v>
      </c>
      <c r="O651" s="6">
        <f>Table1[[#This Row],[Invoice Qty]]-Table1[[#This Row],[ExFactory Qty]]</f>
        <v>0</v>
      </c>
      <c r="P651" s="1" t="s">
        <v>1983</v>
      </c>
      <c r="Q651" s="2">
        <v>46286.933171296303</v>
      </c>
      <c r="R651" s="2">
        <v>46294</v>
      </c>
      <c r="S651" s="1" t="s">
        <v>39</v>
      </c>
      <c r="U651" s="1" t="s">
        <v>40</v>
      </c>
      <c r="V651" s="1" t="s">
        <v>55</v>
      </c>
      <c r="W651" s="1" t="s">
        <v>40</v>
      </c>
      <c r="X651" s="1" t="s">
        <v>40</v>
      </c>
      <c r="AA651" s="1" t="s">
        <v>1986</v>
      </c>
      <c r="AB651" s="2">
        <v>46286</v>
      </c>
      <c r="AC651" s="2">
        <v>46286</v>
      </c>
      <c r="AE651" s="1" t="s">
        <v>40</v>
      </c>
      <c r="AF651" s="1" t="s">
        <v>174</v>
      </c>
    </row>
    <row r="652" spans="1:32" ht="12.75" hidden="1" customHeight="1" x14ac:dyDescent="0.2">
      <c r="A652" s="1" t="s">
        <v>30</v>
      </c>
      <c r="B652" s="1" t="s">
        <v>1987</v>
      </c>
      <c r="C652" s="1" t="s">
        <v>244</v>
      </c>
      <c r="D652" s="1" t="s">
        <v>245</v>
      </c>
      <c r="E652" s="1" t="s">
        <v>569</v>
      </c>
      <c r="F652" s="1" t="s">
        <v>262</v>
      </c>
      <c r="G652" s="3">
        <v>4400</v>
      </c>
      <c r="H652" s="4">
        <v>110</v>
      </c>
      <c r="I652" s="5">
        <v>10715.1</v>
      </c>
      <c r="J652" s="5">
        <v>504.9</v>
      </c>
      <c r="K652" s="1" t="s">
        <v>36</v>
      </c>
      <c r="L652" s="1" t="s">
        <v>51</v>
      </c>
      <c r="M652" s="1" t="s">
        <v>247</v>
      </c>
      <c r="N652" s="3">
        <v>4400</v>
      </c>
      <c r="O652" s="6">
        <f>Table1[[#This Row],[Invoice Qty]]-Table1[[#This Row],[ExFactory Qty]]</f>
        <v>0</v>
      </c>
      <c r="P652" s="1" t="s">
        <v>1983</v>
      </c>
      <c r="Q652" s="2">
        <v>46286.933171296303</v>
      </c>
      <c r="R652" s="2">
        <v>46294</v>
      </c>
      <c r="S652" s="1" t="s">
        <v>39</v>
      </c>
      <c r="U652" s="1" t="s">
        <v>40</v>
      </c>
      <c r="V652" s="1" t="s">
        <v>55</v>
      </c>
      <c r="W652" s="1" t="s">
        <v>40</v>
      </c>
      <c r="X652" s="1" t="s">
        <v>40</v>
      </c>
      <c r="AA652" s="1" t="s">
        <v>1988</v>
      </c>
      <c r="AB652" s="2">
        <v>46286</v>
      </c>
      <c r="AC652" s="2">
        <v>46286</v>
      </c>
      <c r="AE652" s="1" t="s">
        <v>40</v>
      </c>
      <c r="AF652" s="1" t="s">
        <v>174</v>
      </c>
    </row>
    <row r="653" spans="1:32" ht="12.75" hidden="1" customHeight="1" x14ac:dyDescent="0.2">
      <c r="A653" s="1" t="s">
        <v>30</v>
      </c>
      <c r="B653" s="1" t="s">
        <v>1989</v>
      </c>
      <c r="C653" s="1" t="s">
        <v>244</v>
      </c>
      <c r="D653" s="1" t="s">
        <v>245</v>
      </c>
      <c r="E653" s="1" t="s">
        <v>569</v>
      </c>
      <c r="F653" s="1" t="s">
        <v>262</v>
      </c>
      <c r="G653" s="3">
        <v>3000</v>
      </c>
      <c r="H653" s="4">
        <v>75</v>
      </c>
      <c r="I653" s="5">
        <v>7305.75</v>
      </c>
      <c r="J653" s="5">
        <v>344.25</v>
      </c>
      <c r="K653" s="1" t="s">
        <v>36</v>
      </c>
      <c r="L653" s="1" t="s">
        <v>51</v>
      </c>
      <c r="M653" s="1" t="s">
        <v>247</v>
      </c>
      <c r="N653" s="3">
        <v>3000</v>
      </c>
      <c r="O653" s="6">
        <f>Table1[[#This Row],[Invoice Qty]]-Table1[[#This Row],[ExFactory Qty]]</f>
        <v>0</v>
      </c>
      <c r="P653" s="1" t="s">
        <v>1983</v>
      </c>
      <c r="Q653" s="2">
        <v>46286.933171296303</v>
      </c>
      <c r="R653" s="2">
        <v>46294</v>
      </c>
      <c r="S653" s="1" t="s">
        <v>39</v>
      </c>
      <c r="U653" s="1" t="s">
        <v>40</v>
      </c>
      <c r="V653" s="1" t="s">
        <v>55</v>
      </c>
      <c r="W653" s="1" t="s">
        <v>40</v>
      </c>
      <c r="X653" s="1" t="s">
        <v>40</v>
      </c>
      <c r="AA653" s="1" t="s">
        <v>1990</v>
      </c>
      <c r="AB653" s="2">
        <v>46286</v>
      </c>
      <c r="AC653" s="2">
        <v>46286</v>
      </c>
      <c r="AE653" s="1" t="s">
        <v>40</v>
      </c>
      <c r="AF653" s="1" t="s">
        <v>174</v>
      </c>
    </row>
    <row r="654" spans="1:32" ht="12.75" hidden="1" customHeight="1" x14ac:dyDescent="0.2">
      <c r="A654" s="1" t="s">
        <v>30</v>
      </c>
      <c r="B654" s="1" t="s">
        <v>1991</v>
      </c>
      <c r="C654" s="1" t="s">
        <v>244</v>
      </c>
      <c r="D654" s="1" t="s">
        <v>245</v>
      </c>
      <c r="E654" s="1" t="s">
        <v>569</v>
      </c>
      <c r="F654" s="1" t="s">
        <v>269</v>
      </c>
      <c r="G654" s="3">
        <v>760</v>
      </c>
      <c r="H654" s="4">
        <v>19</v>
      </c>
      <c r="I654" s="5">
        <v>1850.79</v>
      </c>
      <c r="J654" s="5">
        <v>87.21</v>
      </c>
      <c r="K654" s="1" t="s">
        <v>36</v>
      </c>
      <c r="L654" s="1" t="s">
        <v>51</v>
      </c>
      <c r="M654" s="1" t="s">
        <v>247</v>
      </c>
      <c r="N654" s="3">
        <v>760</v>
      </c>
      <c r="O654" s="6">
        <f>Table1[[#This Row],[Invoice Qty]]-Table1[[#This Row],[ExFactory Qty]]</f>
        <v>0</v>
      </c>
      <c r="P654" s="1" t="s">
        <v>1983</v>
      </c>
      <c r="Q654" s="2">
        <v>46286.933171296303</v>
      </c>
      <c r="R654" s="2">
        <v>46294</v>
      </c>
      <c r="S654" s="1" t="s">
        <v>39</v>
      </c>
      <c r="U654" s="1" t="s">
        <v>40</v>
      </c>
      <c r="V654" s="1" t="s">
        <v>55</v>
      </c>
      <c r="W654" s="1" t="s">
        <v>40</v>
      </c>
      <c r="X654" s="1" t="s">
        <v>40</v>
      </c>
      <c r="AA654" s="1" t="s">
        <v>1992</v>
      </c>
      <c r="AB654" s="2">
        <v>46286</v>
      </c>
      <c r="AC654" s="2">
        <v>46286</v>
      </c>
      <c r="AE654" s="1" t="s">
        <v>40</v>
      </c>
      <c r="AF654" s="1" t="s">
        <v>174</v>
      </c>
    </row>
    <row r="655" spans="1:32" ht="12.75" hidden="1" customHeight="1" x14ac:dyDescent="0.2">
      <c r="A655" s="1" t="s">
        <v>30</v>
      </c>
      <c r="B655" s="1" t="s">
        <v>1993</v>
      </c>
      <c r="C655" s="1" t="s">
        <v>244</v>
      </c>
      <c r="D655" s="1" t="s">
        <v>245</v>
      </c>
      <c r="E655" s="1" t="s">
        <v>569</v>
      </c>
      <c r="F655" s="1" t="s">
        <v>1994</v>
      </c>
      <c r="G655" s="3">
        <v>240</v>
      </c>
      <c r="H655" s="4">
        <v>6</v>
      </c>
      <c r="I655" s="5">
        <v>584.46</v>
      </c>
      <c r="J655" s="5">
        <v>27.54</v>
      </c>
      <c r="K655" s="1" t="s">
        <v>36</v>
      </c>
      <c r="L655" s="1" t="s">
        <v>51</v>
      </c>
      <c r="M655" s="1" t="s">
        <v>247</v>
      </c>
      <c r="N655" s="3">
        <v>240</v>
      </c>
      <c r="O655" s="6">
        <f>Table1[[#This Row],[Invoice Qty]]-Table1[[#This Row],[ExFactory Qty]]</f>
        <v>0</v>
      </c>
      <c r="P655" s="1" t="s">
        <v>1983</v>
      </c>
      <c r="Q655" s="2">
        <v>46286.933171296303</v>
      </c>
      <c r="R655" s="2">
        <v>46294</v>
      </c>
      <c r="S655" s="1" t="s">
        <v>39</v>
      </c>
      <c r="U655" s="1" t="s">
        <v>40</v>
      </c>
      <c r="V655" s="1" t="s">
        <v>55</v>
      </c>
      <c r="W655" s="1" t="s">
        <v>40</v>
      </c>
      <c r="X655" s="1" t="s">
        <v>40</v>
      </c>
      <c r="AA655" s="1" t="s">
        <v>1995</v>
      </c>
      <c r="AB655" s="2">
        <v>46286</v>
      </c>
      <c r="AC655" s="2">
        <v>46286</v>
      </c>
      <c r="AE655" s="1" t="s">
        <v>40</v>
      </c>
      <c r="AF655" s="1" t="s">
        <v>174</v>
      </c>
    </row>
    <row r="656" spans="1:32" ht="12.75" hidden="1" customHeight="1" x14ac:dyDescent="0.2">
      <c r="A656" s="1" t="s">
        <v>86</v>
      </c>
      <c r="B656" s="1" t="s">
        <v>1996</v>
      </c>
      <c r="C656" s="1" t="s">
        <v>160</v>
      </c>
      <c r="D656" s="1" t="s">
        <v>1997</v>
      </c>
      <c r="E656" s="1" t="s">
        <v>1998</v>
      </c>
      <c r="F656" s="1" t="s">
        <v>163</v>
      </c>
      <c r="G656" s="3">
        <v>120</v>
      </c>
      <c r="H656" s="4">
        <v>8</v>
      </c>
      <c r="I656" s="5">
        <v>570</v>
      </c>
      <c r="J656" s="5">
        <v>30</v>
      </c>
      <c r="K656" s="1" t="s">
        <v>36</v>
      </c>
      <c r="L656" s="1" t="s">
        <v>37</v>
      </c>
      <c r="M656" s="1" t="s">
        <v>37</v>
      </c>
      <c r="N656" s="3">
        <v>120</v>
      </c>
      <c r="O656" s="6">
        <f>Table1[[#This Row],[Invoice Qty]]-Table1[[#This Row],[ExFactory Qty]]</f>
        <v>0</v>
      </c>
      <c r="P656" s="1" t="s">
        <v>1999</v>
      </c>
      <c r="Q656" s="2">
        <v>46286.709074074097</v>
      </c>
      <c r="S656" s="1" t="s">
        <v>39</v>
      </c>
      <c r="U656" s="1" t="s">
        <v>40</v>
      </c>
      <c r="V656" s="1" t="s">
        <v>41</v>
      </c>
      <c r="W656" s="1" t="s">
        <v>40</v>
      </c>
      <c r="X656" s="1" t="s">
        <v>40</v>
      </c>
      <c r="AA656" s="1" t="s">
        <v>2000</v>
      </c>
      <c r="AB656" s="2">
        <v>46287</v>
      </c>
      <c r="AC656" s="2">
        <v>46286</v>
      </c>
      <c r="AE656" s="1" t="s">
        <v>40</v>
      </c>
      <c r="AF656" s="1" t="s">
        <v>2001</v>
      </c>
    </row>
    <row r="657" spans="1:32" ht="12.75" hidden="1" customHeight="1" x14ac:dyDescent="0.2">
      <c r="A657" s="1" t="s">
        <v>86</v>
      </c>
      <c r="B657" s="1" t="s">
        <v>2002</v>
      </c>
      <c r="C657" s="1" t="s">
        <v>199</v>
      </c>
      <c r="D657" s="1" t="s">
        <v>850</v>
      </c>
      <c r="E657" s="1" t="s">
        <v>2003</v>
      </c>
      <c r="F657" s="1" t="s">
        <v>183</v>
      </c>
      <c r="G657" s="3">
        <v>2728</v>
      </c>
      <c r="H657" s="4">
        <v>106</v>
      </c>
      <c r="I657" s="5">
        <v>10366.4</v>
      </c>
      <c r="J657" s="5">
        <v>0</v>
      </c>
      <c r="K657" s="1" t="s">
        <v>36</v>
      </c>
      <c r="L657" s="1" t="s">
        <v>51</v>
      </c>
      <c r="M657" s="1" t="s">
        <v>51</v>
      </c>
      <c r="N657" s="3">
        <v>2728</v>
      </c>
      <c r="O657" s="6">
        <f>Table1[[#This Row],[Invoice Qty]]-Table1[[#This Row],[ExFactory Qty]]</f>
        <v>0</v>
      </c>
      <c r="P657" s="1" t="s">
        <v>2004</v>
      </c>
      <c r="Q657" s="2">
        <v>46286.726863425902</v>
      </c>
      <c r="S657" s="1" t="s">
        <v>39</v>
      </c>
      <c r="U657" s="1" t="s">
        <v>40</v>
      </c>
      <c r="V657" s="1" t="s">
        <v>532</v>
      </c>
      <c r="W657" s="1" t="s">
        <v>40</v>
      </c>
      <c r="X657" s="1" t="s">
        <v>40</v>
      </c>
      <c r="AA657" s="1" t="s">
        <v>2005</v>
      </c>
      <c r="AB657" s="2">
        <v>46287</v>
      </c>
      <c r="AC657" s="2">
        <v>46286</v>
      </c>
      <c r="AE657" s="1" t="s">
        <v>40</v>
      </c>
      <c r="AF657" s="1" t="s">
        <v>167</v>
      </c>
    </row>
    <row r="658" spans="1:32" ht="12.75" hidden="1" customHeight="1" x14ac:dyDescent="0.2">
      <c r="A658" s="1" t="s">
        <v>86</v>
      </c>
      <c r="B658" s="1" t="s">
        <v>2006</v>
      </c>
      <c r="C658" s="1" t="s">
        <v>199</v>
      </c>
      <c r="D658" s="1" t="s">
        <v>850</v>
      </c>
      <c r="E658" s="1" t="s">
        <v>2007</v>
      </c>
      <c r="F658" s="1" t="s">
        <v>183</v>
      </c>
      <c r="G658" s="3">
        <v>2160</v>
      </c>
      <c r="H658" s="4">
        <v>107</v>
      </c>
      <c r="I658" s="5">
        <v>8532</v>
      </c>
      <c r="J658" s="5">
        <v>0</v>
      </c>
      <c r="K658" s="1" t="s">
        <v>36</v>
      </c>
      <c r="L658" s="1" t="s">
        <v>51</v>
      </c>
      <c r="M658" s="1" t="s">
        <v>51</v>
      </c>
      <c r="N658" s="3">
        <v>2160</v>
      </c>
      <c r="O658" s="6">
        <f>Table1[[#This Row],[Invoice Qty]]-Table1[[#This Row],[ExFactory Qty]]</f>
        <v>0</v>
      </c>
      <c r="P658" s="1" t="s">
        <v>2008</v>
      </c>
      <c r="Q658" s="2">
        <v>46286.6026851852</v>
      </c>
      <c r="S658" s="1" t="s">
        <v>39</v>
      </c>
      <c r="U658" s="1" t="s">
        <v>40</v>
      </c>
      <c r="V658" s="1" t="s">
        <v>532</v>
      </c>
      <c r="W658" s="1" t="s">
        <v>40</v>
      </c>
      <c r="X658" s="1" t="s">
        <v>40</v>
      </c>
      <c r="AA658" s="1" t="s">
        <v>2009</v>
      </c>
      <c r="AB658" s="2">
        <v>46287</v>
      </c>
      <c r="AC658" s="2">
        <v>46286</v>
      </c>
      <c r="AE658" s="1" t="s">
        <v>40</v>
      </c>
      <c r="AF658" s="1" t="s">
        <v>167</v>
      </c>
    </row>
    <row r="659" spans="1:32" ht="12.75" hidden="1" customHeight="1" x14ac:dyDescent="0.2">
      <c r="A659" s="1" t="s">
        <v>86</v>
      </c>
      <c r="B659" s="1" t="s">
        <v>2010</v>
      </c>
      <c r="C659" s="1" t="s">
        <v>199</v>
      </c>
      <c r="D659" s="1" t="s">
        <v>850</v>
      </c>
      <c r="E659" s="1" t="s">
        <v>2011</v>
      </c>
      <c r="F659" s="1" t="s">
        <v>183</v>
      </c>
      <c r="G659" s="3">
        <v>4500</v>
      </c>
      <c r="H659" s="4">
        <v>165</v>
      </c>
      <c r="I659" s="5">
        <v>21600</v>
      </c>
      <c r="J659" s="5">
        <v>0</v>
      </c>
      <c r="K659" s="1" t="s">
        <v>36</v>
      </c>
      <c r="L659" s="1" t="s">
        <v>51</v>
      </c>
      <c r="M659" s="1" t="s">
        <v>51</v>
      </c>
      <c r="N659" s="3">
        <v>4500</v>
      </c>
      <c r="O659" s="6">
        <f>Table1[[#This Row],[Invoice Qty]]-Table1[[#This Row],[ExFactory Qty]]</f>
        <v>0</v>
      </c>
      <c r="P659" s="1" t="s">
        <v>2008</v>
      </c>
      <c r="Q659" s="2">
        <v>46286.6026851852</v>
      </c>
      <c r="S659" s="1" t="s">
        <v>39</v>
      </c>
      <c r="U659" s="1" t="s">
        <v>40</v>
      </c>
      <c r="V659" s="1" t="s">
        <v>532</v>
      </c>
      <c r="W659" s="1" t="s">
        <v>40</v>
      </c>
      <c r="X659" s="1" t="s">
        <v>40</v>
      </c>
      <c r="AA659" s="1" t="s">
        <v>2012</v>
      </c>
      <c r="AB659" s="2">
        <v>46287</v>
      </c>
      <c r="AC659" s="2">
        <v>46286</v>
      </c>
      <c r="AE659" s="1" t="s">
        <v>40</v>
      </c>
      <c r="AF659" s="1" t="s">
        <v>167</v>
      </c>
    </row>
    <row r="660" spans="1:32" ht="12.75" hidden="1" customHeight="1" x14ac:dyDescent="0.2">
      <c r="A660" s="1" t="s">
        <v>86</v>
      </c>
      <c r="B660" s="1" t="s">
        <v>2013</v>
      </c>
      <c r="C660" s="1" t="s">
        <v>199</v>
      </c>
      <c r="D660" s="1" t="s">
        <v>850</v>
      </c>
      <c r="E660" s="1" t="s">
        <v>2014</v>
      </c>
      <c r="F660" s="1" t="s">
        <v>183</v>
      </c>
      <c r="G660" s="3">
        <v>1627</v>
      </c>
      <c r="H660" s="4">
        <v>47</v>
      </c>
      <c r="I660" s="5">
        <v>7809.6</v>
      </c>
      <c r="J660" s="5">
        <v>0</v>
      </c>
      <c r="K660" s="1" t="s">
        <v>36</v>
      </c>
      <c r="L660" s="1" t="s">
        <v>51</v>
      </c>
      <c r="M660" s="1" t="s">
        <v>51</v>
      </c>
      <c r="N660" s="3">
        <v>1627</v>
      </c>
      <c r="O660" s="6">
        <f>Table1[[#This Row],[Invoice Qty]]-Table1[[#This Row],[ExFactory Qty]]</f>
        <v>0</v>
      </c>
      <c r="P660" s="1" t="s">
        <v>2008</v>
      </c>
      <c r="Q660" s="2">
        <v>46286.6026851852</v>
      </c>
      <c r="S660" s="1" t="s">
        <v>39</v>
      </c>
      <c r="U660" s="1" t="s">
        <v>40</v>
      </c>
      <c r="V660" s="1" t="s">
        <v>532</v>
      </c>
      <c r="W660" s="1" t="s">
        <v>40</v>
      </c>
      <c r="X660" s="1" t="s">
        <v>40</v>
      </c>
      <c r="AA660" s="1" t="s">
        <v>2015</v>
      </c>
      <c r="AB660" s="2">
        <v>46287</v>
      </c>
      <c r="AC660" s="2">
        <v>46286</v>
      </c>
      <c r="AE660" s="1" t="s">
        <v>40</v>
      </c>
      <c r="AF660" s="1" t="s">
        <v>167</v>
      </c>
    </row>
    <row r="661" spans="1:32" ht="12.75" hidden="1" customHeight="1" x14ac:dyDescent="0.2">
      <c r="A661" s="1" t="s">
        <v>86</v>
      </c>
      <c r="B661" s="1" t="s">
        <v>2016</v>
      </c>
      <c r="C661" s="1" t="s">
        <v>199</v>
      </c>
      <c r="D661" s="1" t="s">
        <v>850</v>
      </c>
      <c r="E661" s="1" t="s">
        <v>2017</v>
      </c>
      <c r="F661" s="1" t="s">
        <v>183</v>
      </c>
      <c r="G661" s="3">
        <v>7788</v>
      </c>
      <c r="H661" s="4">
        <v>461</v>
      </c>
      <c r="I661" s="5">
        <v>63082.8</v>
      </c>
      <c r="J661" s="5">
        <v>0</v>
      </c>
      <c r="K661" s="1" t="s">
        <v>36</v>
      </c>
      <c r="L661" s="1" t="s">
        <v>51</v>
      </c>
      <c r="M661" s="1" t="s">
        <v>51</v>
      </c>
      <c r="N661" s="3">
        <v>7788</v>
      </c>
      <c r="O661" s="6">
        <f>Table1[[#This Row],[Invoice Qty]]-Table1[[#This Row],[ExFactory Qty]]</f>
        <v>0</v>
      </c>
      <c r="P661" s="1" t="s">
        <v>2004</v>
      </c>
      <c r="Q661" s="2">
        <v>46286.726863425902</v>
      </c>
      <c r="S661" s="1" t="s">
        <v>39</v>
      </c>
      <c r="U661" s="1" t="s">
        <v>40</v>
      </c>
      <c r="V661" s="1" t="s">
        <v>532</v>
      </c>
      <c r="W661" s="1" t="s">
        <v>40</v>
      </c>
      <c r="X661" s="1" t="s">
        <v>40</v>
      </c>
      <c r="AA661" s="1" t="s">
        <v>2018</v>
      </c>
      <c r="AB661" s="2">
        <v>46287</v>
      </c>
      <c r="AC661" s="2">
        <v>46286</v>
      </c>
      <c r="AE661" s="1" t="s">
        <v>40</v>
      </c>
      <c r="AF661" s="1" t="s">
        <v>167</v>
      </c>
    </row>
    <row r="662" spans="1:32" ht="12.75" hidden="1" customHeight="1" x14ac:dyDescent="0.2">
      <c r="A662" s="1" t="s">
        <v>86</v>
      </c>
      <c r="B662" s="1" t="s">
        <v>2019</v>
      </c>
      <c r="C662" s="1" t="s">
        <v>766</v>
      </c>
      <c r="D662" s="1" t="s">
        <v>767</v>
      </c>
      <c r="E662" s="1" t="s">
        <v>2020</v>
      </c>
      <c r="F662" s="1" t="s">
        <v>2021</v>
      </c>
      <c r="G662" s="3">
        <v>2739</v>
      </c>
      <c r="H662" s="4">
        <v>67</v>
      </c>
      <c r="I662" s="5">
        <v>13389.56</v>
      </c>
      <c r="J662" s="5">
        <v>0</v>
      </c>
      <c r="K662" s="1" t="s">
        <v>36</v>
      </c>
      <c r="L662" s="1" t="s">
        <v>75</v>
      </c>
      <c r="M662" s="1" t="s">
        <v>75</v>
      </c>
      <c r="N662" s="3">
        <v>2739</v>
      </c>
      <c r="O662" s="6">
        <f>Table1[[#This Row],[Invoice Qty]]-Table1[[#This Row],[ExFactory Qty]]</f>
        <v>0</v>
      </c>
      <c r="P662" s="1" t="s">
        <v>2022</v>
      </c>
      <c r="Q662" s="2">
        <v>46289.541736111103</v>
      </c>
      <c r="S662" s="1" t="s">
        <v>39</v>
      </c>
      <c r="U662" s="1" t="s">
        <v>40</v>
      </c>
      <c r="V662" s="1" t="s">
        <v>64</v>
      </c>
      <c r="W662" s="1" t="s">
        <v>40</v>
      </c>
      <c r="X662" s="1" t="s">
        <v>40</v>
      </c>
      <c r="AA662" s="1" t="s">
        <v>2023</v>
      </c>
      <c r="AB662" s="2">
        <v>46287</v>
      </c>
      <c r="AC662" s="2">
        <v>46286</v>
      </c>
      <c r="AE662" s="1" t="s">
        <v>40</v>
      </c>
      <c r="AF662" s="1" t="s">
        <v>144</v>
      </c>
    </row>
    <row r="663" spans="1:32" ht="12.75" hidden="1" customHeight="1" x14ac:dyDescent="0.2">
      <c r="A663" s="1" t="s">
        <v>86</v>
      </c>
      <c r="B663" s="1" t="s">
        <v>2024</v>
      </c>
      <c r="C663" s="1" t="s">
        <v>146</v>
      </c>
      <c r="D663" s="1" t="s">
        <v>147</v>
      </c>
      <c r="E663" s="1" t="s">
        <v>2025</v>
      </c>
      <c r="F663" s="1" t="s">
        <v>540</v>
      </c>
      <c r="G663" s="3">
        <v>805</v>
      </c>
      <c r="H663" s="4">
        <v>15</v>
      </c>
      <c r="I663" s="5">
        <v>2689.83</v>
      </c>
      <c r="J663" s="5">
        <v>112.08</v>
      </c>
      <c r="K663" s="1" t="s">
        <v>36</v>
      </c>
      <c r="L663" s="1" t="s">
        <v>37</v>
      </c>
      <c r="M663" s="1" t="s">
        <v>37</v>
      </c>
      <c r="N663" s="3">
        <v>805</v>
      </c>
      <c r="O663" s="6">
        <f>Table1[[#This Row],[Invoice Qty]]-Table1[[#This Row],[ExFactory Qty]]</f>
        <v>0</v>
      </c>
      <c r="P663" s="1" t="s">
        <v>2026</v>
      </c>
      <c r="Q663" s="2">
        <v>46286.442662037</v>
      </c>
      <c r="S663" s="1" t="s">
        <v>39</v>
      </c>
      <c r="U663" s="1" t="s">
        <v>40</v>
      </c>
      <c r="V663" s="1" t="s">
        <v>64</v>
      </c>
      <c r="W663" s="1" t="s">
        <v>40</v>
      </c>
      <c r="X663" s="1" t="s">
        <v>40</v>
      </c>
      <c r="AA663" s="1" t="s">
        <v>2027</v>
      </c>
      <c r="AB663" s="2">
        <v>46287</v>
      </c>
      <c r="AC663" s="2">
        <v>46287</v>
      </c>
      <c r="AE663" s="1" t="s">
        <v>40</v>
      </c>
      <c r="AF663" s="1" t="s">
        <v>43</v>
      </c>
    </row>
    <row r="664" spans="1:32" ht="12.75" hidden="1" customHeight="1" x14ac:dyDescent="0.2">
      <c r="A664" s="1" t="s">
        <v>86</v>
      </c>
      <c r="B664" s="1" t="s">
        <v>2028</v>
      </c>
      <c r="C664" s="1" t="s">
        <v>146</v>
      </c>
      <c r="D664" s="1" t="s">
        <v>147</v>
      </c>
      <c r="E664" s="1" t="s">
        <v>2029</v>
      </c>
      <c r="F664" s="1" t="s">
        <v>74</v>
      </c>
      <c r="G664" s="3">
        <v>145</v>
      </c>
      <c r="H664" s="4">
        <v>5</v>
      </c>
      <c r="I664" s="5">
        <v>497</v>
      </c>
      <c r="J664" s="5">
        <v>20.71</v>
      </c>
      <c r="K664" s="1" t="s">
        <v>36</v>
      </c>
      <c r="L664" s="1" t="s">
        <v>37</v>
      </c>
      <c r="M664" s="1" t="s">
        <v>37</v>
      </c>
      <c r="N664" s="3">
        <v>145</v>
      </c>
      <c r="O664" s="6">
        <f>Table1[[#This Row],[Invoice Qty]]-Table1[[#This Row],[ExFactory Qty]]</f>
        <v>0</v>
      </c>
      <c r="P664" s="1" t="s">
        <v>2026</v>
      </c>
      <c r="Q664" s="2">
        <v>46286.442662037</v>
      </c>
      <c r="S664" s="1" t="s">
        <v>39</v>
      </c>
      <c r="U664" s="1" t="s">
        <v>40</v>
      </c>
      <c r="V664" s="1" t="s">
        <v>64</v>
      </c>
      <c r="W664" s="1" t="s">
        <v>40</v>
      </c>
      <c r="X664" s="1" t="s">
        <v>40</v>
      </c>
      <c r="AA664" s="1" t="s">
        <v>2030</v>
      </c>
      <c r="AB664" s="2">
        <v>46287</v>
      </c>
      <c r="AC664" s="2">
        <v>46287</v>
      </c>
      <c r="AE664" s="1" t="s">
        <v>40</v>
      </c>
      <c r="AF664" s="1" t="s">
        <v>43</v>
      </c>
    </row>
    <row r="665" spans="1:32" ht="12.75" hidden="1" customHeight="1" x14ac:dyDescent="0.2">
      <c r="A665" s="1" t="s">
        <v>86</v>
      </c>
      <c r="B665" s="1" t="s">
        <v>2031</v>
      </c>
      <c r="C665" s="1" t="s">
        <v>291</v>
      </c>
      <c r="D665" s="1" t="s">
        <v>2032</v>
      </c>
      <c r="E665" s="1" t="s">
        <v>2033</v>
      </c>
      <c r="F665" s="1" t="s">
        <v>124</v>
      </c>
      <c r="G665" s="3">
        <v>1625</v>
      </c>
      <c r="H665" s="4">
        <v>23</v>
      </c>
      <c r="I665" s="5">
        <v>6337.5</v>
      </c>
      <c r="J665" s="5">
        <v>0</v>
      </c>
      <c r="K665" s="1" t="s">
        <v>36</v>
      </c>
      <c r="L665" s="1" t="s">
        <v>51</v>
      </c>
      <c r="M665" s="1" t="s">
        <v>247</v>
      </c>
      <c r="N665" s="3">
        <v>1625</v>
      </c>
      <c r="O665" s="6">
        <f>Table1[[#This Row],[Invoice Qty]]-Table1[[#This Row],[ExFactory Qty]]</f>
        <v>0</v>
      </c>
      <c r="P665" s="1" t="s">
        <v>2034</v>
      </c>
      <c r="Q665" s="2">
        <v>46286.528518518498</v>
      </c>
      <c r="S665" s="1" t="s">
        <v>39</v>
      </c>
      <c r="U665" s="1" t="s">
        <v>40</v>
      </c>
      <c r="V665" s="1" t="s">
        <v>55</v>
      </c>
      <c r="W665" s="1" t="s">
        <v>40</v>
      </c>
      <c r="X665" s="1" t="s">
        <v>40</v>
      </c>
      <c r="AA665" s="1" t="s">
        <v>2035</v>
      </c>
      <c r="AB665" s="2">
        <v>46287</v>
      </c>
      <c r="AC665" s="2">
        <v>46287</v>
      </c>
      <c r="AE665" s="1" t="s">
        <v>40</v>
      </c>
      <c r="AF665" s="1" t="s">
        <v>296</v>
      </c>
    </row>
    <row r="666" spans="1:32" ht="12.75" hidden="1" customHeight="1" x14ac:dyDescent="0.2">
      <c r="A666" s="1" t="s">
        <v>86</v>
      </c>
      <c r="B666" s="1" t="s">
        <v>2036</v>
      </c>
      <c r="C666" s="1" t="s">
        <v>291</v>
      </c>
      <c r="D666" s="1" t="s">
        <v>2032</v>
      </c>
      <c r="E666" s="1" t="s">
        <v>2037</v>
      </c>
      <c r="F666" s="1" t="s">
        <v>124</v>
      </c>
      <c r="G666" s="3">
        <v>838</v>
      </c>
      <c r="H666" s="4">
        <v>14</v>
      </c>
      <c r="I666" s="5">
        <v>3268.2</v>
      </c>
      <c r="J666" s="5">
        <v>0</v>
      </c>
      <c r="K666" s="1" t="s">
        <v>36</v>
      </c>
      <c r="L666" s="1" t="s">
        <v>51</v>
      </c>
      <c r="M666" s="1" t="s">
        <v>247</v>
      </c>
      <c r="N666" s="3">
        <v>838</v>
      </c>
      <c r="O666" s="6">
        <f>Table1[[#This Row],[Invoice Qty]]-Table1[[#This Row],[ExFactory Qty]]</f>
        <v>0</v>
      </c>
      <c r="P666" s="1" t="s">
        <v>2034</v>
      </c>
      <c r="Q666" s="2">
        <v>46286.528518518498</v>
      </c>
      <c r="S666" s="1" t="s">
        <v>39</v>
      </c>
      <c r="U666" s="1" t="s">
        <v>40</v>
      </c>
      <c r="V666" s="1" t="s">
        <v>55</v>
      </c>
      <c r="W666" s="1" t="s">
        <v>40</v>
      </c>
      <c r="X666" s="1" t="s">
        <v>40</v>
      </c>
      <c r="AA666" s="1" t="s">
        <v>2038</v>
      </c>
      <c r="AB666" s="2">
        <v>46287</v>
      </c>
      <c r="AC666" s="2">
        <v>46287</v>
      </c>
      <c r="AE666" s="1" t="s">
        <v>40</v>
      </c>
      <c r="AF666" s="1" t="s">
        <v>296</v>
      </c>
    </row>
    <row r="667" spans="1:32" ht="12.75" hidden="1" customHeight="1" x14ac:dyDescent="0.2">
      <c r="A667" s="1" t="s">
        <v>86</v>
      </c>
      <c r="B667" s="1" t="s">
        <v>2039</v>
      </c>
      <c r="C667" s="1" t="s">
        <v>244</v>
      </c>
      <c r="D667" s="1" t="s">
        <v>1350</v>
      </c>
      <c r="E667" s="1" t="s">
        <v>1351</v>
      </c>
      <c r="F667" s="1" t="s">
        <v>258</v>
      </c>
      <c r="G667" s="3">
        <v>2570</v>
      </c>
      <c r="H667" s="4">
        <v>257</v>
      </c>
      <c r="I667" s="5">
        <v>8481</v>
      </c>
      <c r="J667" s="5">
        <v>0</v>
      </c>
      <c r="K667" s="1" t="s">
        <v>36</v>
      </c>
      <c r="L667" s="1" t="s">
        <v>51</v>
      </c>
      <c r="M667" s="1" t="s">
        <v>247</v>
      </c>
      <c r="N667" s="3">
        <v>2570</v>
      </c>
      <c r="O667" s="6">
        <f>Table1[[#This Row],[Invoice Qty]]-Table1[[#This Row],[ExFactory Qty]]</f>
        <v>0</v>
      </c>
      <c r="P667" s="1" t="s">
        <v>2040</v>
      </c>
      <c r="Q667" s="2">
        <v>46286.493171296301</v>
      </c>
      <c r="S667" s="1" t="s">
        <v>39</v>
      </c>
      <c r="U667" s="1" t="s">
        <v>40</v>
      </c>
      <c r="V667" s="1" t="s">
        <v>55</v>
      </c>
      <c r="W667" s="1" t="s">
        <v>40</v>
      </c>
      <c r="X667" s="1" t="s">
        <v>40</v>
      </c>
      <c r="AA667" s="1" t="s">
        <v>2041</v>
      </c>
      <c r="AB667" s="2">
        <v>46287</v>
      </c>
      <c r="AC667" s="2">
        <v>46287</v>
      </c>
      <c r="AE667" s="1" t="s">
        <v>40</v>
      </c>
      <c r="AF667" s="1" t="s">
        <v>174</v>
      </c>
    </row>
    <row r="668" spans="1:32" ht="12.75" hidden="1" customHeight="1" x14ac:dyDescent="0.2">
      <c r="A668" s="1" t="s">
        <v>86</v>
      </c>
      <c r="B668" s="1" t="s">
        <v>2042</v>
      </c>
      <c r="C668" s="1" t="s">
        <v>160</v>
      </c>
      <c r="D668" s="1" t="s">
        <v>1997</v>
      </c>
      <c r="E668" s="1" t="s">
        <v>2043</v>
      </c>
      <c r="F668" s="1" t="s">
        <v>219</v>
      </c>
      <c r="G668" s="3">
        <v>10363</v>
      </c>
      <c r="H668" s="4">
        <v>680</v>
      </c>
      <c r="I668" s="5">
        <v>50328.480000000003</v>
      </c>
      <c r="J668" s="5">
        <v>2648.87</v>
      </c>
      <c r="K668" s="1" t="s">
        <v>36</v>
      </c>
      <c r="L668" s="1" t="s">
        <v>37</v>
      </c>
      <c r="M668" s="1" t="s">
        <v>37</v>
      </c>
      <c r="N668" s="3">
        <v>10363</v>
      </c>
      <c r="O668" s="6">
        <f>Table1[[#This Row],[Invoice Qty]]-Table1[[#This Row],[ExFactory Qty]]</f>
        <v>0</v>
      </c>
      <c r="P668" s="1" t="s">
        <v>2044</v>
      </c>
      <c r="Q668" s="2">
        <v>46287.524826388901</v>
      </c>
      <c r="S668" s="1" t="s">
        <v>39</v>
      </c>
      <c r="U668" s="1" t="s">
        <v>40</v>
      </c>
      <c r="V668" s="1" t="s">
        <v>41</v>
      </c>
      <c r="W668" s="1" t="s">
        <v>40</v>
      </c>
      <c r="X668" s="1" t="s">
        <v>40</v>
      </c>
      <c r="AA668" s="1" t="s">
        <v>2045</v>
      </c>
      <c r="AB668" s="2">
        <v>46288</v>
      </c>
      <c r="AC668" s="2">
        <v>46287</v>
      </c>
      <c r="AE668" s="1" t="s">
        <v>40</v>
      </c>
      <c r="AF668" s="1" t="s">
        <v>2001</v>
      </c>
    </row>
    <row r="669" spans="1:32" ht="12.75" hidden="1" customHeight="1" x14ac:dyDescent="0.2">
      <c r="A669" s="1" t="s">
        <v>86</v>
      </c>
      <c r="B669" s="1" t="s">
        <v>2046</v>
      </c>
      <c r="C669" s="1" t="s">
        <v>121</v>
      </c>
      <c r="D669" s="1" t="s">
        <v>122</v>
      </c>
      <c r="E669" s="1" t="s">
        <v>2047</v>
      </c>
      <c r="F669" s="1" t="s">
        <v>124</v>
      </c>
      <c r="G669" s="3">
        <v>1800</v>
      </c>
      <c r="H669" s="4">
        <v>138</v>
      </c>
      <c r="I669" s="5">
        <v>3045</v>
      </c>
      <c r="J669" s="5">
        <v>0</v>
      </c>
      <c r="K669" s="1" t="s">
        <v>50</v>
      </c>
      <c r="L669" s="1" t="s">
        <v>51</v>
      </c>
      <c r="M669" s="1" t="s">
        <v>125</v>
      </c>
      <c r="N669" s="3">
        <v>1800</v>
      </c>
      <c r="O669" s="6">
        <f>Table1[[#This Row],[Invoice Qty]]-Table1[[#This Row],[ExFactory Qty]]</f>
        <v>0</v>
      </c>
      <c r="P669" s="1" t="s">
        <v>2048</v>
      </c>
      <c r="Q669" s="2">
        <v>46294.7813888889</v>
      </c>
      <c r="S669" s="1" t="s">
        <v>39</v>
      </c>
      <c r="U669" s="1" t="s">
        <v>40</v>
      </c>
      <c r="V669" s="1" t="s">
        <v>55</v>
      </c>
      <c r="W669" s="1" t="s">
        <v>40</v>
      </c>
      <c r="X669" s="1" t="s">
        <v>40</v>
      </c>
      <c r="AA669" s="1" t="s">
        <v>2049</v>
      </c>
      <c r="AB669" s="2">
        <v>46288</v>
      </c>
      <c r="AC669" s="2">
        <v>46287</v>
      </c>
      <c r="AE669" s="1" t="s">
        <v>40</v>
      </c>
      <c r="AF669" s="1" t="s">
        <v>129</v>
      </c>
    </row>
    <row r="670" spans="1:32" ht="12.75" hidden="1" customHeight="1" x14ac:dyDescent="0.2">
      <c r="A670" s="1" t="s">
        <v>86</v>
      </c>
      <c r="B670" s="1" t="s">
        <v>2050</v>
      </c>
      <c r="C670" s="1" t="s">
        <v>146</v>
      </c>
      <c r="D670" s="1" t="s">
        <v>147</v>
      </c>
      <c r="E670" s="1" t="s">
        <v>2051</v>
      </c>
      <c r="F670" s="1" t="s">
        <v>2052</v>
      </c>
      <c r="G670" s="3">
        <v>187</v>
      </c>
      <c r="H670" s="4">
        <v>7</v>
      </c>
      <c r="I670" s="5">
        <v>655.46</v>
      </c>
      <c r="J670" s="5">
        <v>27.31</v>
      </c>
      <c r="K670" s="1" t="s">
        <v>36</v>
      </c>
      <c r="L670" s="1" t="s">
        <v>37</v>
      </c>
      <c r="M670" s="1" t="s">
        <v>37</v>
      </c>
      <c r="N670" s="3">
        <v>187</v>
      </c>
      <c r="O670" s="6">
        <f>Table1[[#This Row],[Invoice Qty]]-Table1[[#This Row],[ExFactory Qty]]</f>
        <v>0</v>
      </c>
      <c r="P670" s="1" t="s">
        <v>2026</v>
      </c>
      <c r="Q670" s="2">
        <v>46286.442662037</v>
      </c>
      <c r="S670" s="1" t="s">
        <v>39</v>
      </c>
      <c r="U670" s="1" t="s">
        <v>40</v>
      </c>
      <c r="V670" s="1" t="s">
        <v>64</v>
      </c>
      <c r="W670" s="1" t="s">
        <v>40</v>
      </c>
      <c r="X670" s="1" t="s">
        <v>40</v>
      </c>
      <c r="AA670" s="1" t="s">
        <v>2053</v>
      </c>
      <c r="AB670" s="2">
        <v>46287</v>
      </c>
      <c r="AC670" s="2">
        <v>46287</v>
      </c>
      <c r="AE670" s="1" t="s">
        <v>40</v>
      </c>
      <c r="AF670" s="1" t="s">
        <v>43</v>
      </c>
    </row>
    <row r="671" spans="1:32" ht="12.75" hidden="1" customHeight="1" x14ac:dyDescent="0.2">
      <c r="A671" s="1" t="s">
        <v>86</v>
      </c>
      <c r="B671" s="1" t="s">
        <v>2054</v>
      </c>
      <c r="C671" s="1" t="s">
        <v>160</v>
      </c>
      <c r="D671" s="1" t="s">
        <v>1997</v>
      </c>
      <c r="E671" s="1" t="s">
        <v>2055</v>
      </c>
      <c r="F671" s="1" t="s">
        <v>224</v>
      </c>
      <c r="G671" s="3">
        <v>615</v>
      </c>
      <c r="H671" s="4">
        <v>41</v>
      </c>
      <c r="I671" s="5">
        <v>3098.66</v>
      </c>
      <c r="J671" s="5">
        <v>163.09</v>
      </c>
      <c r="K671" s="1" t="s">
        <v>36</v>
      </c>
      <c r="L671" s="1" t="s">
        <v>37</v>
      </c>
      <c r="M671" s="1" t="s">
        <v>37</v>
      </c>
      <c r="N671" s="3">
        <v>615</v>
      </c>
      <c r="O671" s="6">
        <f>Table1[[#This Row],[Invoice Qty]]-Table1[[#This Row],[ExFactory Qty]]</f>
        <v>0</v>
      </c>
      <c r="P671" s="1" t="s">
        <v>2044</v>
      </c>
      <c r="Q671" s="2">
        <v>46287.524826388901</v>
      </c>
      <c r="S671" s="1" t="s">
        <v>39</v>
      </c>
      <c r="U671" s="1" t="s">
        <v>40</v>
      </c>
      <c r="V671" s="1" t="s">
        <v>41</v>
      </c>
      <c r="W671" s="1" t="s">
        <v>40</v>
      </c>
      <c r="X671" s="1" t="s">
        <v>40</v>
      </c>
      <c r="AA671" s="1" t="s">
        <v>2056</v>
      </c>
      <c r="AB671" s="2">
        <v>46288</v>
      </c>
      <c r="AC671" s="2">
        <v>46287</v>
      </c>
      <c r="AE671" s="1" t="s">
        <v>40</v>
      </c>
      <c r="AF671" s="1" t="s">
        <v>2001</v>
      </c>
    </row>
    <row r="672" spans="1:32" ht="12.75" hidden="1" customHeight="1" x14ac:dyDescent="0.2">
      <c r="A672" s="1" t="s">
        <v>86</v>
      </c>
      <c r="B672" s="1" t="s">
        <v>2057</v>
      </c>
      <c r="C672" s="1" t="s">
        <v>160</v>
      </c>
      <c r="D672" s="1" t="s">
        <v>161</v>
      </c>
      <c r="E672" s="1" t="s">
        <v>2058</v>
      </c>
      <c r="F672" s="1" t="s">
        <v>219</v>
      </c>
      <c r="G672" s="3">
        <v>6722</v>
      </c>
      <c r="H672" s="4">
        <v>502</v>
      </c>
      <c r="I672" s="5">
        <v>34549.85</v>
      </c>
      <c r="J672" s="5">
        <v>1818.41</v>
      </c>
      <c r="K672" s="1" t="s">
        <v>36</v>
      </c>
      <c r="L672" s="1" t="s">
        <v>37</v>
      </c>
      <c r="M672" s="1" t="s">
        <v>37</v>
      </c>
      <c r="N672" s="3">
        <v>6722</v>
      </c>
      <c r="O672" s="6">
        <f>Table1[[#This Row],[Invoice Qty]]-Table1[[#This Row],[ExFactory Qty]]</f>
        <v>0</v>
      </c>
      <c r="P672" s="1" t="s">
        <v>2044</v>
      </c>
      <c r="Q672" s="2">
        <v>46287.524826388901</v>
      </c>
      <c r="S672" s="1" t="s">
        <v>39</v>
      </c>
      <c r="U672" s="1" t="s">
        <v>40</v>
      </c>
      <c r="V672" s="1" t="s">
        <v>41</v>
      </c>
      <c r="W672" s="1" t="s">
        <v>40</v>
      </c>
      <c r="X672" s="1" t="s">
        <v>40</v>
      </c>
      <c r="AA672" s="1" t="s">
        <v>2059</v>
      </c>
      <c r="AB672" s="2">
        <v>46288</v>
      </c>
      <c r="AC672" s="2">
        <v>46287</v>
      </c>
      <c r="AE672" s="1" t="s">
        <v>40</v>
      </c>
      <c r="AF672" s="1" t="s">
        <v>167</v>
      </c>
    </row>
    <row r="673" spans="1:32" ht="12.75" hidden="1" customHeight="1" x14ac:dyDescent="0.2">
      <c r="A673" s="1" t="s">
        <v>86</v>
      </c>
      <c r="B673" s="1" t="s">
        <v>2060</v>
      </c>
      <c r="C673" s="1" t="s">
        <v>199</v>
      </c>
      <c r="D673" s="1" t="s">
        <v>850</v>
      </c>
      <c r="E673" s="1" t="s">
        <v>2061</v>
      </c>
      <c r="F673" s="1" t="s">
        <v>183</v>
      </c>
      <c r="G673" s="3">
        <v>3518</v>
      </c>
      <c r="H673" s="4">
        <v>114</v>
      </c>
      <c r="I673" s="5">
        <v>20228.5</v>
      </c>
      <c r="J673" s="5">
        <v>0</v>
      </c>
      <c r="K673" s="1" t="s">
        <v>36</v>
      </c>
      <c r="L673" s="1" t="s">
        <v>51</v>
      </c>
      <c r="M673" s="1" t="s">
        <v>51</v>
      </c>
      <c r="N673" s="3">
        <v>3518</v>
      </c>
      <c r="O673" s="6">
        <f>Table1[[#This Row],[Invoice Qty]]-Table1[[#This Row],[ExFactory Qty]]</f>
        <v>0</v>
      </c>
      <c r="P673" s="1" t="s">
        <v>2062</v>
      </c>
      <c r="Q673" s="2">
        <v>46288.598935185197</v>
      </c>
      <c r="S673" s="1" t="s">
        <v>39</v>
      </c>
      <c r="U673" s="1" t="s">
        <v>40</v>
      </c>
      <c r="V673" s="1" t="s">
        <v>532</v>
      </c>
      <c r="W673" s="1" t="s">
        <v>40</v>
      </c>
      <c r="X673" s="1" t="s">
        <v>40</v>
      </c>
      <c r="AA673" s="1" t="s">
        <v>2063</v>
      </c>
      <c r="AB673" s="2">
        <v>46289</v>
      </c>
      <c r="AC673" s="2">
        <v>46288</v>
      </c>
      <c r="AE673" s="1" t="s">
        <v>40</v>
      </c>
      <c r="AF673" s="1" t="s">
        <v>167</v>
      </c>
    </row>
    <row r="674" spans="1:32" ht="12.75" hidden="1" customHeight="1" x14ac:dyDescent="0.2">
      <c r="A674" s="1" t="s">
        <v>86</v>
      </c>
      <c r="B674" s="1" t="s">
        <v>2064</v>
      </c>
      <c r="C674" s="1" t="s">
        <v>199</v>
      </c>
      <c r="D674" s="1" t="s">
        <v>850</v>
      </c>
      <c r="E674" s="1" t="s">
        <v>2065</v>
      </c>
      <c r="F674" s="1" t="s">
        <v>183</v>
      </c>
      <c r="G674" s="3">
        <v>1200</v>
      </c>
      <c r="H674" s="4">
        <v>48</v>
      </c>
      <c r="I674" s="5">
        <v>4560</v>
      </c>
      <c r="J674" s="5">
        <v>0</v>
      </c>
      <c r="K674" s="1" t="s">
        <v>36</v>
      </c>
      <c r="L674" s="1" t="s">
        <v>51</v>
      </c>
      <c r="M674" s="1" t="s">
        <v>51</v>
      </c>
      <c r="N674" s="3">
        <v>1200</v>
      </c>
      <c r="O674" s="6">
        <f>Table1[[#This Row],[Invoice Qty]]-Table1[[#This Row],[ExFactory Qty]]</f>
        <v>0</v>
      </c>
      <c r="P674" s="1" t="s">
        <v>2062</v>
      </c>
      <c r="Q674" s="2">
        <v>46288.598935185197</v>
      </c>
      <c r="S674" s="1" t="s">
        <v>39</v>
      </c>
      <c r="U674" s="1" t="s">
        <v>40</v>
      </c>
      <c r="V674" s="1" t="s">
        <v>532</v>
      </c>
      <c r="W674" s="1" t="s">
        <v>40</v>
      </c>
      <c r="X674" s="1" t="s">
        <v>40</v>
      </c>
      <c r="AA674" s="1" t="s">
        <v>2066</v>
      </c>
      <c r="AB674" s="2">
        <v>46289</v>
      </c>
      <c r="AC674" s="2">
        <v>46288</v>
      </c>
      <c r="AE674" s="1" t="s">
        <v>40</v>
      </c>
      <c r="AF674" s="1" t="s">
        <v>167</v>
      </c>
    </row>
    <row r="675" spans="1:32" ht="12.75" hidden="1" customHeight="1" x14ac:dyDescent="0.2">
      <c r="A675" s="1" t="s">
        <v>86</v>
      </c>
      <c r="B675" s="1" t="s">
        <v>2067</v>
      </c>
      <c r="C675" s="1" t="s">
        <v>199</v>
      </c>
      <c r="D675" s="1" t="s">
        <v>850</v>
      </c>
      <c r="E675" s="1" t="s">
        <v>2068</v>
      </c>
      <c r="F675" s="1" t="s">
        <v>183</v>
      </c>
      <c r="G675" s="3">
        <v>3341</v>
      </c>
      <c r="H675" s="4">
        <v>168</v>
      </c>
      <c r="I675" s="5">
        <v>16203.85</v>
      </c>
      <c r="J675" s="5">
        <v>0</v>
      </c>
      <c r="K675" s="1" t="s">
        <v>36</v>
      </c>
      <c r="L675" s="1" t="s">
        <v>51</v>
      </c>
      <c r="M675" s="1" t="s">
        <v>51</v>
      </c>
      <c r="N675" s="3">
        <v>3341</v>
      </c>
      <c r="O675" s="6">
        <f>Table1[[#This Row],[Invoice Qty]]-Table1[[#This Row],[ExFactory Qty]]</f>
        <v>0</v>
      </c>
      <c r="P675" s="1" t="s">
        <v>2069</v>
      </c>
      <c r="Q675" s="2">
        <v>46293.874004629601</v>
      </c>
      <c r="S675" s="1" t="s">
        <v>39</v>
      </c>
      <c r="U675" s="1" t="s">
        <v>40</v>
      </c>
      <c r="V675" s="1" t="s">
        <v>532</v>
      </c>
      <c r="W675" s="1" t="s">
        <v>40</v>
      </c>
      <c r="X675" s="1" t="s">
        <v>40</v>
      </c>
      <c r="AA675" s="1" t="s">
        <v>2070</v>
      </c>
      <c r="AB675" s="2">
        <v>46294</v>
      </c>
      <c r="AC675" s="2">
        <v>46288</v>
      </c>
      <c r="AE675" s="1" t="s">
        <v>40</v>
      </c>
      <c r="AF675" s="1" t="s">
        <v>167</v>
      </c>
    </row>
    <row r="676" spans="1:32" ht="12.75" hidden="1" customHeight="1" x14ac:dyDescent="0.2">
      <c r="A676" s="1" t="s">
        <v>86</v>
      </c>
      <c r="B676" s="1" t="s">
        <v>2071</v>
      </c>
      <c r="C676" s="1" t="s">
        <v>1779</v>
      </c>
      <c r="D676" s="1" t="s">
        <v>1780</v>
      </c>
      <c r="E676" s="1" t="s">
        <v>2072</v>
      </c>
      <c r="F676" s="1" t="s">
        <v>2073</v>
      </c>
      <c r="G676" s="3">
        <v>8300</v>
      </c>
      <c r="H676" s="4">
        <v>278</v>
      </c>
      <c r="I676" s="5">
        <v>24028.1</v>
      </c>
      <c r="J676" s="5">
        <v>0</v>
      </c>
      <c r="K676" s="1" t="s">
        <v>36</v>
      </c>
      <c r="L676" s="1" t="s">
        <v>51</v>
      </c>
      <c r="M676" s="1" t="s">
        <v>247</v>
      </c>
      <c r="N676" s="3">
        <v>8300</v>
      </c>
      <c r="O676" s="6">
        <f>Table1[[#This Row],[Invoice Qty]]-Table1[[#This Row],[ExFactory Qty]]</f>
        <v>0</v>
      </c>
      <c r="P676" s="1" t="s">
        <v>2074</v>
      </c>
      <c r="Q676" s="2">
        <v>46288.657094907401</v>
      </c>
      <c r="S676" s="1" t="s">
        <v>39</v>
      </c>
      <c r="U676" s="1" t="s">
        <v>40</v>
      </c>
      <c r="V676" s="1" t="s">
        <v>55</v>
      </c>
      <c r="W676" s="1" t="s">
        <v>40</v>
      </c>
      <c r="X676" s="1" t="s">
        <v>40</v>
      </c>
      <c r="AA676" s="1" t="s">
        <v>2075</v>
      </c>
      <c r="AB676" s="2">
        <v>46288</v>
      </c>
      <c r="AC676" s="2">
        <v>46288</v>
      </c>
      <c r="AE676" s="1" t="s">
        <v>40</v>
      </c>
      <c r="AF676" s="1" t="s">
        <v>296</v>
      </c>
    </row>
    <row r="677" spans="1:32" ht="12.75" hidden="1" customHeight="1" x14ac:dyDescent="0.2">
      <c r="A677" s="1" t="s">
        <v>86</v>
      </c>
      <c r="B677" s="1" t="s">
        <v>2076</v>
      </c>
      <c r="C677" s="1" t="s">
        <v>160</v>
      </c>
      <c r="D677" s="1" t="s">
        <v>161</v>
      </c>
      <c r="E677" s="1" t="s">
        <v>2077</v>
      </c>
      <c r="F677" s="1" t="s">
        <v>219</v>
      </c>
      <c r="G677" s="3">
        <v>1200</v>
      </c>
      <c r="H677" s="4">
        <v>40</v>
      </c>
      <c r="I677" s="5">
        <v>8379</v>
      </c>
      <c r="J677" s="5">
        <v>441</v>
      </c>
      <c r="K677" s="1" t="s">
        <v>36</v>
      </c>
      <c r="L677" s="1" t="s">
        <v>37</v>
      </c>
      <c r="M677" s="1" t="s">
        <v>37</v>
      </c>
      <c r="N677" s="3">
        <v>1200</v>
      </c>
      <c r="O677" s="6">
        <f>Table1[[#This Row],[Invoice Qty]]-Table1[[#This Row],[ExFactory Qty]]</f>
        <v>0</v>
      </c>
      <c r="P677" s="1" t="s">
        <v>2078</v>
      </c>
      <c r="Q677" s="2">
        <v>46288.622071759302</v>
      </c>
      <c r="S677" s="1" t="s">
        <v>39</v>
      </c>
      <c r="U677" s="1" t="s">
        <v>40</v>
      </c>
      <c r="V677" s="1" t="s">
        <v>41</v>
      </c>
      <c r="W677" s="1" t="s">
        <v>40</v>
      </c>
      <c r="X677" s="1" t="s">
        <v>40</v>
      </c>
      <c r="AA677" s="1" t="s">
        <v>2079</v>
      </c>
      <c r="AB677" s="2">
        <v>46288</v>
      </c>
      <c r="AC677" s="2">
        <v>46288</v>
      </c>
      <c r="AE677" s="1" t="s">
        <v>40</v>
      </c>
      <c r="AF677" s="1" t="s">
        <v>167</v>
      </c>
    </row>
    <row r="678" spans="1:32" ht="12.75" hidden="1" customHeight="1" x14ac:dyDescent="0.2">
      <c r="A678" s="1" t="s">
        <v>30</v>
      </c>
      <c r="B678" s="1" t="s">
        <v>2080</v>
      </c>
      <c r="C678" s="1" t="s">
        <v>766</v>
      </c>
      <c r="D678" s="1" t="s">
        <v>767</v>
      </c>
      <c r="E678" s="1" t="s">
        <v>2081</v>
      </c>
      <c r="F678" s="1" t="s">
        <v>35</v>
      </c>
      <c r="G678" s="3">
        <v>3008</v>
      </c>
      <c r="H678" s="4">
        <v>58</v>
      </c>
      <c r="I678" s="5">
        <v>13776.64</v>
      </c>
      <c r="J678" s="5">
        <v>0</v>
      </c>
      <c r="K678" s="1" t="s">
        <v>36</v>
      </c>
      <c r="L678" s="1" t="s">
        <v>75</v>
      </c>
      <c r="M678" s="1" t="s">
        <v>75</v>
      </c>
      <c r="N678" s="3">
        <v>3008</v>
      </c>
      <c r="O678" s="6">
        <f>Table1[[#This Row],[Invoice Qty]]-Table1[[#This Row],[ExFactory Qty]]</f>
        <v>0</v>
      </c>
      <c r="P678" s="1" t="s">
        <v>2082</v>
      </c>
      <c r="Q678" s="2">
        <v>46288.701400462996</v>
      </c>
      <c r="R678" s="2">
        <v>46293</v>
      </c>
      <c r="S678" s="1" t="s">
        <v>39</v>
      </c>
      <c r="U678" s="1" t="s">
        <v>40</v>
      </c>
      <c r="V678" s="1" t="s">
        <v>64</v>
      </c>
      <c r="W678" s="1" t="s">
        <v>40</v>
      </c>
      <c r="X678" s="1" t="s">
        <v>40</v>
      </c>
      <c r="AA678" s="1" t="s">
        <v>2083</v>
      </c>
      <c r="AB678" s="2">
        <v>46288</v>
      </c>
      <c r="AC678" s="2">
        <v>46288</v>
      </c>
      <c r="AE678" s="1" t="s">
        <v>40</v>
      </c>
      <c r="AF678" s="1" t="s">
        <v>144</v>
      </c>
    </row>
    <row r="679" spans="1:32" ht="12.75" hidden="1" customHeight="1" x14ac:dyDescent="0.2">
      <c r="A679" s="1" t="s">
        <v>86</v>
      </c>
      <c r="B679" s="1" t="s">
        <v>2084</v>
      </c>
      <c r="C679" s="1" t="s">
        <v>199</v>
      </c>
      <c r="D679" s="1" t="s">
        <v>850</v>
      </c>
      <c r="E679" s="1" t="s">
        <v>2085</v>
      </c>
      <c r="F679" s="1" t="s">
        <v>183</v>
      </c>
      <c r="G679" s="3">
        <v>1460</v>
      </c>
      <c r="H679" s="4">
        <v>33</v>
      </c>
      <c r="I679" s="5">
        <v>7081</v>
      </c>
      <c r="J679" s="5">
        <v>0</v>
      </c>
      <c r="K679" s="1" t="s">
        <v>36</v>
      </c>
      <c r="L679" s="1" t="s">
        <v>51</v>
      </c>
      <c r="M679" s="1" t="s">
        <v>51</v>
      </c>
      <c r="N679" s="3">
        <v>1460</v>
      </c>
      <c r="O679" s="6">
        <f>Table1[[#This Row],[Invoice Qty]]-Table1[[#This Row],[ExFactory Qty]]</f>
        <v>0</v>
      </c>
      <c r="P679" s="1" t="s">
        <v>2069</v>
      </c>
      <c r="Q679" s="2">
        <v>46293.874004629601</v>
      </c>
      <c r="S679" s="1" t="s">
        <v>39</v>
      </c>
      <c r="U679" s="1" t="s">
        <v>40</v>
      </c>
      <c r="V679" s="1" t="s">
        <v>532</v>
      </c>
      <c r="W679" s="1" t="s">
        <v>40</v>
      </c>
      <c r="X679" s="1" t="s">
        <v>40</v>
      </c>
      <c r="AA679" s="1" t="s">
        <v>2086</v>
      </c>
      <c r="AB679" s="2">
        <v>46294</v>
      </c>
      <c r="AC679" s="2">
        <v>46288</v>
      </c>
      <c r="AE679" s="1" t="s">
        <v>40</v>
      </c>
      <c r="AF679" s="1" t="s">
        <v>167</v>
      </c>
    </row>
    <row r="680" spans="1:32" ht="12.75" hidden="1" customHeight="1" x14ac:dyDescent="0.2">
      <c r="A680" s="1" t="s">
        <v>86</v>
      </c>
      <c r="B680" s="1" t="s">
        <v>2087</v>
      </c>
      <c r="C680" s="1" t="s">
        <v>71</v>
      </c>
      <c r="D680" s="1" t="s">
        <v>72</v>
      </c>
      <c r="E680" s="1" t="s">
        <v>1331</v>
      </c>
      <c r="F680" s="1" t="s">
        <v>74</v>
      </c>
      <c r="G680" s="3">
        <v>99</v>
      </c>
      <c r="H680" s="4">
        <v>1</v>
      </c>
      <c r="I680" s="5">
        <v>302.94</v>
      </c>
      <c r="J680" s="5">
        <v>0</v>
      </c>
      <c r="K680" s="1" t="s">
        <v>36</v>
      </c>
      <c r="L680" s="1" t="s">
        <v>75</v>
      </c>
      <c r="M680" s="1" t="s">
        <v>37</v>
      </c>
      <c r="N680" s="3">
        <v>99</v>
      </c>
      <c r="O680" s="6">
        <f>Table1[[#This Row],[Invoice Qty]]-Table1[[#This Row],[ExFactory Qty]]</f>
        <v>0</v>
      </c>
      <c r="P680" s="1" t="s">
        <v>2088</v>
      </c>
      <c r="Q680" s="2">
        <v>46289.605034722197</v>
      </c>
      <c r="S680" s="1" t="s">
        <v>39</v>
      </c>
      <c r="U680" s="1" t="s">
        <v>40</v>
      </c>
      <c r="V680" s="1" t="s">
        <v>77</v>
      </c>
      <c r="W680" s="1" t="s">
        <v>40</v>
      </c>
      <c r="X680" s="1" t="s">
        <v>40</v>
      </c>
      <c r="AA680" s="1" t="s">
        <v>2089</v>
      </c>
      <c r="AB680" s="2">
        <v>46289</v>
      </c>
      <c r="AC680" s="2">
        <v>46289</v>
      </c>
      <c r="AE680" s="1" t="s">
        <v>40</v>
      </c>
      <c r="AF680" s="1" t="s">
        <v>79</v>
      </c>
    </row>
    <row r="681" spans="1:32" ht="12.75" hidden="1" customHeight="1" x14ac:dyDescent="0.2">
      <c r="A681" s="1" t="s">
        <v>86</v>
      </c>
      <c r="B681" s="1" t="s">
        <v>2090</v>
      </c>
      <c r="C681" s="1" t="s">
        <v>71</v>
      </c>
      <c r="D681" s="1" t="s">
        <v>72</v>
      </c>
      <c r="E681" s="1" t="s">
        <v>1331</v>
      </c>
      <c r="F681" s="1" t="s">
        <v>74</v>
      </c>
      <c r="G681" s="3">
        <v>162</v>
      </c>
      <c r="H681" s="4">
        <v>2</v>
      </c>
      <c r="I681" s="5">
        <v>495.72</v>
      </c>
      <c r="J681" s="5">
        <v>0</v>
      </c>
      <c r="K681" s="1" t="s">
        <v>36</v>
      </c>
      <c r="L681" s="1" t="s">
        <v>75</v>
      </c>
      <c r="M681" s="1" t="s">
        <v>37</v>
      </c>
      <c r="N681" s="3">
        <v>162</v>
      </c>
      <c r="O681" s="6">
        <f>Table1[[#This Row],[Invoice Qty]]-Table1[[#This Row],[ExFactory Qty]]</f>
        <v>0</v>
      </c>
      <c r="P681" s="1" t="s">
        <v>2088</v>
      </c>
      <c r="Q681" s="2">
        <v>46289.605034722197</v>
      </c>
      <c r="S681" s="1" t="s">
        <v>39</v>
      </c>
      <c r="U681" s="1" t="s">
        <v>40</v>
      </c>
      <c r="V681" s="1" t="s">
        <v>77</v>
      </c>
      <c r="W681" s="1" t="s">
        <v>40</v>
      </c>
      <c r="X681" s="1" t="s">
        <v>40</v>
      </c>
      <c r="AA681" s="1" t="s">
        <v>2091</v>
      </c>
      <c r="AB681" s="2">
        <v>46289</v>
      </c>
      <c r="AC681" s="2">
        <v>46289</v>
      </c>
      <c r="AE681" s="1" t="s">
        <v>40</v>
      </c>
      <c r="AF681" s="1" t="s">
        <v>79</v>
      </c>
    </row>
    <row r="682" spans="1:32" ht="12.75" hidden="1" customHeight="1" x14ac:dyDescent="0.2">
      <c r="A682" s="1" t="s">
        <v>86</v>
      </c>
      <c r="B682" s="1" t="s">
        <v>2092</v>
      </c>
      <c r="C682" s="1" t="s">
        <v>71</v>
      </c>
      <c r="D682" s="1" t="s">
        <v>72</v>
      </c>
      <c r="E682" s="1" t="s">
        <v>2093</v>
      </c>
      <c r="F682" s="1" t="s">
        <v>345</v>
      </c>
      <c r="G682" s="3">
        <v>282</v>
      </c>
      <c r="H682" s="4">
        <v>5</v>
      </c>
      <c r="I682" s="5">
        <v>874.2</v>
      </c>
      <c r="J682" s="5">
        <v>0</v>
      </c>
      <c r="K682" s="1" t="s">
        <v>36</v>
      </c>
      <c r="L682" s="1" t="s">
        <v>75</v>
      </c>
      <c r="M682" s="1" t="s">
        <v>37</v>
      </c>
      <c r="N682" s="3">
        <v>282</v>
      </c>
      <c r="O682" s="6">
        <f>Table1[[#This Row],[Invoice Qty]]-Table1[[#This Row],[ExFactory Qty]]</f>
        <v>0</v>
      </c>
      <c r="P682" s="1" t="s">
        <v>2094</v>
      </c>
      <c r="Q682" s="2">
        <v>46289.6239236111</v>
      </c>
      <c r="S682" s="1" t="s">
        <v>39</v>
      </c>
      <c r="U682" s="1" t="s">
        <v>40</v>
      </c>
      <c r="V682" s="1" t="s">
        <v>77</v>
      </c>
      <c r="W682" s="1" t="s">
        <v>40</v>
      </c>
      <c r="X682" s="1" t="s">
        <v>40</v>
      </c>
      <c r="AA682" s="1" t="s">
        <v>2095</v>
      </c>
      <c r="AB682" s="2">
        <v>46289</v>
      </c>
      <c r="AC682" s="2">
        <v>46289.433773148201</v>
      </c>
      <c r="AE682" s="1" t="s">
        <v>40</v>
      </c>
      <c r="AF682" s="1" t="s">
        <v>79</v>
      </c>
    </row>
    <row r="683" spans="1:32" ht="12.75" hidden="1" customHeight="1" x14ac:dyDescent="0.2">
      <c r="A683" s="1" t="s">
        <v>86</v>
      </c>
      <c r="B683" s="1" t="s">
        <v>2096</v>
      </c>
      <c r="C683" s="1" t="s">
        <v>71</v>
      </c>
      <c r="D683" s="1" t="s">
        <v>72</v>
      </c>
      <c r="E683" s="1" t="s">
        <v>1334</v>
      </c>
      <c r="F683" s="1" t="s">
        <v>367</v>
      </c>
      <c r="G683" s="3">
        <v>851</v>
      </c>
      <c r="H683" s="4">
        <v>10</v>
      </c>
      <c r="I683" s="5">
        <v>2782.77</v>
      </c>
      <c r="J683" s="5">
        <v>0</v>
      </c>
      <c r="K683" s="1" t="s">
        <v>36</v>
      </c>
      <c r="L683" s="1" t="s">
        <v>75</v>
      </c>
      <c r="M683" s="1" t="s">
        <v>37</v>
      </c>
      <c r="N683" s="3">
        <v>851</v>
      </c>
      <c r="O683" s="6">
        <f>Table1[[#This Row],[Invoice Qty]]-Table1[[#This Row],[ExFactory Qty]]</f>
        <v>0</v>
      </c>
      <c r="P683" s="1" t="s">
        <v>1034</v>
      </c>
      <c r="Q683" s="2">
        <v>46289.626203703701</v>
      </c>
      <c r="S683" s="1" t="s">
        <v>39</v>
      </c>
      <c r="U683" s="1" t="s">
        <v>40</v>
      </c>
      <c r="V683" s="1" t="s">
        <v>77</v>
      </c>
      <c r="W683" s="1" t="s">
        <v>40</v>
      </c>
      <c r="X683" s="1" t="s">
        <v>40</v>
      </c>
      <c r="AA683" s="1" t="s">
        <v>2097</v>
      </c>
      <c r="AB683" s="2">
        <v>46289</v>
      </c>
      <c r="AC683" s="2">
        <v>46289.433773148201</v>
      </c>
      <c r="AE683" s="1" t="s">
        <v>40</v>
      </c>
      <c r="AF683" s="1" t="s">
        <v>79</v>
      </c>
    </row>
    <row r="684" spans="1:32" ht="12.75" hidden="1" customHeight="1" x14ac:dyDescent="0.2">
      <c r="A684" s="1" t="s">
        <v>86</v>
      </c>
      <c r="B684" s="1" t="s">
        <v>2098</v>
      </c>
      <c r="C684" s="1" t="s">
        <v>71</v>
      </c>
      <c r="D684" s="1" t="s">
        <v>323</v>
      </c>
      <c r="E684" s="1" t="s">
        <v>2099</v>
      </c>
      <c r="F684" s="1" t="s">
        <v>345</v>
      </c>
      <c r="G684" s="3">
        <v>111</v>
      </c>
      <c r="H684" s="4">
        <v>2</v>
      </c>
      <c r="I684" s="5">
        <v>457.32</v>
      </c>
      <c r="J684" s="5">
        <v>0</v>
      </c>
      <c r="K684" s="1" t="s">
        <v>36</v>
      </c>
      <c r="L684" s="1" t="s">
        <v>75</v>
      </c>
      <c r="M684" s="1" t="s">
        <v>37</v>
      </c>
      <c r="N684" s="3">
        <v>111</v>
      </c>
      <c r="O684" s="6">
        <f>Table1[[#This Row],[Invoice Qty]]-Table1[[#This Row],[ExFactory Qty]]</f>
        <v>0</v>
      </c>
      <c r="P684" s="1" t="s">
        <v>2094</v>
      </c>
      <c r="Q684" s="2">
        <v>46289.6239236111</v>
      </c>
      <c r="S684" s="1" t="s">
        <v>39</v>
      </c>
      <c r="U684" s="1" t="s">
        <v>40</v>
      </c>
      <c r="V684" s="1" t="s">
        <v>77</v>
      </c>
      <c r="W684" s="1" t="s">
        <v>40</v>
      </c>
      <c r="X684" s="1" t="s">
        <v>40</v>
      </c>
      <c r="AA684" s="1" t="s">
        <v>2100</v>
      </c>
      <c r="AB684" s="2">
        <v>46289</v>
      </c>
      <c r="AC684" s="2">
        <v>46289.433773148201</v>
      </c>
      <c r="AE684" s="1" t="s">
        <v>40</v>
      </c>
      <c r="AF684" s="1" t="s">
        <v>326</v>
      </c>
    </row>
    <row r="685" spans="1:32" ht="12.75" hidden="1" customHeight="1" x14ac:dyDescent="0.2">
      <c r="A685" s="1" t="s">
        <v>86</v>
      </c>
      <c r="B685" s="1" t="s">
        <v>2101</v>
      </c>
      <c r="C685" s="1" t="s">
        <v>71</v>
      </c>
      <c r="D685" s="1" t="s">
        <v>457</v>
      </c>
      <c r="E685" s="1" t="s">
        <v>1343</v>
      </c>
      <c r="F685" s="1" t="s">
        <v>252</v>
      </c>
      <c r="G685" s="3">
        <v>26</v>
      </c>
      <c r="H685" s="4">
        <v>2</v>
      </c>
      <c r="I685" s="5">
        <v>109.72</v>
      </c>
      <c r="J685" s="5">
        <v>0</v>
      </c>
      <c r="K685" s="1" t="s">
        <v>36</v>
      </c>
      <c r="L685" s="1" t="s">
        <v>75</v>
      </c>
      <c r="M685" s="1" t="s">
        <v>37</v>
      </c>
      <c r="N685" s="3">
        <v>26</v>
      </c>
      <c r="O685" s="6">
        <f>Table1[[#This Row],[Invoice Qty]]-Table1[[#This Row],[ExFactory Qty]]</f>
        <v>0</v>
      </c>
      <c r="P685" s="1" t="s">
        <v>2088</v>
      </c>
      <c r="Q685" s="2">
        <v>46289.605034722197</v>
      </c>
      <c r="S685" s="1" t="s">
        <v>39</v>
      </c>
      <c r="U685" s="1" t="s">
        <v>40</v>
      </c>
      <c r="V685" s="1" t="s">
        <v>77</v>
      </c>
      <c r="W685" s="1" t="s">
        <v>40</v>
      </c>
      <c r="X685" s="1" t="s">
        <v>40</v>
      </c>
      <c r="AA685" s="1" t="s">
        <v>2102</v>
      </c>
      <c r="AB685" s="2">
        <v>46289</v>
      </c>
      <c r="AC685" s="2">
        <v>46289.433773148201</v>
      </c>
      <c r="AE685" s="1" t="s">
        <v>40</v>
      </c>
      <c r="AF685" s="1" t="s">
        <v>326</v>
      </c>
    </row>
    <row r="686" spans="1:32" ht="12.75" hidden="1" customHeight="1" x14ac:dyDescent="0.2">
      <c r="A686" s="1" t="s">
        <v>86</v>
      </c>
      <c r="B686" s="1" t="s">
        <v>2103</v>
      </c>
      <c r="C686" s="1" t="s">
        <v>71</v>
      </c>
      <c r="D686" s="1" t="s">
        <v>457</v>
      </c>
      <c r="E686" s="1" t="s">
        <v>1343</v>
      </c>
      <c r="F686" s="1" t="s">
        <v>384</v>
      </c>
      <c r="G686" s="3">
        <v>102</v>
      </c>
      <c r="H686" s="4">
        <v>2</v>
      </c>
      <c r="I686" s="5">
        <v>430.44</v>
      </c>
      <c r="J686" s="5">
        <v>0</v>
      </c>
      <c r="K686" s="1" t="s">
        <v>36</v>
      </c>
      <c r="L686" s="1" t="s">
        <v>75</v>
      </c>
      <c r="M686" s="1" t="s">
        <v>37</v>
      </c>
      <c r="N686" s="3">
        <v>102</v>
      </c>
      <c r="O686" s="6">
        <f>Table1[[#This Row],[Invoice Qty]]-Table1[[#This Row],[ExFactory Qty]]</f>
        <v>0</v>
      </c>
      <c r="P686" s="1" t="s">
        <v>2104</v>
      </c>
      <c r="Q686" s="2">
        <v>46289.604386574101</v>
      </c>
      <c r="S686" s="1" t="s">
        <v>39</v>
      </c>
      <c r="U686" s="1" t="s">
        <v>40</v>
      </c>
      <c r="V686" s="1" t="s">
        <v>77</v>
      </c>
      <c r="W686" s="1" t="s">
        <v>40</v>
      </c>
      <c r="X686" s="1" t="s">
        <v>40</v>
      </c>
      <c r="AA686" s="1" t="s">
        <v>2105</v>
      </c>
      <c r="AB686" s="2">
        <v>46289</v>
      </c>
      <c r="AC686" s="2">
        <v>46289.433773148201</v>
      </c>
      <c r="AE686" s="1" t="s">
        <v>40</v>
      </c>
      <c r="AF686" s="1" t="s">
        <v>326</v>
      </c>
    </row>
    <row r="687" spans="1:32" ht="12.75" hidden="1" customHeight="1" x14ac:dyDescent="0.2">
      <c r="A687" s="1" t="s">
        <v>86</v>
      </c>
      <c r="B687" s="1" t="s">
        <v>2106</v>
      </c>
      <c r="C687" s="1" t="s">
        <v>71</v>
      </c>
      <c r="D687" s="1" t="s">
        <v>457</v>
      </c>
      <c r="E687" s="1" t="s">
        <v>1343</v>
      </c>
      <c r="F687" s="1" t="s">
        <v>384</v>
      </c>
      <c r="G687" s="3">
        <v>89</v>
      </c>
      <c r="H687" s="4">
        <v>2</v>
      </c>
      <c r="I687" s="5">
        <v>375.58</v>
      </c>
      <c r="J687" s="5">
        <v>0</v>
      </c>
      <c r="K687" s="1" t="s">
        <v>36</v>
      </c>
      <c r="L687" s="1" t="s">
        <v>75</v>
      </c>
      <c r="M687" s="1" t="s">
        <v>37</v>
      </c>
      <c r="N687" s="3">
        <v>89</v>
      </c>
      <c r="O687" s="6">
        <f>Table1[[#This Row],[Invoice Qty]]-Table1[[#This Row],[ExFactory Qty]]</f>
        <v>0</v>
      </c>
      <c r="P687" s="1" t="s">
        <v>2104</v>
      </c>
      <c r="Q687" s="2">
        <v>46289.604386574101</v>
      </c>
      <c r="S687" s="1" t="s">
        <v>39</v>
      </c>
      <c r="U687" s="1" t="s">
        <v>40</v>
      </c>
      <c r="V687" s="1" t="s">
        <v>77</v>
      </c>
      <c r="W687" s="1" t="s">
        <v>40</v>
      </c>
      <c r="X687" s="1" t="s">
        <v>40</v>
      </c>
      <c r="AA687" s="1" t="s">
        <v>2107</v>
      </c>
      <c r="AB687" s="2">
        <v>46289</v>
      </c>
      <c r="AC687" s="2">
        <v>46289.433773148201</v>
      </c>
      <c r="AE687" s="1" t="s">
        <v>40</v>
      </c>
      <c r="AF687" s="1" t="s">
        <v>326</v>
      </c>
    </row>
    <row r="688" spans="1:32" ht="12.75" hidden="1" customHeight="1" x14ac:dyDescent="0.2">
      <c r="A688" s="1" t="s">
        <v>86</v>
      </c>
      <c r="B688" s="1" t="s">
        <v>2108</v>
      </c>
      <c r="C688" s="1" t="s">
        <v>71</v>
      </c>
      <c r="D688" s="1" t="s">
        <v>457</v>
      </c>
      <c r="E688" s="1" t="s">
        <v>1343</v>
      </c>
      <c r="F688" s="1" t="s">
        <v>372</v>
      </c>
      <c r="G688" s="3">
        <v>301</v>
      </c>
      <c r="H688" s="4">
        <v>4</v>
      </c>
      <c r="I688" s="5">
        <v>1270.22</v>
      </c>
      <c r="J688" s="5">
        <v>0</v>
      </c>
      <c r="K688" s="1" t="s">
        <v>36</v>
      </c>
      <c r="L688" s="1" t="s">
        <v>75</v>
      </c>
      <c r="M688" s="1" t="s">
        <v>37</v>
      </c>
      <c r="N688" s="3">
        <v>301</v>
      </c>
      <c r="O688" s="6">
        <f>Table1[[#This Row],[Invoice Qty]]-Table1[[#This Row],[ExFactory Qty]]</f>
        <v>0</v>
      </c>
      <c r="P688" s="1" t="s">
        <v>1034</v>
      </c>
      <c r="Q688" s="2">
        <v>46289.626203703701</v>
      </c>
      <c r="S688" s="1" t="s">
        <v>39</v>
      </c>
      <c r="U688" s="1" t="s">
        <v>40</v>
      </c>
      <c r="V688" s="1" t="s">
        <v>77</v>
      </c>
      <c r="W688" s="1" t="s">
        <v>40</v>
      </c>
      <c r="X688" s="1" t="s">
        <v>40</v>
      </c>
      <c r="AA688" s="1" t="s">
        <v>2109</v>
      </c>
      <c r="AB688" s="2">
        <v>46289</v>
      </c>
      <c r="AC688" s="2">
        <v>46289.433773148201</v>
      </c>
      <c r="AE688" s="1" t="s">
        <v>40</v>
      </c>
      <c r="AF688" s="1" t="s">
        <v>326</v>
      </c>
    </row>
    <row r="689" spans="1:32" ht="12.75" hidden="1" customHeight="1" x14ac:dyDescent="0.2">
      <c r="A689" s="1" t="s">
        <v>86</v>
      </c>
      <c r="B689" s="1" t="s">
        <v>2110</v>
      </c>
      <c r="C689" s="1" t="s">
        <v>71</v>
      </c>
      <c r="D689" s="1" t="s">
        <v>457</v>
      </c>
      <c r="E689" s="1" t="s">
        <v>1343</v>
      </c>
      <c r="F689" s="1" t="s">
        <v>74</v>
      </c>
      <c r="G689" s="3">
        <v>88</v>
      </c>
      <c r="H689" s="4">
        <v>2</v>
      </c>
      <c r="I689" s="5">
        <v>371.36</v>
      </c>
      <c r="J689" s="5">
        <v>0</v>
      </c>
      <c r="K689" s="1" t="s">
        <v>36</v>
      </c>
      <c r="L689" s="1" t="s">
        <v>75</v>
      </c>
      <c r="M689" s="1" t="s">
        <v>37</v>
      </c>
      <c r="N689" s="3">
        <v>88</v>
      </c>
      <c r="O689" s="6">
        <f>Table1[[#This Row],[Invoice Qty]]-Table1[[#This Row],[ExFactory Qty]]</f>
        <v>0</v>
      </c>
      <c r="P689" s="1" t="s">
        <v>2088</v>
      </c>
      <c r="Q689" s="2">
        <v>46289.605034722197</v>
      </c>
      <c r="S689" s="1" t="s">
        <v>39</v>
      </c>
      <c r="U689" s="1" t="s">
        <v>40</v>
      </c>
      <c r="V689" s="1" t="s">
        <v>77</v>
      </c>
      <c r="W689" s="1" t="s">
        <v>40</v>
      </c>
      <c r="X689" s="1" t="s">
        <v>40</v>
      </c>
      <c r="AA689" s="1" t="s">
        <v>2111</v>
      </c>
      <c r="AB689" s="2">
        <v>46289</v>
      </c>
      <c r="AC689" s="2">
        <v>46289</v>
      </c>
      <c r="AE689" s="1" t="s">
        <v>40</v>
      </c>
      <c r="AF689" s="1" t="s">
        <v>326</v>
      </c>
    </row>
    <row r="690" spans="1:32" ht="12.75" hidden="1" customHeight="1" x14ac:dyDescent="0.2">
      <c r="A690" s="1" t="s">
        <v>86</v>
      </c>
      <c r="B690" s="1" t="s">
        <v>2112</v>
      </c>
      <c r="C690" s="1" t="s">
        <v>71</v>
      </c>
      <c r="D690" s="1" t="s">
        <v>457</v>
      </c>
      <c r="E690" s="1" t="s">
        <v>1343</v>
      </c>
      <c r="F690" s="1" t="s">
        <v>74</v>
      </c>
      <c r="G690" s="3">
        <v>112</v>
      </c>
      <c r="H690" s="4">
        <v>2</v>
      </c>
      <c r="I690" s="5">
        <v>472.64</v>
      </c>
      <c r="J690" s="5">
        <v>0</v>
      </c>
      <c r="K690" s="1" t="s">
        <v>36</v>
      </c>
      <c r="L690" s="1" t="s">
        <v>75</v>
      </c>
      <c r="M690" s="1" t="s">
        <v>37</v>
      </c>
      <c r="N690" s="3">
        <v>112</v>
      </c>
      <c r="O690" s="6">
        <f>Table1[[#This Row],[Invoice Qty]]-Table1[[#This Row],[ExFactory Qty]]</f>
        <v>0</v>
      </c>
      <c r="P690" s="1" t="s">
        <v>2088</v>
      </c>
      <c r="Q690" s="2">
        <v>46289.605034722197</v>
      </c>
      <c r="S690" s="1" t="s">
        <v>39</v>
      </c>
      <c r="U690" s="1" t="s">
        <v>40</v>
      </c>
      <c r="V690" s="1" t="s">
        <v>77</v>
      </c>
      <c r="W690" s="1" t="s">
        <v>40</v>
      </c>
      <c r="X690" s="1" t="s">
        <v>40</v>
      </c>
      <c r="AA690" s="1" t="s">
        <v>2113</v>
      </c>
      <c r="AB690" s="2">
        <v>46289</v>
      </c>
      <c r="AC690" s="2">
        <v>46289</v>
      </c>
      <c r="AE690" s="1" t="s">
        <v>40</v>
      </c>
      <c r="AF690" s="1" t="s">
        <v>326</v>
      </c>
    </row>
    <row r="691" spans="1:32" ht="12.75" hidden="1" customHeight="1" x14ac:dyDescent="0.2">
      <c r="A691" s="1" t="s">
        <v>86</v>
      </c>
      <c r="B691" s="1" t="s">
        <v>2114</v>
      </c>
      <c r="C691" s="1" t="s">
        <v>71</v>
      </c>
      <c r="D691" s="1" t="s">
        <v>457</v>
      </c>
      <c r="E691" s="1" t="s">
        <v>1969</v>
      </c>
      <c r="F691" s="1" t="s">
        <v>384</v>
      </c>
      <c r="G691" s="3">
        <v>2672</v>
      </c>
      <c r="H691" s="4">
        <v>33</v>
      </c>
      <c r="I691" s="5">
        <v>12692</v>
      </c>
      <c r="J691" s="5">
        <v>0</v>
      </c>
      <c r="K691" s="1" t="s">
        <v>36</v>
      </c>
      <c r="L691" s="1" t="s">
        <v>75</v>
      </c>
      <c r="M691" s="1" t="s">
        <v>37</v>
      </c>
      <c r="N691" s="3">
        <v>2672</v>
      </c>
      <c r="O691" s="6">
        <f>Table1[[#This Row],[Invoice Qty]]-Table1[[#This Row],[ExFactory Qty]]</f>
        <v>0</v>
      </c>
      <c r="P691" s="1" t="s">
        <v>2104</v>
      </c>
      <c r="Q691" s="2">
        <v>46289.604386574101</v>
      </c>
      <c r="S691" s="1" t="s">
        <v>39</v>
      </c>
      <c r="U691" s="1" t="s">
        <v>40</v>
      </c>
      <c r="V691" s="1" t="s">
        <v>77</v>
      </c>
      <c r="W691" s="1" t="s">
        <v>40</v>
      </c>
      <c r="X691" s="1" t="s">
        <v>40</v>
      </c>
      <c r="AA691" s="1" t="s">
        <v>2115</v>
      </c>
      <c r="AB691" s="2">
        <v>46289</v>
      </c>
      <c r="AC691" s="2">
        <v>46289.433773148201</v>
      </c>
      <c r="AE691" s="1" t="s">
        <v>40</v>
      </c>
      <c r="AF691" s="1" t="s">
        <v>326</v>
      </c>
    </row>
    <row r="692" spans="1:32" ht="12.75" hidden="1" customHeight="1" x14ac:dyDescent="0.2">
      <c r="A692" s="1" t="s">
        <v>86</v>
      </c>
      <c r="B692" s="1" t="s">
        <v>2116</v>
      </c>
      <c r="C692" s="1" t="s">
        <v>71</v>
      </c>
      <c r="D692" s="1" t="s">
        <v>72</v>
      </c>
      <c r="E692" s="1" t="s">
        <v>972</v>
      </c>
      <c r="F692" s="1" t="s">
        <v>337</v>
      </c>
      <c r="G692" s="3">
        <v>378</v>
      </c>
      <c r="H692" s="4">
        <v>6</v>
      </c>
      <c r="I692" s="5">
        <v>986.58</v>
      </c>
      <c r="J692" s="5">
        <v>0</v>
      </c>
      <c r="K692" s="1" t="s">
        <v>36</v>
      </c>
      <c r="L692" s="1" t="s">
        <v>75</v>
      </c>
      <c r="M692" s="1" t="s">
        <v>37</v>
      </c>
      <c r="N692" s="3">
        <v>378</v>
      </c>
      <c r="O692" s="6">
        <f>Table1[[#This Row],[Invoice Qty]]-Table1[[#This Row],[ExFactory Qty]]</f>
        <v>0</v>
      </c>
      <c r="P692" s="1" t="s">
        <v>2088</v>
      </c>
      <c r="Q692" s="2">
        <v>46289.605034722197</v>
      </c>
      <c r="S692" s="1" t="s">
        <v>39</v>
      </c>
      <c r="U692" s="1" t="s">
        <v>40</v>
      </c>
      <c r="V692" s="1" t="s">
        <v>77</v>
      </c>
      <c r="W692" s="1" t="s">
        <v>40</v>
      </c>
      <c r="X692" s="1" t="s">
        <v>40</v>
      </c>
      <c r="AA692" s="1" t="s">
        <v>2117</v>
      </c>
      <c r="AB692" s="2">
        <v>46289</v>
      </c>
      <c r="AC692" s="2">
        <v>46289.433773148201</v>
      </c>
      <c r="AE692" s="1" t="s">
        <v>40</v>
      </c>
      <c r="AF692" s="1" t="s">
        <v>79</v>
      </c>
    </row>
    <row r="693" spans="1:32" ht="12.75" hidden="1" customHeight="1" x14ac:dyDescent="0.2">
      <c r="A693" s="1" t="s">
        <v>86</v>
      </c>
      <c r="B693" s="1" t="s">
        <v>2118</v>
      </c>
      <c r="C693" s="1" t="s">
        <v>71</v>
      </c>
      <c r="D693" s="1" t="s">
        <v>72</v>
      </c>
      <c r="E693" s="1" t="s">
        <v>982</v>
      </c>
      <c r="F693" s="1" t="s">
        <v>445</v>
      </c>
      <c r="G693" s="3">
        <v>379</v>
      </c>
      <c r="H693" s="4">
        <v>6</v>
      </c>
      <c r="I693" s="5">
        <v>731.47</v>
      </c>
      <c r="J693" s="5">
        <v>0</v>
      </c>
      <c r="K693" s="1" t="s">
        <v>36</v>
      </c>
      <c r="L693" s="1" t="s">
        <v>75</v>
      </c>
      <c r="M693" s="1" t="s">
        <v>37</v>
      </c>
      <c r="N693" s="3">
        <v>379</v>
      </c>
      <c r="O693" s="6">
        <f>Table1[[#This Row],[Invoice Qty]]-Table1[[#This Row],[ExFactory Qty]]</f>
        <v>0</v>
      </c>
      <c r="P693" s="1" t="s">
        <v>2094</v>
      </c>
      <c r="Q693" s="2">
        <v>46289.6239236111</v>
      </c>
      <c r="S693" s="1" t="s">
        <v>39</v>
      </c>
      <c r="U693" s="1" t="s">
        <v>40</v>
      </c>
      <c r="V693" s="1" t="s">
        <v>77</v>
      </c>
      <c r="W693" s="1" t="s">
        <v>40</v>
      </c>
      <c r="X693" s="1" t="s">
        <v>40</v>
      </c>
      <c r="AA693" s="1" t="s">
        <v>2119</v>
      </c>
      <c r="AB693" s="2">
        <v>46289</v>
      </c>
      <c r="AC693" s="2">
        <v>46289.433773148201</v>
      </c>
      <c r="AE693" s="1" t="s">
        <v>40</v>
      </c>
      <c r="AF693" s="1" t="s">
        <v>79</v>
      </c>
    </row>
    <row r="694" spans="1:32" ht="12.75" hidden="1" customHeight="1" x14ac:dyDescent="0.2">
      <c r="A694" s="1" t="s">
        <v>86</v>
      </c>
      <c r="B694" s="1" t="s">
        <v>2120</v>
      </c>
      <c r="C694" s="1" t="s">
        <v>71</v>
      </c>
      <c r="D694" s="1" t="s">
        <v>323</v>
      </c>
      <c r="E694" s="1" t="s">
        <v>1033</v>
      </c>
      <c r="F694" s="1" t="s">
        <v>74</v>
      </c>
      <c r="G694" s="3">
        <v>256</v>
      </c>
      <c r="H694" s="4">
        <v>4</v>
      </c>
      <c r="I694" s="5">
        <v>573.44000000000005</v>
      </c>
      <c r="J694" s="5">
        <v>0</v>
      </c>
      <c r="K694" s="1" t="s">
        <v>36</v>
      </c>
      <c r="L694" s="1" t="s">
        <v>75</v>
      </c>
      <c r="M694" s="1" t="s">
        <v>37</v>
      </c>
      <c r="N694" s="3">
        <v>256</v>
      </c>
      <c r="O694" s="6">
        <f>Table1[[#This Row],[Invoice Qty]]-Table1[[#This Row],[ExFactory Qty]]</f>
        <v>0</v>
      </c>
      <c r="P694" s="1" t="s">
        <v>2088</v>
      </c>
      <c r="Q694" s="2">
        <v>46289.605034722197</v>
      </c>
      <c r="S694" s="1" t="s">
        <v>39</v>
      </c>
      <c r="U694" s="1" t="s">
        <v>40</v>
      </c>
      <c r="V694" s="1" t="s">
        <v>77</v>
      </c>
      <c r="W694" s="1" t="s">
        <v>40</v>
      </c>
      <c r="X694" s="1" t="s">
        <v>40</v>
      </c>
      <c r="Z694" s="2">
        <v>46295</v>
      </c>
      <c r="AA694" s="1" t="s">
        <v>2121</v>
      </c>
      <c r="AB694" s="2">
        <v>46289</v>
      </c>
      <c r="AC694" s="2">
        <v>46289</v>
      </c>
      <c r="AD694" s="2">
        <v>46295</v>
      </c>
      <c r="AE694" s="1" t="s">
        <v>40</v>
      </c>
      <c r="AF694" s="1" t="s">
        <v>326</v>
      </c>
    </row>
    <row r="695" spans="1:32" ht="12.75" hidden="1" customHeight="1" x14ac:dyDescent="0.2">
      <c r="A695" s="1" t="s">
        <v>86</v>
      </c>
      <c r="B695" s="1" t="s">
        <v>2122</v>
      </c>
      <c r="C695" s="1" t="s">
        <v>71</v>
      </c>
      <c r="D695" s="1" t="s">
        <v>72</v>
      </c>
      <c r="E695" s="1" t="s">
        <v>1267</v>
      </c>
      <c r="F695" s="1" t="s">
        <v>372</v>
      </c>
      <c r="G695" s="3">
        <v>552</v>
      </c>
      <c r="H695" s="4">
        <v>9</v>
      </c>
      <c r="I695" s="5">
        <v>1540.08</v>
      </c>
      <c r="J695" s="5">
        <v>0</v>
      </c>
      <c r="K695" s="1" t="s">
        <v>36</v>
      </c>
      <c r="L695" s="1" t="s">
        <v>75</v>
      </c>
      <c r="M695" s="1" t="s">
        <v>37</v>
      </c>
      <c r="N695" s="3">
        <v>552</v>
      </c>
      <c r="O695" s="6">
        <f>Table1[[#This Row],[Invoice Qty]]-Table1[[#This Row],[ExFactory Qty]]</f>
        <v>0</v>
      </c>
      <c r="P695" s="1" t="s">
        <v>1034</v>
      </c>
      <c r="Q695" s="2">
        <v>46289.626203703701</v>
      </c>
      <c r="S695" s="1" t="s">
        <v>39</v>
      </c>
      <c r="U695" s="1" t="s">
        <v>40</v>
      </c>
      <c r="V695" s="1" t="s">
        <v>77</v>
      </c>
      <c r="W695" s="1" t="s">
        <v>40</v>
      </c>
      <c r="X695" s="1" t="s">
        <v>40</v>
      </c>
      <c r="AA695" s="1" t="s">
        <v>2123</v>
      </c>
      <c r="AB695" s="2">
        <v>46289</v>
      </c>
      <c r="AC695" s="2">
        <v>46289.433773148201</v>
      </c>
      <c r="AE695" s="1" t="s">
        <v>40</v>
      </c>
      <c r="AF695" s="1" t="s">
        <v>79</v>
      </c>
    </row>
    <row r="696" spans="1:32" ht="12.75" hidden="1" customHeight="1" x14ac:dyDescent="0.2">
      <c r="A696" s="1" t="s">
        <v>86</v>
      </c>
      <c r="B696" s="1" t="s">
        <v>2124</v>
      </c>
      <c r="C696" s="1" t="s">
        <v>71</v>
      </c>
      <c r="D696" s="1" t="s">
        <v>72</v>
      </c>
      <c r="E696" s="1" t="s">
        <v>1267</v>
      </c>
      <c r="F696" s="1" t="s">
        <v>74</v>
      </c>
      <c r="G696" s="3">
        <v>86</v>
      </c>
      <c r="H696" s="4">
        <v>2</v>
      </c>
      <c r="I696" s="5">
        <v>239.94</v>
      </c>
      <c r="J696" s="5">
        <v>0</v>
      </c>
      <c r="K696" s="1" t="s">
        <v>36</v>
      </c>
      <c r="L696" s="1" t="s">
        <v>75</v>
      </c>
      <c r="M696" s="1" t="s">
        <v>37</v>
      </c>
      <c r="N696" s="3">
        <v>86</v>
      </c>
      <c r="O696" s="6">
        <f>Table1[[#This Row],[Invoice Qty]]-Table1[[#This Row],[ExFactory Qty]]</f>
        <v>0</v>
      </c>
      <c r="P696" s="1" t="s">
        <v>2088</v>
      </c>
      <c r="Q696" s="2">
        <v>46289.605034722197</v>
      </c>
      <c r="S696" s="1" t="s">
        <v>39</v>
      </c>
      <c r="U696" s="1" t="s">
        <v>40</v>
      </c>
      <c r="V696" s="1" t="s">
        <v>77</v>
      </c>
      <c r="W696" s="1" t="s">
        <v>40</v>
      </c>
      <c r="X696" s="1" t="s">
        <v>40</v>
      </c>
      <c r="AA696" s="1" t="s">
        <v>2125</v>
      </c>
      <c r="AB696" s="2">
        <v>46289</v>
      </c>
      <c r="AC696" s="2">
        <v>46289</v>
      </c>
      <c r="AE696" s="1" t="s">
        <v>40</v>
      </c>
      <c r="AF696" s="1" t="s">
        <v>79</v>
      </c>
    </row>
    <row r="697" spans="1:32" ht="12.75" hidden="1" customHeight="1" x14ac:dyDescent="0.2">
      <c r="A697" s="1" t="s">
        <v>86</v>
      </c>
      <c r="B697" s="1" t="s">
        <v>2126</v>
      </c>
      <c r="C697" s="1" t="s">
        <v>71</v>
      </c>
      <c r="D697" s="1" t="s">
        <v>72</v>
      </c>
      <c r="E697" s="1" t="s">
        <v>1267</v>
      </c>
      <c r="F697" s="1" t="s">
        <v>74</v>
      </c>
      <c r="G697" s="3">
        <v>83</v>
      </c>
      <c r="H697" s="4">
        <v>2</v>
      </c>
      <c r="I697" s="5">
        <v>231.57</v>
      </c>
      <c r="J697" s="5">
        <v>0</v>
      </c>
      <c r="K697" s="1" t="s">
        <v>36</v>
      </c>
      <c r="L697" s="1" t="s">
        <v>75</v>
      </c>
      <c r="M697" s="1" t="s">
        <v>37</v>
      </c>
      <c r="N697" s="3">
        <v>83</v>
      </c>
      <c r="O697" s="6">
        <f>Table1[[#This Row],[Invoice Qty]]-Table1[[#This Row],[ExFactory Qty]]</f>
        <v>0</v>
      </c>
      <c r="P697" s="1" t="s">
        <v>2088</v>
      </c>
      <c r="Q697" s="2">
        <v>46289.605034722197</v>
      </c>
      <c r="S697" s="1" t="s">
        <v>39</v>
      </c>
      <c r="U697" s="1" t="s">
        <v>40</v>
      </c>
      <c r="V697" s="1" t="s">
        <v>77</v>
      </c>
      <c r="W697" s="1" t="s">
        <v>40</v>
      </c>
      <c r="X697" s="1" t="s">
        <v>40</v>
      </c>
      <c r="AA697" s="1" t="s">
        <v>2127</v>
      </c>
      <c r="AB697" s="2">
        <v>46289</v>
      </c>
      <c r="AC697" s="2">
        <v>46289</v>
      </c>
      <c r="AE697" s="1" t="s">
        <v>40</v>
      </c>
      <c r="AF697" s="1" t="s">
        <v>79</v>
      </c>
    </row>
    <row r="698" spans="1:32" ht="12.75" hidden="1" customHeight="1" x14ac:dyDescent="0.2">
      <c r="A698" s="1" t="s">
        <v>86</v>
      </c>
      <c r="B698" s="1" t="s">
        <v>2128</v>
      </c>
      <c r="C698" s="1" t="s">
        <v>71</v>
      </c>
      <c r="D698" s="1" t="s">
        <v>72</v>
      </c>
      <c r="E698" s="1" t="s">
        <v>2129</v>
      </c>
      <c r="F698" s="1" t="s">
        <v>345</v>
      </c>
      <c r="G698" s="3">
        <v>92</v>
      </c>
      <c r="H698" s="4">
        <v>1</v>
      </c>
      <c r="I698" s="5">
        <v>242.88</v>
      </c>
      <c r="J698" s="5">
        <v>0</v>
      </c>
      <c r="K698" s="1" t="s">
        <v>36</v>
      </c>
      <c r="L698" s="1" t="s">
        <v>75</v>
      </c>
      <c r="M698" s="1" t="s">
        <v>37</v>
      </c>
      <c r="N698" s="3">
        <v>92</v>
      </c>
      <c r="O698" s="6">
        <f>Table1[[#This Row],[Invoice Qty]]-Table1[[#This Row],[ExFactory Qty]]</f>
        <v>0</v>
      </c>
      <c r="P698" s="1" t="s">
        <v>2094</v>
      </c>
      <c r="Q698" s="2">
        <v>46289.6239236111</v>
      </c>
      <c r="S698" s="1" t="s">
        <v>39</v>
      </c>
      <c r="U698" s="1" t="s">
        <v>40</v>
      </c>
      <c r="V698" s="1" t="s">
        <v>77</v>
      </c>
      <c r="W698" s="1" t="s">
        <v>40</v>
      </c>
      <c r="X698" s="1" t="s">
        <v>40</v>
      </c>
      <c r="AA698" s="1" t="s">
        <v>2130</v>
      </c>
      <c r="AB698" s="2">
        <v>46289</v>
      </c>
      <c r="AC698" s="2">
        <v>46289.433773148201</v>
      </c>
      <c r="AE698" s="1" t="s">
        <v>40</v>
      </c>
      <c r="AF698" s="1" t="s">
        <v>79</v>
      </c>
    </row>
    <row r="699" spans="1:32" ht="12.75" hidden="1" customHeight="1" x14ac:dyDescent="0.2">
      <c r="A699" s="1" t="s">
        <v>86</v>
      </c>
      <c r="B699" s="1" t="s">
        <v>2131</v>
      </c>
      <c r="C699" s="1" t="s">
        <v>71</v>
      </c>
      <c r="D699" s="1" t="s">
        <v>72</v>
      </c>
      <c r="E699" s="1" t="s">
        <v>685</v>
      </c>
      <c r="F699" s="1" t="s">
        <v>367</v>
      </c>
      <c r="G699" s="3">
        <v>592</v>
      </c>
      <c r="H699" s="4">
        <v>8</v>
      </c>
      <c r="I699" s="5">
        <v>1545.12</v>
      </c>
      <c r="J699" s="5">
        <v>0</v>
      </c>
      <c r="K699" s="1" t="s">
        <v>36</v>
      </c>
      <c r="L699" s="1" t="s">
        <v>75</v>
      </c>
      <c r="M699" s="1" t="s">
        <v>37</v>
      </c>
      <c r="N699" s="3">
        <v>592</v>
      </c>
      <c r="O699" s="6">
        <f>Table1[[#This Row],[Invoice Qty]]-Table1[[#This Row],[ExFactory Qty]]</f>
        <v>0</v>
      </c>
      <c r="P699" s="1" t="s">
        <v>1034</v>
      </c>
      <c r="Q699" s="2">
        <v>46289.626203703701</v>
      </c>
      <c r="S699" s="1" t="s">
        <v>39</v>
      </c>
      <c r="U699" s="1" t="s">
        <v>40</v>
      </c>
      <c r="V699" s="1" t="s">
        <v>77</v>
      </c>
      <c r="W699" s="1" t="s">
        <v>40</v>
      </c>
      <c r="X699" s="1" t="s">
        <v>40</v>
      </c>
      <c r="AA699" s="1" t="s">
        <v>2132</v>
      </c>
      <c r="AB699" s="2">
        <v>46289</v>
      </c>
      <c r="AC699" s="2">
        <v>46289.433773148201</v>
      </c>
      <c r="AE699" s="1" t="s">
        <v>40</v>
      </c>
      <c r="AF699" s="1" t="s">
        <v>79</v>
      </c>
    </row>
    <row r="700" spans="1:32" ht="12.75" hidden="1" customHeight="1" x14ac:dyDescent="0.2">
      <c r="A700" s="1" t="s">
        <v>86</v>
      </c>
      <c r="B700" s="1" t="s">
        <v>2133</v>
      </c>
      <c r="C700" s="1" t="s">
        <v>71</v>
      </c>
      <c r="D700" s="1" t="s">
        <v>72</v>
      </c>
      <c r="E700" s="1" t="s">
        <v>2134</v>
      </c>
      <c r="F700" s="1" t="s">
        <v>345</v>
      </c>
      <c r="G700" s="3">
        <v>68</v>
      </c>
      <c r="H700" s="4">
        <v>1</v>
      </c>
      <c r="I700" s="5">
        <v>177.48</v>
      </c>
      <c r="J700" s="5">
        <v>0</v>
      </c>
      <c r="K700" s="1" t="s">
        <v>36</v>
      </c>
      <c r="L700" s="1" t="s">
        <v>75</v>
      </c>
      <c r="M700" s="1" t="s">
        <v>37</v>
      </c>
      <c r="N700" s="3">
        <v>68</v>
      </c>
      <c r="O700" s="6">
        <f>Table1[[#This Row],[Invoice Qty]]-Table1[[#This Row],[ExFactory Qty]]</f>
        <v>0</v>
      </c>
      <c r="P700" s="1" t="s">
        <v>2094</v>
      </c>
      <c r="Q700" s="2">
        <v>46289.6239236111</v>
      </c>
      <c r="S700" s="1" t="s">
        <v>39</v>
      </c>
      <c r="U700" s="1" t="s">
        <v>40</v>
      </c>
      <c r="V700" s="1" t="s">
        <v>77</v>
      </c>
      <c r="W700" s="1" t="s">
        <v>40</v>
      </c>
      <c r="X700" s="1" t="s">
        <v>40</v>
      </c>
      <c r="AA700" s="1" t="s">
        <v>2135</v>
      </c>
      <c r="AB700" s="2">
        <v>46289</v>
      </c>
      <c r="AC700" s="2">
        <v>46289.433773148201</v>
      </c>
      <c r="AE700" s="1" t="s">
        <v>40</v>
      </c>
      <c r="AF700" s="1" t="s">
        <v>79</v>
      </c>
    </row>
    <row r="701" spans="1:32" ht="12.75" hidden="1" customHeight="1" x14ac:dyDescent="0.2">
      <c r="A701" s="1" t="s">
        <v>86</v>
      </c>
      <c r="B701" s="1" t="s">
        <v>2136</v>
      </c>
      <c r="C701" s="1" t="s">
        <v>71</v>
      </c>
      <c r="D701" s="1" t="s">
        <v>72</v>
      </c>
      <c r="E701" s="1" t="s">
        <v>1289</v>
      </c>
      <c r="F701" s="1" t="s">
        <v>252</v>
      </c>
      <c r="G701" s="3">
        <v>189</v>
      </c>
      <c r="H701" s="4">
        <v>2</v>
      </c>
      <c r="I701" s="5">
        <v>493.29</v>
      </c>
      <c r="J701" s="5">
        <v>0</v>
      </c>
      <c r="K701" s="1" t="s">
        <v>36</v>
      </c>
      <c r="L701" s="1" t="s">
        <v>75</v>
      </c>
      <c r="M701" s="1" t="s">
        <v>37</v>
      </c>
      <c r="N701" s="3">
        <v>189</v>
      </c>
      <c r="O701" s="6">
        <f>Table1[[#This Row],[Invoice Qty]]-Table1[[#This Row],[ExFactory Qty]]</f>
        <v>0</v>
      </c>
      <c r="P701" s="1" t="s">
        <v>2088</v>
      </c>
      <c r="Q701" s="2">
        <v>46289.605034722197</v>
      </c>
      <c r="S701" s="1" t="s">
        <v>39</v>
      </c>
      <c r="U701" s="1" t="s">
        <v>40</v>
      </c>
      <c r="V701" s="1" t="s">
        <v>77</v>
      </c>
      <c r="W701" s="1" t="s">
        <v>40</v>
      </c>
      <c r="X701" s="1" t="s">
        <v>40</v>
      </c>
      <c r="AA701" s="1" t="s">
        <v>2137</v>
      </c>
      <c r="AB701" s="2">
        <v>46289</v>
      </c>
      <c r="AC701" s="2">
        <v>46289.433773148201</v>
      </c>
      <c r="AE701" s="1" t="s">
        <v>40</v>
      </c>
      <c r="AF701" s="1" t="s">
        <v>79</v>
      </c>
    </row>
    <row r="702" spans="1:32" ht="12.75" hidden="1" customHeight="1" x14ac:dyDescent="0.2">
      <c r="A702" s="1" t="s">
        <v>86</v>
      </c>
      <c r="B702" s="1" t="s">
        <v>2138</v>
      </c>
      <c r="C702" s="1" t="s">
        <v>71</v>
      </c>
      <c r="D702" s="1" t="s">
        <v>72</v>
      </c>
      <c r="E702" s="1" t="s">
        <v>1289</v>
      </c>
      <c r="F702" s="1" t="s">
        <v>384</v>
      </c>
      <c r="G702" s="3">
        <v>766</v>
      </c>
      <c r="H702" s="4">
        <v>8</v>
      </c>
      <c r="I702" s="5">
        <v>1999.26</v>
      </c>
      <c r="J702" s="5">
        <v>0</v>
      </c>
      <c r="K702" s="1" t="s">
        <v>36</v>
      </c>
      <c r="L702" s="1" t="s">
        <v>75</v>
      </c>
      <c r="M702" s="1" t="s">
        <v>37</v>
      </c>
      <c r="N702" s="3">
        <v>766</v>
      </c>
      <c r="O702" s="6">
        <f>Table1[[#This Row],[Invoice Qty]]-Table1[[#This Row],[ExFactory Qty]]</f>
        <v>0</v>
      </c>
      <c r="P702" s="1" t="s">
        <v>2104</v>
      </c>
      <c r="Q702" s="2">
        <v>46289.604386574101</v>
      </c>
      <c r="S702" s="1" t="s">
        <v>39</v>
      </c>
      <c r="U702" s="1" t="s">
        <v>40</v>
      </c>
      <c r="V702" s="1" t="s">
        <v>77</v>
      </c>
      <c r="W702" s="1" t="s">
        <v>40</v>
      </c>
      <c r="X702" s="1" t="s">
        <v>40</v>
      </c>
      <c r="AA702" s="1" t="s">
        <v>2139</v>
      </c>
      <c r="AB702" s="2">
        <v>46289</v>
      </c>
      <c r="AC702" s="2">
        <v>46289.433773148201</v>
      </c>
      <c r="AE702" s="1" t="s">
        <v>40</v>
      </c>
      <c r="AF702" s="1" t="s">
        <v>79</v>
      </c>
    </row>
    <row r="703" spans="1:32" ht="12.75" hidden="1" customHeight="1" x14ac:dyDescent="0.2">
      <c r="A703" s="1" t="s">
        <v>86</v>
      </c>
      <c r="B703" s="1" t="s">
        <v>2140</v>
      </c>
      <c r="C703" s="1" t="s">
        <v>71</v>
      </c>
      <c r="D703" s="1" t="s">
        <v>72</v>
      </c>
      <c r="E703" s="1" t="s">
        <v>1289</v>
      </c>
      <c r="F703" s="1" t="s">
        <v>384</v>
      </c>
      <c r="G703" s="3">
        <v>819</v>
      </c>
      <c r="H703" s="4">
        <v>9</v>
      </c>
      <c r="I703" s="5">
        <v>2137.59</v>
      </c>
      <c r="J703" s="5">
        <v>0</v>
      </c>
      <c r="K703" s="1" t="s">
        <v>36</v>
      </c>
      <c r="L703" s="1" t="s">
        <v>75</v>
      </c>
      <c r="M703" s="1" t="s">
        <v>37</v>
      </c>
      <c r="N703" s="3">
        <v>819</v>
      </c>
      <c r="O703" s="6">
        <f>Table1[[#This Row],[Invoice Qty]]-Table1[[#This Row],[ExFactory Qty]]</f>
        <v>0</v>
      </c>
      <c r="P703" s="1" t="s">
        <v>2104</v>
      </c>
      <c r="Q703" s="2">
        <v>46289.604386574101</v>
      </c>
      <c r="S703" s="1" t="s">
        <v>39</v>
      </c>
      <c r="U703" s="1" t="s">
        <v>40</v>
      </c>
      <c r="V703" s="1" t="s">
        <v>77</v>
      </c>
      <c r="W703" s="1" t="s">
        <v>40</v>
      </c>
      <c r="X703" s="1" t="s">
        <v>40</v>
      </c>
      <c r="AA703" s="1" t="s">
        <v>2141</v>
      </c>
      <c r="AB703" s="2">
        <v>46289</v>
      </c>
      <c r="AC703" s="2">
        <v>46289.433773148201</v>
      </c>
      <c r="AE703" s="1" t="s">
        <v>40</v>
      </c>
      <c r="AF703" s="1" t="s">
        <v>79</v>
      </c>
    </row>
    <row r="704" spans="1:32" ht="12.75" hidden="1" customHeight="1" x14ac:dyDescent="0.2">
      <c r="A704" s="1" t="s">
        <v>86</v>
      </c>
      <c r="B704" s="1" t="s">
        <v>2142</v>
      </c>
      <c r="C704" s="1" t="s">
        <v>71</v>
      </c>
      <c r="D704" s="1" t="s">
        <v>72</v>
      </c>
      <c r="E704" s="1" t="s">
        <v>1289</v>
      </c>
      <c r="F704" s="1" t="s">
        <v>372</v>
      </c>
      <c r="G704" s="3">
        <v>337</v>
      </c>
      <c r="H704" s="4">
        <v>5</v>
      </c>
      <c r="I704" s="5">
        <v>879.57</v>
      </c>
      <c r="J704" s="5">
        <v>0</v>
      </c>
      <c r="K704" s="1" t="s">
        <v>36</v>
      </c>
      <c r="L704" s="1" t="s">
        <v>75</v>
      </c>
      <c r="M704" s="1" t="s">
        <v>37</v>
      </c>
      <c r="N704" s="3">
        <v>337</v>
      </c>
      <c r="O704" s="6">
        <f>Table1[[#This Row],[Invoice Qty]]-Table1[[#This Row],[ExFactory Qty]]</f>
        <v>0</v>
      </c>
      <c r="P704" s="1" t="s">
        <v>1034</v>
      </c>
      <c r="Q704" s="2">
        <v>46289.626203703701</v>
      </c>
      <c r="S704" s="1" t="s">
        <v>39</v>
      </c>
      <c r="U704" s="1" t="s">
        <v>40</v>
      </c>
      <c r="V704" s="1" t="s">
        <v>77</v>
      </c>
      <c r="W704" s="1" t="s">
        <v>40</v>
      </c>
      <c r="X704" s="1" t="s">
        <v>40</v>
      </c>
      <c r="AA704" s="1" t="s">
        <v>2143</v>
      </c>
      <c r="AB704" s="2">
        <v>46289</v>
      </c>
      <c r="AC704" s="2">
        <v>46289.433773148201</v>
      </c>
      <c r="AE704" s="1" t="s">
        <v>40</v>
      </c>
      <c r="AF704" s="1" t="s">
        <v>79</v>
      </c>
    </row>
    <row r="705" spans="1:32" ht="12.75" hidden="1" customHeight="1" x14ac:dyDescent="0.2">
      <c r="A705" s="1" t="s">
        <v>86</v>
      </c>
      <c r="B705" s="1" t="s">
        <v>2144</v>
      </c>
      <c r="C705" s="1" t="s">
        <v>71</v>
      </c>
      <c r="D705" s="1" t="s">
        <v>72</v>
      </c>
      <c r="E705" s="1" t="s">
        <v>1289</v>
      </c>
      <c r="F705" s="1" t="s">
        <v>74</v>
      </c>
      <c r="G705" s="3">
        <v>256</v>
      </c>
      <c r="H705" s="4">
        <v>3</v>
      </c>
      <c r="I705" s="5">
        <v>668.16</v>
      </c>
      <c r="J705" s="5">
        <v>0</v>
      </c>
      <c r="K705" s="1" t="s">
        <v>36</v>
      </c>
      <c r="L705" s="1" t="s">
        <v>75</v>
      </c>
      <c r="M705" s="1" t="s">
        <v>37</v>
      </c>
      <c r="N705" s="3">
        <v>256</v>
      </c>
      <c r="O705" s="6">
        <f>Table1[[#This Row],[Invoice Qty]]-Table1[[#This Row],[ExFactory Qty]]</f>
        <v>0</v>
      </c>
      <c r="P705" s="1" t="s">
        <v>2088</v>
      </c>
      <c r="Q705" s="2">
        <v>46289.605034722197</v>
      </c>
      <c r="S705" s="1" t="s">
        <v>39</v>
      </c>
      <c r="U705" s="1" t="s">
        <v>40</v>
      </c>
      <c r="V705" s="1" t="s">
        <v>77</v>
      </c>
      <c r="W705" s="1" t="s">
        <v>40</v>
      </c>
      <c r="X705" s="1" t="s">
        <v>40</v>
      </c>
      <c r="AA705" s="1" t="s">
        <v>2145</v>
      </c>
      <c r="AB705" s="2">
        <v>46289</v>
      </c>
      <c r="AC705" s="2">
        <v>46289</v>
      </c>
      <c r="AE705" s="1" t="s">
        <v>40</v>
      </c>
      <c r="AF705" s="1" t="s">
        <v>79</v>
      </c>
    </row>
    <row r="706" spans="1:32" ht="12.75" hidden="1" customHeight="1" x14ac:dyDescent="0.2">
      <c r="A706" s="1" t="s">
        <v>86</v>
      </c>
      <c r="B706" s="1" t="s">
        <v>2146</v>
      </c>
      <c r="C706" s="1" t="s">
        <v>71</v>
      </c>
      <c r="D706" s="1" t="s">
        <v>72</v>
      </c>
      <c r="E706" s="1" t="s">
        <v>1289</v>
      </c>
      <c r="F706" s="1" t="s">
        <v>74</v>
      </c>
      <c r="G706" s="3">
        <v>293</v>
      </c>
      <c r="H706" s="4">
        <v>5</v>
      </c>
      <c r="I706" s="5">
        <v>764.73</v>
      </c>
      <c r="J706" s="5">
        <v>0</v>
      </c>
      <c r="K706" s="1" t="s">
        <v>36</v>
      </c>
      <c r="L706" s="1" t="s">
        <v>75</v>
      </c>
      <c r="M706" s="1" t="s">
        <v>37</v>
      </c>
      <c r="N706" s="3">
        <v>293</v>
      </c>
      <c r="O706" s="6">
        <f>Table1[[#This Row],[Invoice Qty]]-Table1[[#This Row],[ExFactory Qty]]</f>
        <v>0</v>
      </c>
      <c r="P706" s="1" t="s">
        <v>2088</v>
      </c>
      <c r="Q706" s="2">
        <v>46289.605034722197</v>
      </c>
      <c r="S706" s="1" t="s">
        <v>39</v>
      </c>
      <c r="U706" s="1" t="s">
        <v>40</v>
      </c>
      <c r="V706" s="1" t="s">
        <v>77</v>
      </c>
      <c r="W706" s="1" t="s">
        <v>40</v>
      </c>
      <c r="X706" s="1" t="s">
        <v>40</v>
      </c>
      <c r="AA706" s="1" t="s">
        <v>2147</v>
      </c>
      <c r="AB706" s="2">
        <v>46289</v>
      </c>
      <c r="AC706" s="2">
        <v>46289</v>
      </c>
      <c r="AE706" s="1" t="s">
        <v>40</v>
      </c>
      <c r="AF706" s="1" t="s">
        <v>79</v>
      </c>
    </row>
    <row r="707" spans="1:32" ht="12.75" hidden="1" customHeight="1" x14ac:dyDescent="0.2">
      <c r="A707" s="1" t="s">
        <v>86</v>
      </c>
      <c r="B707" s="1" t="s">
        <v>2148</v>
      </c>
      <c r="C707" s="1" t="s">
        <v>71</v>
      </c>
      <c r="D707" s="1" t="s">
        <v>72</v>
      </c>
      <c r="E707" s="1" t="s">
        <v>1303</v>
      </c>
      <c r="F707" s="1" t="s">
        <v>445</v>
      </c>
      <c r="G707" s="3">
        <v>143</v>
      </c>
      <c r="H707" s="4">
        <v>2</v>
      </c>
      <c r="I707" s="5">
        <v>394.68</v>
      </c>
      <c r="J707" s="5">
        <v>0</v>
      </c>
      <c r="K707" s="1" t="s">
        <v>36</v>
      </c>
      <c r="L707" s="1" t="s">
        <v>75</v>
      </c>
      <c r="M707" s="1" t="s">
        <v>37</v>
      </c>
      <c r="N707" s="3">
        <v>143</v>
      </c>
      <c r="O707" s="6">
        <f>Table1[[#This Row],[Invoice Qty]]-Table1[[#This Row],[ExFactory Qty]]</f>
        <v>0</v>
      </c>
      <c r="P707" s="1" t="s">
        <v>2094</v>
      </c>
      <c r="Q707" s="2">
        <v>46289.6239236111</v>
      </c>
      <c r="S707" s="1" t="s">
        <v>39</v>
      </c>
      <c r="U707" s="1" t="s">
        <v>40</v>
      </c>
      <c r="V707" s="1" t="s">
        <v>77</v>
      </c>
      <c r="W707" s="1" t="s">
        <v>40</v>
      </c>
      <c r="X707" s="1" t="s">
        <v>40</v>
      </c>
      <c r="AA707" s="1" t="s">
        <v>2149</v>
      </c>
      <c r="AB707" s="2">
        <v>46289</v>
      </c>
      <c r="AC707" s="2">
        <v>46289.433773148201</v>
      </c>
      <c r="AE707" s="1" t="s">
        <v>40</v>
      </c>
      <c r="AF707" s="1" t="s">
        <v>79</v>
      </c>
    </row>
    <row r="708" spans="1:32" ht="12.75" hidden="1" customHeight="1" x14ac:dyDescent="0.2">
      <c r="A708" s="1" t="s">
        <v>86</v>
      </c>
      <c r="B708" s="1" t="s">
        <v>2150</v>
      </c>
      <c r="C708" s="1" t="s">
        <v>71</v>
      </c>
      <c r="D708" s="1" t="s">
        <v>72</v>
      </c>
      <c r="E708" s="1" t="s">
        <v>1303</v>
      </c>
      <c r="F708" s="1" t="s">
        <v>108</v>
      </c>
      <c r="G708" s="3">
        <v>166</v>
      </c>
      <c r="H708" s="4">
        <v>3</v>
      </c>
      <c r="I708" s="5">
        <v>458.16</v>
      </c>
      <c r="J708" s="5">
        <v>0</v>
      </c>
      <c r="K708" s="1" t="s">
        <v>36</v>
      </c>
      <c r="L708" s="1" t="s">
        <v>75</v>
      </c>
      <c r="M708" s="1" t="s">
        <v>37</v>
      </c>
      <c r="N708" s="3">
        <v>166</v>
      </c>
      <c r="O708" s="6">
        <f>Table1[[#This Row],[Invoice Qty]]-Table1[[#This Row],[ExFactory Qty]]</f>
        <v>0</v>
      </c>
      <c r="P708" s="1" t="s">
        <v>1034</v>
      </c>
      <c r="Q708" s="2">
        <v>46289.626203703701</v>
      </c>
      <c r="S708" s="1" t="s">
        <v>39</v>
      </c>
      <c r="U708" s="1" t="s">
        <v>40</v>
      </c>
      <c r="V708" s="1" t="s">
        <v>77</v>
      </c>
      <c r="W708" s="1" t="s">
        <v>40</v>
      </c>
      <c r="X708" s="1" t="s">
        <v>40</v>
      </c>
      <c r="AA708" s="1" t="s">
        <v>2151</v>
      </c>
      <c r="AB708" s="2">
        <v>46289</v>
      </c>
      <c r="AC708" s="2">
        <v>46289.433773148201</v>
      </c>
      <c r="AE708" s="1" t="s">
        <v>40</v>
      </c>
      <c r="AF708" s="1" t="s">
        <v>79</v>
      </c>
    </row>
    <row r="709" spans="1:32" ht="12.75" hidden="1" customHeight="1" x14ac:dyDescent="0.2">
      <c r="A709" s="1" t="s">
        <v>86</v>
      </c>
      <c r="B709" s="1" t="s">
        <v>2152</v>
      </c>
      <c r="C709" s="1" t="s">
        <v>71</v>
      </c>
      <c r="D709" s="1" t="s">
        <v>72</v>
      </c>
      <c r="E709" s="1" t="s">
        <v>1303</v>
      </c>
      <c r="F709" s="1" t="s">
        <v>372</v>
      </c>
      <c r="G709" s="3">
        <v>487</v>
      </c>
      <c r="H709" s="4">
        <v>8</v>
      </c>
      <c r="I709" s="5">
        <v>1344.12</v>
      </c>
      <c r="J709" s="5">
        <v>0</v>
      </c>
      <c r="K709" s="1" t="s">
        <v>36</v>
      </c>
      <c r="L709" s="1" t="s">
        <v>75</v>
      </c>
      <c r="M709" s="1" t="s">
        <v>37</v>
      </c>
      <c r="N709" s="3">
        <v>487</v>
      </c>
      <c r="O709" s="6">
        <f>Table1[[#This Row],[Invoice Qty]]-Table1[[#This Row],[ExFactory Qty]]</f>
        <v>0</v>
      </c>
      <c r="P709" s="1" t="s">
        <v>1034</v>
      </c>
      <c r="Q709" s="2">
        <v>46289.626203703701</v>
      </c>
      <c r="S709" s="1" t="s">
        <v>39</v>
      </c>
      <c r="U709" s="1" t="s">
        <v>40</v>
      </c>
      <c r="V709" s="1" t="s">
        <v>77</v>
      </c>
      <c r="W709" s="1" t="s">
        <v>40</v>
      </c>
      <c r="X709" s="1" t="s">
        <v>40</v>
      </c>
      <c r="AA709" s="1" t="s">
        <v>2153</v>
      </c>
      <c r="AB709" s="2">
        <v>46289</v>
      </c>
      <c r="AC709" s="2">
        <v>46289.433773148201</v>
      </c>
      <c r="AE709" s="1" t="s">
        <v>40</v>
      </c>
      <c r="AF709" s="1" t="s">
        <v>79</v>
      </c>
    </row>
    <row r="710" spans="1:32" ht="12.75" hidden="1" customHeight="1" x14ac:dyDescent="0.2">
      <c r="A710" s="1" t="s">
        <v>86</v>
      </c>
      <c r="B710" s="1" t="s">
        <v>2154</v>
      </c>
      <c r="C710" s="1" t="s">
        <v>71</v>
      </c>
      <c r="D710" s="1" t="s">
        <v>72</v>
      </c>
      <c r="E710" s="1" t="s">
        <v>1303</v>
      </c>
      <c r="F710" s="1" t="s">
        <v>74</v>
      </c>
      <c r="G710" s="3">
        <v>75</v>
      </c>
      <c r="H710" s="4">
        <v>1</v>
      </c>
      <c r="I710" s="5">
        <v>207</v>
      </c>
      <c r="J710" s="5">
        <v>0</v>
      </c>
      <c r="K710" s="1" t="s">
        <v>36</v>
      </c>
      <c r="L710" s="1" t="s">
        <v>75</v>
      </c>
      <c r="M710" s="1" t="s">
        <v>37</v>
      </c>
      <c r="N710" s="3">
        <v>75</v>
      </c>
      <c r="O710" s="6">
        <f>Table1[[#This Row],[Invoice Qty]]-Table1[[#This Row],[ExFactory Qty]]</f>
        <v>0</v>
      </c>
      <c r="P710" s="1" t="s">
        <v>2088</v>
      </c>
      <c r="Q710" s="2">
        <v>46289.605034722197</v>
      </c>
      <c r="S710" s="1" t="s">
        <v>39</v>
      </c>
      <c r="U710" s="1" t="s">
        <v>40</v>
      </c>
      <c r="V710" s="1" t="s">
        <v>77</v>
      </c>
      <c r="W710" s="1" t="s">
        <v>40</v>
      </c>
      <c r="X710" s="1" t="s">
        <v>40</v>
      </c>
      <c r="AA710" s="1" t="s">
        <v>2155</v>
      </c>
      <c r="AB710" s="2">
        <v>46289</v>
      </c>
      <c r="AC710" s="2">
        <v>46289</v>
      </c>
      <c r="AE710" s="1" t="s">
        <v>40</v>
      </c>
      <c r="AF710" s="1" t="s">
        <v>79</v>
      </c>
    </row>
    <row r="711" spans="1:32" ht="12.75" hidden="1" customHeight="1" x14ac:dyDescent="0.2">
      <c r="A711" s="1" t="s">
        <v>86</v>
      </c>
      <c r="B711" s="1" t="s">
        <v>2156</v>
      </c>
      <c r="C711" s="1" t="s">
        <v>71</v>
      </c>
      <c r="D711" s="1" t="s">
        <v>72</v>
      </c>
      <c r="E711" s="1" t="s">
        <v>1303</v>
      </c>
      <c r="F711" s="1" t="s">
        <v>74</v>
      </c>
      <c r="G711" s="3">
        <v>72</v>
      </c>
      <c r="H711" s="4">
        <v>1</v>
      </c>
      <c r="I711" s="5">
        <v>198.72</v>
      </c>
      <c r="J711" s="5">
        <v>0</v>
      </c>
      <c r="K711" s="1" t="s">
        <v>36</v>
      </c>
      <c r="L711" s="1" t="s">
        <v>75</v>
      </c>
      <c r="M711" s="1" t="s">
        <v>37</v>
      </c>
      <c r="N711" s="3">
        <v>72</v>
      </c>
      <c r="O711" s="6">
        <f>Table1[[#This Row],[Invoice Qty]]-Table1[[#This Row],[ExFactory Qty]]</f>
        <v>0</v>
      </c>
      <c r="P711" s="1" t="s">
        <v>2088</v>
      </c>
      <c r="Q711" s="2">
        <v>46289.605034722197</v>
      </c>
      <c r="S711" s="1" t="s">
        <v>39</v>
      </c>
      <c r="U711" s="1" t="s">
        <v>40</v>
      </c>
      <c r="V711" s="1" t="s">
        <v>77</v>
      </c>
      <c r="W711" s="1" t="s">
        <v>40</v>
      </c>
      <c r="X711" s="1" t="s">
        <v>40</v>
      </c>
      <c r="AA711" s="1" t="s">
        <v>2157</v>
      </c>
      <c r="AB711" s="2">
        <v>46289</v>
      </c>
      <c r="AC711" s="2">
        <v>46289</v>
      </c>
      <c r="AE711" s="1" t="s">
        <v>40</v>
      </c>
      <c r="AF711" s="1" t="s">
        <v>79</v>
      </c>
    </row>
    <row r="712" spans="1:32" ht="12.75" hidden="1" customHeight="1" x14ac:dyDescent="0.2">
      <c r="A712" s="1" t="s">
        <v>86</v>
      </c>
      <c r="B712" s="1" t="s">
        <v>2158</v>
      </c>
      <c r="C712" s="1" t="s">
        <v>71</v>
      </c>
      <c r="D712" s="1" t="s">
        <v>72</v>
      </c>
      <c r="E712" s="1" t="s">
        <v>1303</v>
      </c>
      <c r="F712" s="1" t="s">
        <v>367</v>
      </c>
      <c r="G712" s="3">
        <v>45</v>
      </c>
      <c r="H712" s="4">
        <v>1</v>
      </c>
      <c r="I712" s="5">
        <v>124.2</v>
      </c>
      <c r="J712" s="5">
        <v>0</v>
      </c>
      <c r="K712" s="1" t="s">
        <v>36</v>
      </c>
      <c r="L712" s="1" t="s">
        <v>75</v>
      </c>
      <c r="M712" s="1" t="s">
        <v>37</v>
      </c>
      <c r="N712" s="3">
        <v>45</v>
      </c>
      <c r="O712" s="6">
        <f>Table1[[#This Row],[Invoice Qty]]-Table1[[#This Row],[ExFactory Qty]]</f>
        <v>0</v>
      </c>
      <c r="P712" s="1" t="s">
        <v>1034</v>
      </c>
      <c r="Q712" s="2">
        <v>46289.626203703701</v>
      </c>
      <c r="S712" s="1" t="s">
        <v>39</v>
      </c>
      <c r="U712" s="1" t="s">
        <v>40</v>
      </c>
      <c r="V712" s="1" t="s">
        <v>77</v>
      </c>
      <c r="W712" s="1" t="s">
        <v>40</v>
      </c>
      <c r="X712" s="1" t="s">
        <v>40</v>
      </c>
      <c r="AA712" s="1" t="s">
        <v>2159</v>
      </c>
      <c r="AB712" s="2">
        <v>46289</v>
      </c>
      <c r="AC712" s="2">
        <v>46289.433773148201</v>
      </c>
      <c r="AE712" s="1" t="s">
        <v>40</v>
      </c>
      <c r="AF712" s="1" t="s">
        <v>79</v>
      </c>
    </row>
    <row r="713" spans="1:32" ht="12.75" hidden="1" customHeight="1" x14ac:dyDescent="0.2">
      <c r="A713" s="1" t="s">
        <v>86</v>
      </c>
      <c r="B713" s="1" t="s">
        <v>2160</v>
      </c>
      <c r="C713" s="1" t="s">
        <v>71</v>
      </c>
      <c r="D713" s="1" t="s">
        <v>72</v>
      </c>
      <c r="E713" s="1" t="s">
        <v>1303</v>
      </c>
      <c r="F713" s="1" t="s">
        <v>986</v>
      </c>
      <c r="G713" s="3">
        <v>21</v>
      </c>
      <c r="H713" s="4">
        <v>1</v>
      </c>
      <c r="I713" s="5">
        <v>57.96</v>
      </c>
      <c r="J713" s="5">
        <v>0</v>
      </c>
      <c r="K713" s="1" t="s">
        <v>36</v>
      </c>
      <c r="L713" s="1" t="s">
        <v>75</v>
      </c>
      <c r="M713" s="1" t="s">
        <v>37</v>
      </c>
      <c r="N713" s="3">
        <v>21</v>
      </c>
      <c r="O713" s="6">
        <f>Table1[[#This Row],[Invoice Qty]]-Table1[[#This Row],[ExFactory Qty]]</f>
        <v>0</v>
      </c>
      <c r="P713" s="1" t="s">
        <v>2088</v>
      </c>
      <c r="Q713" s="2">
        <v>46289.605034722197</v>
      </c>
      <c r="S713" s="1" t="s">
        <v>39</v>
      </c>
      <c r="U713" s="1" t="s">
        <v>40</v>
      </c>
      <c r="V713" s="1" t="s">
        <v>77</v>
      </c>
      <c r="W713" s="1" t="s">
        <v>40</v>
      </c>
      <c r="X713" s="1" t="s">
        <v>40</v>
      </c>
      <c r="AA713" s="1" t="s">
        <v>2161</v>
      </c>
      <c r="AB713" s="2">
        <v>46289</v>
      </c>
      <c r="AC713" s="2">
        <v>46289.433773148201</v>
      </c>
      <c r="AE713" s="1" t="s">
        <v>40</v>
      </c>
      <c r="AF713" s="1" t="s">
        <v>79</v>
      </c>
    </row>
    <row r="714" spans="1:32" ht="12.75" hidden="1" customHeight="1" x14ac:dyDescent="0.2">
      <c r="A714" s="1" t="s">
        <v>86</v>
      </c>
      <c r="B714" s="1" t="s">
        <v>2162</v>
      </c>
      <c r="C714" s="1" t="s">
        <v>71</v>
      </c>
      <c r="D714" s="1" t="s">
        <v>72</v>
      </c>
      <c r="E714" s="1" t="s">
        <v>1321</v>
      </c>
      <c r="F714" s="1" t="s">
        <v>252</v>
      </c>
      <c r="G714" s="3">
        <v>13</v>
      </c>
      <c r="H714" s="4">
        <v>1</v>
      </c>
      <c r="I714" s="5">
        <v>25.22</v>
      </c>
      <c r="J714" s="5">
        <v>0</v>
      </c>
      <c r="K714" s="1" t="s">
        <v>36</v>
      </c>
      <c r="L714" s="1" t="s">
        <v>75</v>
      </c>
      <c r="M714" s="1" t="s">
        <v>37</v>
      </c>
      <c r="N714" s="3">
        <v>13</v>
      </c>
      <c r="O714" s="6">
        <f>Table1[[#This Row],[Invoice Qty]]-Table1[[#This Row],[ExFactory Qty]]</f>
        <v>0</v>
      </c>
      <c r="P714" s="1" t="s">
        <v>2088</v>
      </c>
      <c r="Q714" s="2">
        <v>46289.605034722197</v>
      </c>
      <c r="S714" s="1" t="s">
        <v>39</v>
      </c>
      <c r="U714" s="1" t="s">
        <v>40</v>
      </c>
      <c r="V714" s="1" t="s">
        <v>77</v>
      </c>
      <c r="W714" s="1" t="s">
        <v>40</v>
      </c>
      <c r="X714" s="1" t="s">
        <v>40</v>
      </c>
      <c r="AA714" s="1" t="s">
        <v>2163</v>
      </c>
      <c r="AB714" s="2">
        <v>46289</v>
      </c>
      <c r="AC714" s="2">
        <v>46289.433773148201</v>
      </c>
      <c r="AE714" s="1" t="s">
        <v>40</v>
      </c>
      <c r="AF714" s="1" t="s">
        <v>79</v>
      </c>
    </row>
    <row r="715" spans="1:32" ht="12.75" hidden="1" customHeight="1" x14ac:dyDescent="0.2">
      <c r="A715" s="1" t="s">
        <v>86</v>
      </c>
      <c r="B715" s="1" t="s">
        <v>2164</v>
      </c>
      <c r="C715" s="1" t="s">
        <v>71</v>
      </c>
      <c r="D715" s="1" t="s">
        <v>72</v>
      </c>
      <c r="E715" s="1" t="s">
        <v>1321</v>
      </c>
      <c r="F715" s="1" t="s">
        <v>384</v>
      </c>
      <c r="G715" s="3">
        <v>45</v>
      </c>
      <c r="H715" s="4">
        <v>1</v>
      </c>
      <c r="I715" s="5">
        <v>87.3</v>
      </c>
      <c r="J715" s="5">
        <v>0</v>
      </c>
      <c r="K715" s="1" t="s">
        <v>36</v>
      </c>
      <c r="L715" s="1" t="s">
        <v>75</v>
      </c>
      <c r="M715" s="1" t="s">
        <v>37</v>
      </c>
      <c r="N715" s="3">
        <v>45</v>
      </c>
      <c r="O715" s="6">
        <f>Table1[[#This Row],[Invoice Qty]]-Table1[[#This Row],[ExFactory Qty]]</f>
        <v>0</v>
      </c>
      <c r="P715" s="1" t="s">
        <v>2104</v>
      </c>
      <c r="Q715" s="2">
        <v>46289.604386574101</v>
      </c>
      <c r="S715" s="1" t="s">
        <v>39</v>
      </c>
      <c r="U715" s="1" t="s">
        <v>40</v>
      </c>
      <c r="V715" s="1" t="s">
        <v>77</v>
      </c>
      <c r="W715" s="1" t="s">
        <v>40</v>
      </c>
      <c r="X715" s="1" t="s">
        <v>40</v>
      </c>
      <c r="AA715" s="1" t="s">
        <v>2165</v>
      </c>
      <c r="AB715" s="2">
        <v>46289</v>
      </c>
      <c r="AC715" s="2">
        <v>46289.433773148201</v>
      </c>
      <c r="AE715" s="1" t="s">
        <v>40</v>
      </c>
      <c r="AF715" s="1" t="s">
        <v>79</v>
      </c>
    </row>
    <row r="716" spans="1:32" ht="12.75" hidden="1" customHeight="1" x14ac:dyDescent="0.2">
      <c r="A716" s="1" t="s">
        <v>86</v>
      </c>
      <c r="B716" s="1" t="s">
        <v>2166</v>
      </c>
      <c r="C716" s="1" t="s">
        <v>71</v>
      </c>
      <c r="D716" s="1" t="s">
        <v>72</v>
      </c>
      <c r="E716" s="1" t="s">
        <v>1321</v>
      </c>
      <c r="F716" s="1" t="s">
        <v>384</v>
      </c>
      <c r="G716" s="3">
        <v>42</v>
      </c>
      <c r="H716" s="4">
        <v>1</v>
      </c>
      <c r="I716" s="5">
        <v>81.48</v>
      </c>
      <c r="J716" s="5">
        <v>0</v>
      </c>
      <c r="K716" s="1" t="s">
        <v>36</v>
      </c>
      <c r="L716" s="1" t="s">
        <v>75</v>
      </c>
      <c r="M716" s="1" t="s">
        <v>37</v>
      </c>
      <c r="N716" s="3">
        <v>42</v>
      </c>
      <c r="O716" s="6">
        <f>Table1[[#This Row],[Invoice Qty]]-Table1[[#This Row],[ExFactory Qty]]</f>
        <v>0</v>
      </c>
      <c r="P716" s="1" t="s">
        <v>2104</v>
      </c>
      <c r="Q716" s="2">
        <v>46289.604386574101</v>
      </c>
      <c r="S716" s="1" t="s">
        <v>39</v>
      </c>
      <c r="U716" s="1" t="s">
        <v>40</v>
      </c>
      <c r="V716" s="1" t="s">
        <v>77</v>
      </c>
      <c r="W716" s="1" t="s">
        <v>40</v>
      </c>
      <c r="X716" s="1" t="s">
        <v>40</v>
      </c>
      <c r="AA716" s="1" t="s">
        <v>2167</v>
      </c>
      <c r="AB716" s="2">
        <v>46289</v>
      </c>
      <c r="AC716" s="2">
        <v>46289.433773148201</v>
      </c>
      <c r="AE716" s="1" t="s">
        <v>40</v>
      </c>
      <c r="AF716" s="1" t="s">
        <v>79</v>
      </c>
    </row>
    <row r="717" spans="1:32" ht="12.75" hidden="1" customHeight="1" x14ac:dyDescent="0.2">
      <c r="A717" s="1" t="s">
        <v>86</v>
      </c>
      <c r="B717" s="1" t="s">
        <v>2168</v>
      </c>
      <c r="C717" s="1" t="s">
        <v>71</v>
      </c>
      <c r="D717" s="1" t="s">
        <v>457</v>
      </c>
      <c r="E717" s="1" t="s">
        <v>1028</v>
      </c>
      <c r="F717" s="1" t="s">
        <v>252</v>
      </c>
      <c r="G717" s="3">
        <v>590</v>
      </c>
      <c r="H717" s="4">
        <v>7</v>
      </c>
      <c r="I717" s="5">
        <v>2495.6999999999998</v>
      </c>
      <c r="J717" s="5">
        <v>0</v>
      </c>
      <c r="K717" s="1" t="s">
        <v>36</v>
      </c>
      <c r="L717" s="1" t="s">
        <v>75</v>
      </c>
      <c r="M717" s="1" t="s">
        <v>37</v>
      </c>
      <c r="N717" s="3">
        <v>590</v>
      </c>
      <c r="O717" s="6">
        <f>Table1[[#This Row],[Invoice Qty]]-Table1[[#This Row],[ExFactory Qty]]</f>
        <v>0</v>
      </c>
      <c r="P717" s="1" t="s">
        <v>2088</v>
      </c>
      <c r="Q717" s="2">
        <v>46289.605034722197</v>
      </c>
      <c r="S717" s="1" t="s">
        <v>39</v>
      </c>
      <c r="U717" s="1" t="s">
        <v>40</v>
      </c>
      <c r="V717" s="1" t="s">
        <v>77</v>
      </c>
      <c r="W717" s="1" t="s">
        <v>40</v>
      </c>
      <c r="X717" s="1" t="s">
        <v>40</v>
      </c>
      <c r="AA717" s="1" t="s">
        <v>2169</v>
      </c>
      <c r="AB717" s="2">
        <v>46289</v>
      </c>
      <c r="AC717" s="2">
        <v>46289.433773148201</v>
      </c>
      <c r="AE717" s="1" t="s">
        <v>40</v>
      </c>
      <c r="AF717" s="1" t="s">
        <v>326</v>
      </c>
    </row>
    <row r="718" spans="1:32" ht="12.75" hidden="1" customHeight="1" x14ac:dyDescent="0.2">
      <c r="A718" s="1" t="s">
        <v>86</v>
      </c>
      <c r="B718" s="1" t="s">
        <v>2170</v>
      </c>
      <c r="C718" s="1" t="s">
        <v>71</v>
      </c>
      <c r="D718" s="1" t="s">
        <v>457</v>
      </c>
      <c r="E718" s="1" t="s">
        <v>1028</v>
      </c>
      <c r="F718" s="1" t="s">
        <v>345</v>
      </c>
      <c r="G718" s="3">
        <v>1621</v>
      </c>
      <c r="H718" s="4">
        <v>20</v>
      </c>
      <c r="I718" s="5">
        <v>6856.83</v>
      </c>
      <c r="J718" s="5">
        <v>0</v>
      </c>
      <c r="K718" s="1" t="s">
        <v>36</v>
      </c>
      <c r="L718" s="1" t="s">
        <v>75</v>
      </c>
      <c r="M718" s="1" t="s">
        <v>37</v>
      </c>
      <c r="N718" s="3">
        <v>1621</v>
      </c>
      <c r="O718" s="6">
        <f>Table1[[#This Row],[Invoice Qty]]-Table1[[#This Row],[ExFactory Qty]]</f>
        <v>0</v>
      </c>
      <c r="P718" s="1" t="s">
        <v>2094</v>
      </c>
      <c r="Q718" s="2">
        <v>46289.6239236111</v>
      </c>
      <c r="S718" s="1" t="s">
        <v>39</v>
      </c>
      <c r="U718" s="1" t="s">
        <v>40</v>
      </c>
      <c r="V718" s="1" t="s">
        <v>77</v>
      </c>
      <c r="W718" s="1" t="s">
        <v>40</v>
      </c>
      <c r="X718" s="1" t="s">
        <v>40</v>
      </c>
      <c r="AA718" s="1" t="s">
        <v>2171</v>
      </c>
      <c r="AB718" s="2">
        <v>46289</v>
      </c>
      <c r="AC718" s="2">
        <v>46289.433773148201</v>
      </c>
      <c r="AE718" s="1" t="s">
        <v>40</v>
      </c>
      <c r="AF718" s="1" t="s">
        <v>326</v>
      </c>
    </row>
    <row r="719" spans="1:32" ht="12.75" hidden="1" customHeight="1" x14ac:dyDescent="0.2">
      <c r="A719" s="1" t="s">
        <v>86</v>
      </c>
      <c r="B719" s="1" t="s">
        <v>2172</v>
      </c>
      <c r="C719" s="1" t="s">
        <v>71</v>
      </c>
      <c r="D719" s="1" t="s">
        <v>457</v>
      </c>
      <c r="E719" s="1" t="s">
        <v>1028</v>
      </c>
      <c r="F719" s="1" t="s">
        <v>384</v>
      </c>
      <c r="G719" s="3">
        <v>10120</v>
      </c>
      <c r="H719" s="4">
        <v>124</v>
      </c>
      <c r="I719" s="5">
        <v>42807.6</v>
      </c>
      <c r="J719" s="5">
        <v>0</v>
      </c>
      <c r="K719" s="1" t="s">
        <v>36</v>
      </c>
      <c r="L719" s="1" t="s">
        <v>75</v>
      </c>
      <c r="M719" s="1" t="s">
        <v>37</v>
      </c>
      <c r="N719" s="3">
        <v>10120</v>
      </c>
      <c r="O719" s="6">
        <f>Table1[[#This Row],[Invoice Qty]]-Table1[[#This Row],[ExFactory Qty]]</f>
        <v>0</v>
      </c>
      <c r="P719" s="1" t="s">
        <v>2104</v>
      </c>
      <c r="Q719" s="2">
        <v>46289.604386574101</v>
      </c>
      <c r="S719" s="1" t="s">
        <v>39</v>
      </c>
      <c r="U719" s="1" t="s">
        <v>40</v>
      </c>
      <c r="V719" s="1" t="s">
        <v>77</v>
      </c>
      <c r="W719" s="1" t="s">
        <v>40</v>
      </c>
      <c r="X719" s="1" t="s">
        <v>40</v>
      </c>
      <c r="AA719" s="1" t="s">
        <v>2173</v>
      </c>
      <c r="AB719" s="2">
        <v>46289</v>
      </c>
      <c r="AC719" s="2">
        <v>46289.433773148201</v>
      </c>
      <c r="AE719" s="1" t="s">
        <v>40</v>
      </c>
      <c r="AF719" s="1" t="s">
        <v>326</v>
      </c>
    </row>
    <row r="720" spans="1:32" ht="12.75" hidden="1" customHeight="1" x14ac:dyDescent="0.2">
      <c r="A720" s="1" t="s">
        <v>86</v>
      </c>
      <c r="B720" s="1" t="s">
        <v>2174</v>
      </c>
      <c r="C720" s="1" t="s">
        <v>71</v>
      </c>
      <c r="D720" s="1" t="s">
        <v>323</v>
      </c>
      <c r="E720" s="1" t="s">
        <v>1106</v>
      </c>
      <c r="F720" s="1" t="s">
        <v>337</v>
      </c>
      <c r="G720" s="3">
        <v>786</v>
      </c>
      <c r="H720" s="4">
        <v>17</v>
      </c>
      <c r="I720" s="5">
        <v>3442.68</v>
      </c>
      <c r="J720" s="5">
        <v>0</v>
      </c>
      <c r="K720" s="1" t="s">
        <v>36</v>
      </c>
      <c r="L720" s="1" t="s">
        <v>75</v>
      </c>
      <c r="M720" s="1" t="s">
        <v>75</v>
      </c>
      <c r="N720" s="3">
        <v>786</v>
      </c>
      <c r="O720" s="6">
        <f>Table1[[#This Row],[Invoice Qty]]-Table1[[#This Row],[ExFactory Qty]]</f>
        <v>0</v>
      </c>
      <c r="P720" s="1" t="s">
        <v>2175</v>
      </c>
      <c r="Q720" s="2">
        <v>46289.644837963002</v>
      </c>
      <c r="S720" s="1" t="s">
        <v>39</v>
      </c>
      <c r="U720" s="1" t="s">
        <v>40</v>
      </c>
      <c r="V720" s="1" t="s">
        <v>77</v>
      </c>
      <c r="W720" s="1" t="s">
        <v>40</v>
      </c>
      <c r="X720" s="1" t="s">
        <v>40</v>
      </c>
      <c r="AA720" s="1" t="s">
        <v>2176</v>
      </c>
      <c r="AB720" s="2">
        <v>46289</v>
      </c>
      <c r="AC720" s="2">
        <v>46289.433854166702</v>
      </c>
      <c r="AE720" s="1" t="s">
        <v>40</v>
      </c>
      <c r="AF720" s="1" t="s">
        <v>326</v>
      </c>
    </row>
    <row r="721" spans="1:32" ht="12.75" hidden="1" customHeight="1" x14ac:dyDescent="0.2">
      <c r="A721" s="1" t="s">
        <v>86</v>
      </c>
      <c r="B721" s="1" t="s">
        <v>2177</v>
      </c>
      <c r="C721" s="1" t="s">
        <v>71</v>
      </c>
      <c r="D721" s="1" t="s">
        <v>72</v>
      </c>
      <c r="E721" s="1" t="s">
        <v>2178</v>
      </c>
      <c r="F721" s="1" t="s">
        <v>350</v>
      </c>
      <c r="G721" s="3">
        <v>362</v>
      </c>
      <c r="H721" s="4">
        <v>4</v>
      </c>
      <c r="I721" s="5">
        <v>1299.58</v>
      </c>
      <c r="J721" s="5">
        <v>0</v>
      </c>
      <c r="K721" s="1" t="s">
        <v>36</v>
      </c>
      <c r="L721" s="1" t="s">
        <v>75</v>
      </c>
      <c r="M721" s="1" t="s">
        <v>75</v>
      </c>
      <c r="N721" s="3">
        <v>362</v>
      </c>
      <c r="O721" s="6">
        <f>Table1[[#This Row],[Invoice Qty]]-Table1[[#This Row],[ExFactory Qty]]</f>
        <v>0</v>
      </c>
      <c r="P721" s="1" t="s">
        <v>2179</v>
      </c>
      <c r="Q721" s="2">
        <v>46289.696180555598</v>
      </c>
      <c r="S721" s="1" t="s">
        <v>39</v>
      </c>
      <c r="U721" s="1" t="s">
        <v>40</v>
      </c>
      <c r="V721" s="1" t="s">
        <v>77</v>
      </c>
      <c r="W721" s="1" t="s">
        <v>40</v>
      </c>
      <c r="X721" s="1" t="s">
        <v>40</v>
      </c>
      <c r="AA721" s="1" t="s">
        <v>2180</v>
      </c>
      <c r="AB721" s="2">
        <v>46289</v>
      </c>
      <c r="AC721" s="2">
        <v>46289.433854166702</v>
      </c>
      <c r="AE721" s="1" t="s">
        <v>40</v>
      </c>
      <c r="AF721" s="1" t="s">
        <v>79</v>
      </c>
    </row>
    <row r="722" spans="1:32" ht="12.75" hidden="1" customHeight="1" x14ac:dyDescent="0.2">
      <c r="A722" s="1" t="s">
        <v>86</v>
      </c>
      <c r="B722" s="1" t="s">
        <v>2181</v>
      </c>
      <c r="C722" s="1" t="s">
        <v>71</v>
      </c>
      <c r="D722" s="1" t="s">
        <v>72</v>
      </c>
      <c r="E722" s="1" t="s">
        <v>2182</v>
      </c>
      <c r="F722" s="1" t="s">
        <v>350</v>
      </c>
      <c r="G722" s="3">
        <v>362</v>
      </c>
      <c r="H722" s="4">
        <v>4</v>
      </c>
      <c r="I722" s="5">
        <v>1060.6600000000001</v>
      </c>
      <c r="J722" s="5">
        <v>0</v>
      </c>
      <c r="K722" s="1" t="s">
        <v>36</v>
      </c>
      <c r="L722" s="1" t="s">
        <v>75</v>
      </c>
      <c r="M722" s="1" t="s">
        <v>75</v>
      </c>
      <c r="N722" s="3">
        <v>362</v>
      </c>
      <c r="O722" s="6">
        <f>Table1[[#This Row],[Invoice Qty]]-Table1[[#This Row],[ExFactory Qty]]</f>
        <v>0</v>
      </c>
      <c r="P722" s="1" t="s">
        <v>2179</v>
      </c>
      <c r="Q722" s="2">
        <v>46289.696180555598</v>
      </c>
      <c r="S722" s="1" t="s">
        <v>39</v>
      </c>
      <c r="U722" s="1" t="s">
        <v>40</v>
      </c>
      <c r="V722" s="1" t="s">
        <v>77</v>
      </c>
      <c r="W722" s="1" t="s">
        <v>40</v>
      </c>
      <c r="X722" s="1" t="s">
        <v>40</v>
      </c>
      <c r="AA722" s="1" t="s">
        <v>2183</v>
      </c>
      <c r="AB722" s="2">
        <v>46289</v>
      </c>
      <c r="AC722" s="2">
        <v>46289.433854166702</v>
      </c>
      <c r="AE722" s="1" t="s">
        <v>40</v>
      </c>
      <c r="AF722" s="1" t="s">
        <v>79</v>
      </c>
    </row>
    <row r="723" spans="1:32" ht="12.75" hidden="1" customHeight="1" x14ac:dyDescent="0.2">
      <c r="A723" s="1" t="s">
        <v>86</v>
      </c>
      <c r="B723" s="1" t="s">
        <v>2184</v>
      </c>
      <c r="C723" s="1" t="s">
        <v>71</v>
      </c>
      <c r="D723" s="1" t="s">
        <v>72</v>
      </c>
      <c r="E723" s="1" t="s">
        <v>2185</v>
      </c>
      <c r="F723" s="1" t="s">
        <v>350</v>
      </c>
      <c r="G723" s="3">
        <v>244</v>
      </c>
      <c r="H723" s="4">
        <v>3</v>
      </c>
      <c r="I723" s="5">
        <v>680.76</v>
      </c>
      <c r="J723" s="5">
        <v>0</v>
      </c>
      <c r="K723" s="1" t="s">
        <v>36</v>
      </c>
      <c r="L723" s="1" t="s">
        <v>75</v>
      </c>
      <c r="M723" s="1" t="s">
        <v>75</v>
      </c>
      <c r="N723" s="3">
        <v>244</v>
      </c>
      <c r="O723" s="6">
        <f>Table1[[#This Row],[Invoice Qty]]-Table1[[#This Row],[ExFactory Qty]]</f>
        <v>0</v>
      </c>
      <c r="P723" s="1" t="s">
        <v>2179</v>
      </c>
      <c r="Q723" s="2">
        <v>46289.696180555598</v>
      </c>
      <c r="S723" s="1" t="s">
        <v>39</v>
      </c>
      <c r="U723" s="1" t="s">
        <v>40</v>
      </c>
      <c r="V723" s="1" t="s">
        <v>77</v>
      </c>
      <c r="W723" s="1" t="s">
        <v>40</v>
      </c>
      <c r="X723" s="1" t="s">
        <v>40</v>
      </c>
      <c r="AA723" s="1" t="s">
        <v>2186</v>
      </c>
      <c r="AB723" s="2">
        <v>46289</v>
      </c>
      <c r="AC723" s="2">
        <v>46289.433854166702</v>
      </c>
      <c r="AE723" s="1" t="s">
        <v>40</v>
      </c>
      <c r="AF723" s="1" t="s">
        <v>79</v>
      </c>
    </row>
    <row r="724" spans="1:32" ht="12.75" hidden="1" customHeight="1" x14ac:dyDescent="0.2">
      <c r="A724" s="1" t="s">
        <v>86</v>
      </c>
      <c r="B724" s="1" t="s">
        <v>2187</v>
      </c>
      <c r="C724" s="1" t="s">
        <v>71</v>
      </c>
      <c r="D724" s="1" t="s">
        <v>899</v>
      </c>
      <c r="E724" s="1" t="s">
        <v>900</v>
      </c>
      <c r="F724" s="1" t="s">
        <v>367</v>
      </c>
      <c r="G724" s="3">
        <v>10</v>
      </c>
      <c r="H724" s="4">
        <v>1</v>
      </c>
      <c r="I724" s="5">
        <v>22.5</v>
      </c>
      <c r="J724" s="5">
        <v>0</v>
      </c>
      <c r="K724" s="1" t="s">
        <v>36</v>
      </c>
      <c r="L724" s="1" t="s">
        <v>75</v>
      </c>
      <c r="M724" s="1" t="s">
        <v>75</v>
      </c>
      <c r="N724" s="3">
        <v>10</v>
      </c>
      <c r="O724" s="6">
        <f>Table1[[#This Row],[Invoice Qty]]-Table1[[#This Row],[ExFactory Qty]]</f>
        <v>0</v>
      </c>
      <c r="P724" s="1" t="s">
        <v>2188</v>
      </c>
      <c r="Q724" s="2">
        <v>46289.698969907397</v>
      </c>
      <c r="S724" s="1" t="s">
        <v>39</v>
      </c>
      <c r="U724" s="1" t="s">
        <v>40</v>
      </c>
      <c r="V724" s="1" t="s">
        <v>77</v>
      </c>
      <c r="W724" s="1" t="s">
        <v>40</v>
      </c>
      <c r="X724" s="1" t="s">
        <v>40</v>
      </c>
      <c r="AA724" s="1" t="s">
        <v>2189</v>
      </c>
      <c r="AB724" s="2">
        <v>46289</v>
      </c>
      <c r="AC724" s="2">
        <v>46289.433854166702</v>
      </c>
      <c r="AE724" s="1" t="s">
        <v>40</v>
      </c>
      <c r="AF724" s="1" t="s">
        <v>326</v>
      </c>
    </row>
    <row r="725" spans="1:32" ht="12.75" hidden="1" customHeight="1" x14ac:dyDescent="0.2">
      <c r="A725" s="1" t="s">
        <v>86</v>
      </c>
      <c r="B725" s="1" t="s">
        <v>2190</v>
      </c>
      <c r="C725" s="1" t="s">
        <v>71</v>
      </c>
      <c r="D725" s="1" t="s">
        <v>899</v>
      </c>
      <c r="E725" s="1" t="s">
        <v>900</v>
      </c>
      <c r="F725" s="1" t="s">
        <v>445</v>
      </c>
      <c r="G725" s="3">
        <v>100</v>
      </c>
      <c r="H725" s="4">
        <v>1</v>
      </c>
      <c r="I725" s="5">
        <v>228</v>
      </c>
      <c r="J725" s="5">
        <v>0</v>
      </c>
      <c r="K725" s="1" t="s">
        <v>36</v>
      </c>
      <c r="L725" s="1" t="s">
        <v>75</v>
      </c>
      <c r="M725" s="1" t="s">
        <v>75</v>
      </c>
      <c r="N725" s="3">
        <v>100</v>
      </c>
      <c r="O725" s="6">
        <f>Table1[[#This Row],[Invoice Qty]]-Table1[[#This Row],[ExFactory Qty]]</f>
        <v>0</v>
      </c>
      <c r="P725" s="1" t="s">
        <v>2179</v>
      </c>
      <c r="Q725" s="2">
        <v>46289.696180555598</v>
      </c>
      <c r="S725" s="1" t="s">
        <v>39</v>
      </c>
      <c r="U725" s="1" t="s">
        <v>40</v>
      </c>
      <c r="V725" s="1" t="s">
        <v>77</v>
      </c>
      <c r="W725" s="1" t="s">
        <v>40</v>
      </c>
      <c r="X725" s="1" t="s">
        <v>40</v>
      </c>
      <c r="AA725" s="1" t="s">
        <v>2191</v>
      </c>
      <c r="AB725" s="2">
        <v>46289</v>
      </c>
      <c r="AC725" s="2">
        <v>46289.433854166702</v>
      </c>
      <c r="AE725" s="1" t="s">
        <v>40</v>
      </c>
      <c r="AF725" s="1" t="s">
        <v>326</v>
      </c>
    </row>
    <row r="726" spans="1:32" ht="12.75" hidden="1" customHeight="1" x14ac:dyDescent="0.2">
      <c r="A726" s="1" t="s">
        <v>86</v>
      </c>
      <c r="B726" s="1" t="s">
        <v>2192</v>
      </c>
      <c r="C726" s="1" t="s">
        <v>71</v>
      </c>
      <c r="D726" s="1" t="s">
        <v>72</v>
      </c>
      <c r="E726" s="1" t="s">
        <v>909</v>
      </c>
      <c r="F726" s="1" t="s">
        <v>367</v>
      </c>
      <c r="G726" s="3">
        <v>54</v>
      </c>
      <c r="H726" s="4">
        <v>1</v>
      </c>
      <c r="I726" s="5">
        <v>171.72</v>
      </c>
      <c r="J726" s="5">
        <v>0</v>
      </c>
      <c r="K726" s="1" t="s">
        <v>36</v>
      </c>
      <c r="L726" s="1" t="s">
        <v>75</v>
      </c>
      <c r="M726" s="1" t="s">
        <v>75</v>
      </c>
      <c r="N726" s="3">
        <v>54</v>
      </c>
      <c r="O726" s="6">
        <f>Table1[[#This Row],[Invoice Qty]]-Table1[[#This Row],[ExFactory Qty]]</f>
        <v>0</v>
      </c>
      <c r="P726" s="1" t="s">
        <v>2188</v>
      </c>
      <c r="Q726" s="2">
        <v>46289.698969907397</v>
      </c>
      <c r="S726" s="1" t="s">
        <v>39</v>
      </c>
      <c r="U726" s="1" t="s">
        <v>40</v>
      </c>
      <c r="V726" s="1" t="s">
        <v>77</v>
      </c>
      <c r="W726" s="1" t="s">
        <v>40</v>
      </c>
      <c r="X726" s="1" t="s">
        <v>40</v>
      </c>
      <c r="AA726" s="1" t="s">
        <v>2193</v>
      </c>
      <c r="AB726" s="2">
        <v>46289</v>
      </c>
      <c r="AC726" s="2">
        <v>46289.433854166702</v>
      </c>
      <c r="AE726" s="1" t="s">
        <v>40</v>
      </c>
      <c r="AF726" s="1" t="s">
        <v>79</v>
      </c>
    </row>
    <row r="727" spans="1:32" ht="12.75" hidden="1" customHeight="1" x14ac:dyDescent="0.2">
      <c r="A727" s="1" t="s">
        <v>86</v>
      </c>
      <c r="B727" s="1" t="s">
        <v>2194</v>
      </c>
      <c r="C727" s="1" t="s">
        <v>71</v>
      </c>
      <c r="D727" s="1" t="s">
        <v>72</v>
      </c>
      <c r="E727" s="1" t="s">
        <v>909</v>
      </c>
      <c r="F727" s="1" t="s">
        <v>445</v>
      </c>
      <c r="G727" s="3">
        <v>99</v>
      </c>
      <c r="H727" s="4">
        <v>2</v>
      </c>
      <c r="I727" s="5">
        <v>317.79000000000002</v>
      </c>
      <c r="J727" s="5">
        <v>0</v>
      </c>
      <c r="K727" s="1" t="s">
        <v>36</v>
      </c>
      <c r="L727" s="1" t="s">
        <v>75</v>
      </c>
      <c r="M727" s="1" t="s">
        <v>75</v>
      </c>
      <c r="N727" s="3">
        <v>99</v>
      </c>
      <c r="O727" s="6">
        <f>Table1[[#This Row],[Invoice Qty]]-Table1[[#This Row],[ExFactory Qty]]</f>
        <v>0</v>
      </c>
      <c r="P727" s="1" t="s">
        <v>2179</v>
      </c>
      <c r="Q727" s="2">
        <v>46289.696180555598</v>
      </c>
      <c r="S727" s="1" t="s">
        <v>39</v>
      </c>
      <c r="U727" s="1" t="s">
        <v>40</v>
      </c>
      <c r="V727" s="1" t="s">
        <v>77</v>
      </c>
      <c r="W727" s="1" t="s">
        <v>40</v>
      </c>
      <c r="X727" s="1" t="s">
        <v>40</v>
      </c>
      <c r="AA727" s="1" t="s">
        <v>2195</v>
      </c>
      <c r="AB727" s="2">
        <v>46289</v>
      </c>
      <c r="AC727" s="2">
        <v>46289.433854166702</v>
      </c>
      <c r="AE727" s="1" t="s">
        <v>40</v>
      </c>
      <c r="AF727" s="1" t="s">
        <v>79</v>
      </c>
    </row>
    <row r="728" spans="1:32" ht="12.75" hidden="1" customHeight="1" x14ac:dyDescent="0.2">
      <c r="A728" s="1" t="s">
        <v>86</v>
      </c>
      <c r="B728" s="1" t="s">
        <v>2196</v>
      </c>
      <c r="C728" s="1" t="s">
        <v>71</v>
      </c>
      <c r="D728" s="1" t="s">
        <v>72</v>
      </c>
      <c r="E728" s="1" t="s">
        <v>360</v>
      </c>
      <c r="F728" s="1" t="s">
        <v>445</v>
      </c>
      <c r="G728" s="3">
        <v>249</v>
      </c>
      <c r="H728" s="4">
        <v>4</v>
      </c>
      <c r="I728" s="5">
        <v>901.38</v>
      </c>
      <c r="J728" s="5">
        <v>0</v>
      </c>
      <c r="K728" s="1" t="s">
        <v>36</v>
      </c>
      <c r="L728" s="1" t="s">
        <v>75</v>
      </c>
      <c r="M728" s="1" t="s">
        <v>75</v>
      </c>
      <c r="N728" s="3">
        <v>249</v>
      </c>
      <c r="O728" s="6">
        <f>Table1[[#This Row],[Invoice Qty]]-Table1[[#This Row],[ExFactory Qty]]</f>
        <v>0</v>
      </c>
      <c r="P728" s="1" t="s">
        <v>2179</v>
      </c>
      <c r="Q728" s="2">
        <v>46289.696180555598</v>
      </c>
      <c r="S728" s="1" t="s">
        <v>39</v>
      </c>
      <c r="U728" s="1" t="s">
        <v>40</v>
      </c>
      <c r="V728" s="1" t="s">
        <v>77</v>
      </c>
      <c r="W728" s="1" t="s">
        <v>40</v>
      </c>
      <c r="X728" s="1" t="s">
        <v>40</v>
      </c>
      <c r="AA728" s="1" t="s">
        <v>2197</v>
      </c>
      <c r="AB728" s="2">
        <v>46289</v>
      </c>
      <c r="AC728" s="2">
        <v>46289.433854166702</v>
      </c>
      <c r="AE728" s="1" t="s">
        <v>40</v>
      </c>
      <c r="AF728" s="1" t="s">
        <v>79</v>
      </c>
    </row>
    <row r="729" spans="1:32" ht="12.75" hidden="1" customHeight="1" x14ac:dyDescent="0.2">
      <c r="A729" s="1" t="s">
        <v>86</v>
      </c>
      <c r="B729" s="1" t="s">
        <v>2198</v>
      </c>
      <c r="C729" s="1" t="s">
        <v>71</v>
      </c>
      <c r="D729" s="1" t="s">
        <v>365</v>
      </c>
      <c r="E729" s="1" t="s">
        <v>647</v>
      </c>
      <c r="F729" s="1" t="s">
        <v>74</v>
      </c>
      <c r="G729" s="3">
        <v>91</v>
      </c>
      <c r="H729" s="4">
        <v>2</v>
      </c>
      <c r="I729" s="5">
        <v>524.16</v>
      </c>
      <c r="J729" s="5">
        <v>0</v>
      </c>
      <c r="K729" s="1" t="s">
        <v>36</v>
      </c>
      <c r="L729" s="1" t="s">
        <v>75</v>
      </c>
      <c r="M729" s="1" t="s">
        <v>75</v>
      </c>
      <c r="N729" s="3">
        <v>91</v>
      </c>
      <c r="O729" s="6">
        <f>Table1[[#This Row],[Invoice Qty]]-Table1[[#This Row],[ExFactory Qty]]</f>
        <v>0</v>
      </c>
      <c r="P729" s="1" t="s">
        <v>2175</v>
      </c>
      <c r="Q729" s="2">
        <v>46289.644837963002</v>
      </c>
      <c r="S729" s="1" t="s">
        <v>39</v>
      </c>
      <c r="U729" s="1" t="s">
        <v>40</v>
      </c>
      <c r="V729" s="1" t="s">
        <v>77</v>
      </c>
      <c r="W729" s="1" t="s">
        <v>40</v>
      </c>
      <c r="X729" s="1" t="s">
        <v>40</v>
      </c>
      <c r="AA729" s="1" t="s">
        <v>2199</v>
      </c>
      <c r="AB729" s="2">
        <v>46289</v>
      </c>
      <c r="AC729" s="2">
        <v>46289</v>
      </c>
      <c r="AE729" s="1" t="s">
        <v>40</v>
      </c>
      <c r="AF729" s="1" t="s">
        <v>40</v>
      </c>
    </row>
    <row r="730" spans="1:32" ht="12.75" hidden="1" customHeight="1" x14ac:dyDescent="0.2">
      <c r="A730" s="1" t="s">
        <v>86</v>
      </c>
      <c r="B730" s="1" t="s">
        <v>2200</v>
      </c>
      <c r="C730" s="1" t="s">
        <v>71</v>
      </c>
      <c r="D730" s="1" t="s">
        <v>365</v>
      </c>
      <c r="E730" s="1" t="s">
        <v>647</v>
      </c>
      <c r="F730" s="1" t="s">
        <v>74</v>
      </c>
      <c r="G730" s="3">
        <v>96</v>
      </c>
      <c r="H730" s="4">
        <v>2</v>
      </c>
      <c r="I730" s="5">
        <v>552.96</v>
      </c>
      <c r="J730" s="5">
        <v>0</v>
      </c>
      <c r="K730" s="1" t="s">
        <v>36</v>
      </c>
      <c r="L730" s="1" t="s">
        <v>75</v>
      </c>
      <c r="M730" s="1" t="s">
        <v>75</v>
      </c>
      <c r="N730" s="3">
        <v>96</v>
      </c>
      <c r="O730" s="6">
        <f>Table1[[#This Row],[Invoice Qty]]-Table1[[#This Row],[ExFactory Qty]]</f>
        <v>0</v>
      </c>
      <c r="P730" s="1" t="s">
        <v>2175</v>
      </c>
      <c r="Q730" s="2">
        <v>46289.644837963002</v>
      </c>
      <c r="S730" s="1" t="s">
        <v>39</v>
      </c>
      <c r="U730" s="1" t="s">
        <v>40</v>
      </c>
      <c r="V730" s="1" t="s">
        <v>77</v>
      </c>
      <c r="W730" s="1" t="s">
        <v>40</v>
      </c>
      <c r="X730" s="1" t="s">
        <v>40</v>
      </c>
      <c r="AA730" s="1" t="s">
        <v>2201</v>
      </c>
      <c r="AB730" s="2">
        <v>46289</v>
      </c>
      <c r="AC730" s="2">
        <v>46289</v>
      </c>
      <c r="AE730" s="1" t="s">
        <v>40</v>
      </c>
      <c r="AF730" s="1" t="s">
        <v>40</v>
      </c>
    </row>
    <row r="731" spans="1:32" ht="12.75" hidden="1" customHeight="1" x14ac:dyDescent="0.2">
      <c r="A731" s="1" t="s">
        <v>86</v>
      </c>
      <c r="B731" s="1" t="s">
        <v>2202</v>
      </c>
      <c r="C731" s="1" t="s">
        <v>71</v>
      </c>
      <c r="D731" s="1" t="s">
        <v>365</v>
      </c>
      <c r="E731" s="1" t="s">
        <v>647</v>
      </c>
      <c r="F731" s="1" t="s">
        <v>367</v>
      </c>
      <c r="G731" s="3">
        <v>21</v>
      </c>
      <c r="H731" s="4">
        <v>1</v>
      </c>
      <c r="I731" s="5">
        <v>120.96</v>
      </c>
      <c r="J731" s="5">
        <v>0</v>
      </c>
      <c r="K731" s="1" t="s">
        <v>36</v>
      </c>
      <c r="L731" s="1" t="s">
        <v>75</v>
      </c>
      <c r="M731" s="1" t="s">
        <v>75</v>
      </c>
      <c r="N731" s="3">
        <v>21</v>
      </c>
      <c r="O731" s="6">
        <f>Table1[[#This Row],[Invoice Qty]]-Table1[[#This Row],[ExFactory Qty]]</f>
        <v>0</v>
      </c>
      <c r="P731" s="1" t="s">
        <v>2188</v>
      </c>
      <c r="Q731" s="2">
        <v>46289.698969907397</v>
      </c>
      <c r="S731" s="1" t="s">
        <v>39</v>
      </c>
      <c r="U731" s="1" t="s">
        <v>40</v>
      </c>
      <c r="V731" s="1" t="s">
        <v>77</v>
      </c>
      <c r="W731" s="1" t="s">
        <v>40</v>
      </c>
      <c r="X731" s="1" t="s">
        <v>40</v>
      </c>
      <c r="AA731" s="1" t="s">
        <v>2203</v>
      </c>
      <c r="AB731" s="2">
        <v>46289</v>
      </c>
      <c r="AC731" s="2">
        <v>46289.433854166702</v>
      </c>
      <c r="AE731" s="1" t="s">
        <v>40</v>
      </c>
      <c r="AF731" s="1" t="s">
        <v>40</v>
      </c>
    </row>
    <row r="732" spans="1:32" ht="12.75" hidden="1" customHeight="1" x14ac:dyDescent="0.2">
      <c r="A732" s="1" t="s">
        <v>86</v>
      </c>
      <c r="B732" s="1" t="s">
        <v>2204</v>
      </c>
      <c r="C732" s="1" t="s">
        <v>71</v>
      </c>
      <c r="D732" s="1" t="s">
        <v>365</v>
      </c>
      <c r="E732" s="1" t="s">
        <v>647</v>
      </c>
      <c r="F732" s="1" t="s">
        <v>986</v>
      </c>
      <c r="G732" s="3">
        <v>17</v>
      </c>
      <c r="H732" s="4">
        <v>1</v>
      </c>
      <c r="I732" s="5">
        <v>97.92</v>
      </c>
      <c r="J732" s="5">
        <v>0</v>
      </c>
      <c r="K732" s="1" t="s">
        <v>36</v>
      </c>
      <c r="L732" s="1" t="s">
        <v>75</v>
      </c>
      <c r="M732" s="1" t="s">
        <v>75</v>
      </c>
      <c r="N732" s="3">
        <v>17</v>
      </c>
      <c r="O732" s="6">
        <f>Table1[[#This Row],[Invoice Qty]]-Table1[[#This Row],[ExFactory Qty]]</f>
        <v>0</v>
      </c>
      <c r="P732" s="1" t="s">
        <v>2175</v>
      </c>
      <c r="Q732" s="2">
        <v>46289.644837963002</v>
      </c>
      <c r="S732" s="1" t="s">
        <v>39</v>
      </c>
      <c r="U732" s="1" t="s">
        <v>40</v>
      </c>
      <c r="V732" s="1" t="s">
        <v>77</v>
      </c>
      <c r="W732" s="1" t="s">
        <v>40</v>
      </c>
      <c r="X732" s="1" t="s">
        <v>40</v>
      </c>
      <c r="AA732" s="1" t="s">
        <v>2205</v>
      </c>
      <c r="AB732" s="2">
        <v>46289</v>
      </c>
      <c r="AC732" s="2">
        <v>46289.433854166702</v>
      </c>
      <c r="AE732" s="1" t="s">
        <v>40</v>
      </c>
      <c r="AF732" s="1" t="s">
        <v>40</v>
      </c>
    </row>
    <row r="733" spans="1:32" ht="12.75" hidden="1" customHeight="1" x14ac:dyDescent="0.2">
      <c r="A733" s="1" t="s">
        <v>86</v>
      </c>
      <c r="B733" s="1" t="s">
        <v>2206</v>
      </c>
      <c r="C733" s="1" t="s">
        <v>71</v>
      </c>
      <c r="D733" s="1" t="s">
        <v>72</v>
      </c>
      <c r="E733" s="1" t="s">
        <v>657</v>
      </c>
      <c r="F733" s="1" t="s">
        <v>445</v>
      </c>
      <c r="G733" s="3">
        <v>248</v>
      </c>
      <c r="H733" s="4">
        <v>3</v>
      </c>
      <c r="I733" s="5">
        <v>691.92</v>
      </c>
      <c r="J733" s="5">
        <v>0</v>
      </c>
      <c r="K733" s="1" t="s">
        <v>36</v>
      </c>
      <c r="L733" s="1" t="s">
        <v>75</v>
      </c>
      <c r="M733" s="1" t="s">
        <v>75</v>
      </c>
      <c r="N733" s="3">
        <v>248</v>
      </c>
      <c r="O733" s="6">
        <f>Table1[[#This Row],[Invoice Qty]]-Table1[[#This Row],[ExFactory Qty]]</f>
        <v>0</v>
      </c>
      <c r="P733" s="1" t="s">
        <v>2179</v>
      </c>
      <c r="Q733" s="2">
        <v>46289.696180555598</v>
      </c>
      <c r="S733" s="1" t="s">
        <v>39</v>
      </c>
      <c r="U733" s="1" t="s">
        <v>40</v>
      </c>
      <c r="V733" s="1" t="s">
        <v>77</v>
      </c>
      <c r="W733" s="1" t="s">
        <v>40</v>
      </c>
      <c r="X733" s="1" t="s">
        <v>40</v>
      </c>
      <c r="AA733" s="1" t="s">
        <v>2207</v>
      </c>
      <c r="AB733" s="2">
        <v>46289</v>
      </c>
      <c r="AC733" s="2">
        <v>46289.433854166702</v>
      </c>
      <c r="AE733" s="1" t="s">
        <v>40</v>
      </c>
      <c r="AF733" s="1" t="s">
        <v>79</v>
      </c>
    </row>
    <row r="734" spans="1:32" ht="12.75" hidden="1" customHeight="1" x14ac:dyDescent="0.2">
      <c r="A734" s="1" t="s">
        <v>86</v>
      </c>
      <c r="B734" s="1" t="s">
        <v>2208</v>
      </c>
      <c r="C734" s="1" t="s">
        <v>71</v>
      </c>
      <c r="D734" s="1" t="s">
        <v>72</v>
      </c>
      <c r="E734" s="1" t="s">
        <v>657</v>
      </c>
      <c r="F734" s="1" t="s">
        <v>398</v>
      </c>
      <c r="G734" s="3">
        <v>846</v>
      </c>
      <c r="H734" s="4">
        <v>10</v>
      </c>
      <c r="I734" s="5">
        <v>2360.34</v>
      </c>
      <c r="J734" s="5">
        <v>0</v>
      </c>
      <c r="K734" s="1" t="s">
        <v>36</v>
      </c>
      <c r="L734" s="1" t="s">
        <v>75</v>
      </c>
      <c r="M734" s="1" t="s">
        <v>75</v>
      </c>
      <c r="N734" s="3">
        <v>846</v>
      </c>
      <c r="O734" s="6">
        <f>Table1[[#This Row],[Invoice Qty]]-Table1[[#This Row],[ExFactory Qty]]</f>
        <v>0</v>
      </c>
      <c r="P734" s="1" t="s">
        <v>2179</v>
      </c>
      <c r="Q734" s="2">
        <v>46289.696180555598</v>
      </c>
      <c r="S734" s="1" t="s">
        <v>39</v>
      </c>
      <c r="U734" s="1" t="s">
        <v>40</v>
      </c>
      <c r="V734" s="1" t="s">
        <v>77</v>
      </c>
      <c r="W734" s="1" t="s">
        <v>40</v>
      </c>
      <c r="X734" s="1" t="s">
        <v>40</v>
      </c>
      <c r="AA734" s="1" t="s">
        <v>2209</v>
      </c>
      <c r="AB734" s="2">
        <v>46289</v>
      </c>
      <c r="AC734" s="2">
        <v>46289</v>
      </c>
      <c r="AE734" s="1" t="s">
        <v>40</v>
      </c>
      <c r="AF734" s="1" t="s">
        <v>79</v>
      </c>
    </row>
    <row r="735" spans="1:32" ht="12.75" hidden="1" customHeight="1" x14ac:dyDescent="0.2">
      <c r="A735" s="1" t="s">
        <v>86</v>
      </c>
      <c r="B735" s="1" t="s">
        <v>2210</v>
      </c>
      <c r="C735" s="1" t="s">
        <v>71</v>
      </c>
      <c r="D735" s="1" t="s">
        <v>72</v>
      </c>
      <c r="E735" s="1" t="s">
        <v>657</v>
      </c>
      <c r="F735" s="1" t="s">
        <v>403</v>
      </c>
      <c r="G735" s="3">
        <v>125</v>
      </c>
      <c r="H735" s="4">
        <v>2</v>
      </c>
      <c r="I735" s="5">
        <v>348.75</v>
      </c>
      <c r="J735" s="5">
        <v>0</v>
      </c>
      <c r="K735" s="1" t="s">
        <v>36</v>
      </c>
      <c r="L735" s="1" t="s">
        <v>75</v>
      </c>
      <c r="M735" s="1" t="s">
        <v>75</v>
      </c>
      <c r="N735" s="3">
        <v>125</v>
      </c>
      <c r="O735" s="6">
        <f>Table1[[#This Row],[Invoice Qty]]-Table1[[#This Row],[ExFactory Qty]]</f>
        <v>0</v>
      </c>
      <c r="P735" s="1" t="s">
        <v>2175</v>
      </c>
      <c r="Q735" s="2">
        <v>46289.644837963002</v>
      </c>
      <c r="S735" s="1" t="s">
        <v>39</v>
      </c>
      <c r="U735" s="1" t="s">
        <v>40</v>
      </c>
      <c r="V735" s="1" t="s">
        <v>77</v>
      </c>
      <c r="W735" s="1" t="s">
        <v>40</v>
      </c>
      <c r="X735" s="1" t="s">
        <v>40</v>
      </c>
      <c r="AA735" s="1" t="s">
        <v>2211</v>
      </c>
      <c r="AB735" s="2">
        <v>46289</v>
      </c>
      <c r="AC735" s="2">
        <v>46289.433854166702</v>
      </c>
      <c r="AE735" s="1" t="s">
        <v>40</v>
      </c>
      <c r="AF735" s="1" t="s">
        <v>79</v>
      </c>
    </row>
    <row r="736" spans="1:32" ht="12.75" hidden="1" customHeight="1" x14ac:dyDescent="0.2">
      <c r="A736" s="1" t="s">
        <v>86</v>
      </c>
      <c r="B736" s="1" t="s">
        <v>2212</v>
      </c>
      <c r="C736" s="1" t="s">
        <v>71</v>
      </c>
      <c r="D736" s="1" t="s">
        <v>72</v>
      </c>
      <c r="E736" s="1" t="s">
        <v>2213</v>
      </c>
      <c r="F736" s="1" t="s">
        <v>108</v>
      </c>
      <c r="G736" s="3">
        <v>26</v>
      </c>
      <c r="H736" s="4">
        <v>1</v>
      </c>
      <c r="I736" s="5">
        <v>81.12</v>
      </c>
      <c r="J736" s="5">
        <v>0</v>
      </c>
      <c r="K736" s="1" t="s">
        <v>36</v>
      </c>
      <c r="L736" s="1" t="s">
        <v>75</v>
      </c>
      <c r="M736" s="1" t="s">
        <v>75</v>
      </c>
      <c r="N736" s="3">
        <v>26</v>
      </c>
      <c r="O736" s="6">
        <f>Table1[[#This Row],[Invoice Qty]]-Table1[[#This Row],[ExFactory Qty]]</f>
        <v>0</v>
      </c>
      <c r="P736" s="1" t="s">
        <v>2188</v>
      </c>
      <c r="Q736" s="2">
        <v>46289.698969907397</v>
      </c>
      <c r="S736" s="1" t="s">
        <v>39</v>
      </c>
      <c r="U736" s="1" t="s">
        <v>40</v>
      </c>
      <c r="V736" s="1" t="s">
        <v>77</v>
      </c>
      <c r="W736" s="1" t="s">
        <v>40</v>
      </c>
      <c r="X736" s="1" t="s">
        <v>40</v>
      </c>
      <c r="AA736" s="1" t="s">
        <v>2214</v>
      </c>
      <c r="AB736" s="2">
        <v>46289</v>
      </c>
      <c r="AC736" s="2">
        <v>46289.433854166702</v>
      </c>
      <c r="AE736" s="1" t="s">
        <v>40</v>
      </c>
      <c r="AF736" s="1" t="s">
        <v>79</v>
      </c>
    </row>
    <row r="737" spans="1:32" ht="12.75" hidden="1" customHeight="1" x14ac:dyDescent="0.2">
      <c r="A737" s="1" t="s">
        <v>86</v>
      </c>
      <c r="B737" s="1" t="s">
        <v>2215</v>
      </c>
      <c r="C737" s="1" t="s">
        <v>71</v>
      </c>
      <c r="D737" s="1" t="s">
        <v>72</v>
      </c>
      <c r="E737" s="1" t="s">
        <v>2213</v>
      </c>
      <c r="F737" s="1" t="s">
        <v>367</v>
      </c>
      <c r="G737" s="3">
        <v>172</v>
      </c>
      <c r="H737" s="4">
        <v>2</v>
      </c>
      <c r="I737" s="5">
        <v>531.48</v>
      </c>
      <c r="J737" s="5">
        <v>0</v>
      </c>
      <c r="K737" s="1" t="s">
        <v>36</v>
      </c>
      <c r="L737" s="1" t="s">
        <v>75</v>
      </c>
      <c r="M737" s="1" t="s">
        <v>75</v>
      </c>
      <c r="N737" s="3">
        <v>172</v>
      </c>
      <c r="O737" s="6">
        <f>Table1[[#This Row],[Invoice Qty]]-Table1[[#This Row],[ExFactory Qty]]</f>
        <v>0</v>
      </c>
      <c r="P737" s="1" t="s">
        <v>2188</v>
      </c>
      <c r="Q737" s="2">
        <v>46289.698969907397</v>
      </c>
      <c r="S737" s="1" t="s">
        <v>39</v>
      </c>
      <c r="U737" s="1" t="s">
        <v>40</v>
      </c>
      <c r="V737" s="1" t="s">
        <v>77</v>
      </c>
      <c r="W737" s="1" t="s">
        <v>40</v>
      </c>
      <c r="X737" s="1" t="s">
        <v>40</v>
      </c>
      <c r="AA737" s="1" t="s">
        <v>2216</v>
      </c>
      <c r="AB737" s="2">
        <v>46289</v>
      </c>
      <c r="AC737" s="2">
        <v>46289.433854166702</v>
      </c>
      <c r="AE737" s="1" t="s">
        <v>40</v>
      </c>
      <c r="AF737" s="1" t="s">
        <v>79</v>
      </c>
    </row>
    <row r="738" spans="1:32" ht="12.75" hidden="1" customHeight="1" x14ac:dyDescent="0.2">
      <c r="A738" s="1" t="s">
        <v>86</v>
      </c>
      <c r="B738" s="1" t="s">
        <v>2217</v>
      </c>
      <c r="C738" s="1" t="s">
        <v>71</v>
      </c>
      <c r="D738" s="1" t="s">
        <v>72</v>
      </c>
      <c r="E738" s="1" t="s">
        <v>2213</v>
      </c>
      <c r="F738" s="1" t="s">
        <v>445</v>
      </c>
      <c r="G738" s="3">
        <v>301</v>
      </c>
      <c r="H738" s="4">
        <v>4</v>
      </c>
      <c r="I738" s="5">
        <v>939.12</v>
      </c>
      <c r="J738" s="5">
        <v>0</v>
      </c>
      <c r="K738" s="1" t="s">
        <v>36</v>
      </c>
      <c r="L738" s="1" t="s">
        <v>75</v>
      </c>
      <c r="M738" s="1" t="s">
        <v>75</v>
      </c>
      <c r="N738" s="3">
        <v>301</v>
      </c>
      <c r="O738" s="6">
        <f>Table1[[#This Row],[Invoice Qty]]-Table1[[#This Row],[ExFactory Qty]]</f>
        <v>0</v>
      </c>
      <c r="P738" s="1" t="s">
        <v>2179</v>
      </c>
      <c r="Q738" s="2">
        <v>46289.696180555598</v>
      </c>
      <c r="S738" s="1" t="s">
        <v>39</v>
      </c>
      <c r="U738" s="1" t="s">
        <v>40</v>
      </c>
      <c r="V738" s="1" t="s">
        <v>77</v>
      </c>
      <c r="W738" s="1" t="s">
        <v>40</v>
      </c>
      <c r="X738" s="1" t="s">
        <v>40</v>
      </c>
      <c r="AA738" s="1" t="s">
        <v>2218</v>
      </c>
      <c r="AB738" s="2">
        <v>46289</v>
      </c>
      <c r="AC738" s="2">
        <v>46289</v>
      </c>
      <c r="AE738" s="1" t="s">
        <v>40</v>
      </c>
      <c r="AF738" s="1" t="s">
        <v>79</v>
      </c>
    </row>
    <row r="739" spans="1:32" ht="12.75" hidden="1" customHeight="1" x14ac:dyDescent="0.2">
      <c r="A739" s="1" t="s">
        <v>86</v>
      </c>
      <c r="B739" s="1" t="s">
        <v>2219</v>
      </c>
      <c r="C739" s="1" t="s">
        <v>71</v>
      </c>
      <c r="D739" s="1" t="s">
        <v>72</v>
      </c>
      <c r="E739" s="1" t="s">
        <v>2213</v>
      </c>
      <c r="F739" s="1" t="s">
        <v>398</v>
      </c>
      <c r="G739" s="3">
        <v>1021</v>
      </c>
      <c r="H739" s="4">
        <v>14</v>
      </c>
      <c r="I739" s="5">
        <v>3185.52</v>
      </c>
      <c r="J739" s="5">
        <v>0</v>
      </c>
      <c r="K739" s="1" t="s">
        <v>36</v>
      </c>
      <c r="L739" s="1" t="s">
        <v>75</v>
      </c>
      <c r="M739" s="1" t="s">
        <v>75</v>
      </c>
      <c r="N739" s="3">
        <v>1021</v>
      </c>
      <c r="O739" s="6">
        <f>Table1[[#This Row],[Invoice Qty]]-Table1[[#This Row],[ExFactory Qty]]</f>
        <v>0</v>
      </c>
      <c r="P739" s="1" t="s">
        <v>2179</v>
      </c>
      <c r="Q739" s="2">
        <v>46289.696180555598</v>
      </c>
      <c r="S739" s="1" t="s">
        <v>39</v>
      </c>
      <c r="U739" s="1" t="s">
        <v>40</v>
      </c>
      <c r="V739" s="1" t="s">
        <v>77</v>
      </c>
      <c r="W739" s="1" t="s">
        <v>40</v>
      </c>
      <c r="X739" s="1" t="s">
        <v>40</v>
      </c>
      <c r="AA739" s="1" t="s">
        <v>2220</v>
      </c>
      <c r="AB739" s="2">
        <v>46289</v>
      </c>
      <c r="AC739" s="2">
        <v>46289</v>
      </c>
      <c r="AE739" s="1" t="s">
        <v>40</v>
      </c>
      <c r="AF739" s="1" t="s">
        <v>79</v>
      </c>
    </row>
    <row r="740" spans="1:32" ht="12.75" hidden="1" customHeight="1" x14ac:dyDescent="0.2">
      <c r="A740" s="1" t="s">
        <v>86</v>
      </c>
      <c r="B740" s="1" t="s">
        <v>2221</v>
      </c>
      <c r="C740" s="1" t="s">
        <v>71</v>
      </c>
      <c r="D740" s="1" t="s">
        <v>72</v>
      </c>
      <c r="E740" s="1" t="s">
        <v>2213</v>
      </c>
      <c r="F740" s="1" t="s">
        <v>361</v>
      </c>
      <c r="G740" s="3">
        <v>188</v>
      </c>
      <c r="H740" s="4">
        <v>2</v>
      </c>
      <c r="I740" s="5">
        <v>580.91999999999996</v>
      </c>
      <c r="J740" s="5">
        <v>0</v>
      </c>
      <c r="K740" s="1" t="s">
        <v>36</v>
      </c>
      <c r="L740" s="1" t="s">
        <v>75</v>
      </c>
      <c r="M740" s="1" t="s">
        <v>75</v>
      </c>
      <c r="N740" s="3">
        <v>188</v>
      </c>
      <c r="O740" s="6">
        <f>Table1[[#This Row],[Invoice Qty]]-Table1[[#This Row],[ExFactory Qty]]</f>
        <v>0</v>
      </c>
      <c r="P740" s="1" t="s">
        <v>2175</v>
      </c>
      <c r="Q740" s="2">
        <v>46289.644837963002</v>
      </c>
      <c r="S740" s="1" t="s">
        <v>39</v>
      </c>
      <c r="U740" s="1" t="s">
        <v>40</v>
      </c>
      <c r="V740" s="1" t="s">
        <v>77</v>
      </c>
      <c r="W740" s="1" t="s">
        <v>40</v>
      </c>
      <c r="X740" s="1" t="s">
        <v>40</v>
      </c>
      <c r="AA740" s="1" t="s">
        <v>2222</v>
      </c>
      <c r="AB740" s="2">
        <v>46289</v>
      </c>
      <c r="AC740" s="2">
        <v>46289.433854166702</v>
      </c>
      <c r="AE740" s="1" t="s">
        <v>40</v>
      </c>
      <c r="AF740" s="1" t="s">
        <v>79</v>
      </c>
    </row>
    <row r="741" spans="1:32" ht="12.75" hidden="1" customHeight="1" x14ac:dyDescent="0.2">
      <c r="A741" s="1" t="s">
        <v>86</v>
      </c>
      <c r="B741" s="1" t="s">
        <v>2223</v>
      </c>
      <c r="C741" s="1" t="s">
        <v>71</v>
      </c>
      <c r="D741" s="1" t="s">
        <v>72</v>
      </c>
      <c r="E741" s="1" t="s">
        <v>2213</v>
      </c>
      <c r="F741" s="1" t="s">
        <v>320</v>
      </c>
      <c r="G741" s="3">
        <v>78</v>
      </c>
      <c r="H741" s="4">
        <v>1</v>
      </c>
      <c r="I741" s="5">
        <v>243.36</v>
      </c>
      <c r="J741" s="5">
        <v>0</v>
      </c>
      <c r="K741" s="1" t="s">
        <v>36</v>
      </c>
      <c r="L741" s="1" t="s">
        <v>75</v>
      </c>
      <c r="M741" s="1" t="s">
        <v>75</v>
      </c>
      <c r="N741" s="3">
        <v>78</v>
      </c>
      <c r="O741" s="6">
        <f>Table1[[#This Row],[Invoice Qty]]-Table1[[#This Row],[ExFactory Qty]]</f>
        <v>0</v>
      </c>
      <c r="P741" s="1" t="s">
        <v>2175</v>
      </c>
      <c r="Q741" s="2">
        <v>46289.644837963002</v>
      </c>
      <c r="S741" s="1" t="s">
        <v>39</v>
      </c>
      <c r="U741" s="1" t="s">
        <v>40</v>
      </c>
      <c r="V741" s="1" t="s">
        <v>77</v>
      </c>
      <c r="W741" s="1" t="s">
        <v>40</v>
      </c>
      <c r="X741" s="1" t="s">
        <v>40</v>
      </c>
      <c r="AA741" s="1" t="s">
        <v>2224</v>
      </c>
      <c r="AB741" s="2">
        <v>46289</v>
      </c>
      <c r="AC741" s="2">
        <v>46289.433854166702</v>
      </c>
      <c r="AE741" s="1" t="s">
        <v>40</v>
      </c>
      <c r="AF741" s="1" t="s">
        <v>79</v>
      </c>
    </row>
    <row r="742" spans="1:32" ht="12.75" hidden="1" customHeight="1" x14ac:dyDescent="0.2">
      <c r="A742" s="1" t="s">
        <v>86</v>
      </c>
      <c r="B742" s="1" t="s">
        <v>2225</v>
      </c>
      <c r="C742" s="1" t="s">
        <v>71</v>
      </c>
      <c r="D742" s="1" t="s">
        <v>72</v>
      </c>
      <c r="E742" s="1" t="s">
        <v>2213</v>
      </c>
      <c r="F742" s="1" t="s">
        <v>403</v>
      </c>
      <c r="G742" s="3">
        <v>158</v>
      </c>
      <c r="H742" s="4">
        <v>2</v>
      </c>
      <c r="I742" s="5">
        <v>492.96</v>
      </c>
      <c r="J742" s="5">
        <v>0</v>
      </c>
      <c r="K742" s="1" t="s">
        <v>36</v>
      </c>
      <c r="L742" s="1" t="s">
        <v>75</v>
      </c>
      <c r="M742" s="1" t="s">
        <v>75</v>
      </c>
      <c r="N742" s="3">
        <v>158</v>
      </c>
      <c r="O742" s="6">
        <f>Table1[[#This Row],[Invoice Qty]]-Table1[[#This Row],[ExFactory Qty]]</f>
        <v>0</v>
      </c>
      <c r="P742" s="1" t="s">
        <v>2175</v>
      </c>
      <c r="Q742" s="2">
        <v>46289.644837963002</v>
      </c>
      <c r="S742" s="1" t="s">
        <v>39</v>
      </c>
      <c r="U742" s="1" t="s">
        <v>40</v>
      </c>
      <c r="V742" s="1" t="s">
        <v>77</v>
      </c>
      <c r="W742" s="1" t="s">
        <v>40</v>
      </c>
      <c r="X742" s="1" t="s">
        <v>40</v>
      </c>
      <c r="AA742" s="1" t="s">
        <v>2226</v>
      </c>
      <c r="AB742" s="2">
        <v>46289</v>
      </c>
      <c r="AC742" s="2">
        <v>46289.433854166702</v>
      </c>
      <c r="AE742" s="1" t="s">
        <v>40</v>
      </c>
      <c r="AF742" s="1" t="s">
        <v>79</v>
      </c>
    </row>
    <row r="743" spans="1:32" ht="12.75" hidden="1" customHeight="1" x14ac:dyDescent="0.2">
      <c r="A743" s="1" t="s">
        <v>86</v>
      </c>
      <c r="B743" s="1" t="s">
        <v>2227</v>
      </c>
      <c r="C743" s="1" t="s">
        <v>71</v>
      </c>
      <c r="D743" s="1" t="s">
        <v>72</v>
      </c>
      <c r="E743" s="1" t="s">
        <v>2228</v>
      </c>
      <c r="F743" s="1" t="s">
        <v>350</v>
      </c>
      <c r="G743" s="3">
        <v>363</v>
      </c>
      <c r="H743" s="4">
        <v>7</v>
      </c>
      <c r="I743" s="5">
        <v>863.94</v>
      </c>
      <c r="J743" s="5">
        <v>0</v>
      </c>
      <c r="K743" s="1" t="s">
        <v>36</v>
      </c>
      <c r="L743" s="1" t="s">
        <v>75</v>
      </c>
      <c r="M743" s="1" t="s">
        <v>75</v>
      </c>
      <c r="N743" s="3">
        <v>363</v>
      </c>
      <c r="O743" s="6">
        <f>Table1[[#This Row],[Invoice Qty]]-Table1[[#This Row],[ExFactory Qty]]</f>
        <v>0</v>
      </c>
      <c r="P743" s="1" t="s">
        <v>2179</v>
      </c>
      <c r="Q743" s="2">
        <v>46289.696180555598</v>
      </c>
      <c r="S743" s="1" t="s">
        <v>39</v>
      </c>
      <c r="U743" s="1" t="s">
        <v>40</v>
      </c>
      <c r="V743" s="1" t="s">
        <v>77</v>
      </c>
      <c r="W743" s="1" t="s">
        <v>40</v>
      </c>
      <c r="X743" s="1" t="s">
        <v>40</v>
      </c>
      <c r="AA743" s="1" t="s">
        <v>2229</v>
      </c>
      <c r="AB743" s="2">
        <v>46289</v>
      </c>
      <c r="AC743" s="2">
        <v>46289.433854166702</v>
      </c>
      <c r="AE743" s="1" t="s">
        <v>40</v>
      </c>
      <c r="AF743" s="1" t="s">
        <v>79</v>
      </c>
    </row>
    <row r="744" spans="1:32" ht="12.75" hidden="1" customHeight="1" x14ac:dyDescent="0.2">
      <c r="A744" s="1" t="s">
        <v>86</v>
      </c>
      <c r="B744" s="1" t="s">
        <v>2230</v>
      </c>
      <c r="C744" s="1" t="s">
        <v>71</v>
      </c>
      <c r="D744" s="1" t="s">
        <v>72</v>
      </c>
      <c r="E744" s="1" t="s">
        <v>2228</v>
      </c>
      <c r="F744" s="1" t="s">
        <v>337</v>
      </c>
      <c r="G744" s="3">
        <v>166</v>
      </c>
      <c r="H744" s="4">
        <v>2</v>
      </c>
      <c r="I744" s="5">
        <v>395.08</v>
      </c>
      <c r="J744" s="5">
        <v>0</v>
      </c>
      <c r="K744" s="1" t="s">
        <v>36</v>
      </c>
      <c r="L744" s="1" t="s">
        <v>75</v>
      </c>
      <c r="M744" s="1" t="s">
        <v>75</v>
      </c>
      <c r="N744" s="3">
        <v>166</v>
      </c>
      <c r="O744" s="6">
        <f>Table1[[#This Row],[Invoice Qty]]-Table1[[#This Row],[ExFactory Qty]]</f>
        <v>0</v>
      </c>
      <c r="P744" s="1" t="s">
        <v>2175</v>
      </c>
      <c r="Q744" s="2">
        <v>46289.644837963002</v>
      </c>
      <c r="S744" s="1" t="s">
        <v>39</v>
      </c>
      <c r="U744" s="1" t="s">
        <v>40</v>
      </c>
      <c r="V744" s="1" t="s">
        <v>77</v>
      </c>
      <c r="W744" s="1" t="s">
        <v>40</v>
      </c>
      <c r="X744" s="1" t="s">
        <v>40</v>
      </c>
      <c r="AA744" s="1" t="s">
        <v>2231</v>
      </c>
      <c r="AB744" s="2">
        <v>46289</v>
      </c>
      <c r="AC744" s="2">
        <v>46289.433854166702</v>
      </c>
      <c r="AE744" s="1" t="s">
        <v>40</v>
      </c>
      <c r="AF744" s="1" t="s">
        <v>79</v>
      </c>
    </row>
    <row r="745" spans="1:32" ht="12.75" hidden="1" customHeight="1" x14ac:dyDescent="0.2">
      <c r="A745" s="1" t="s">
        <v>86</v>
      </c>
      <c r="B745" s="1" t="s">
        <v>2232</v>
      </c>
      <c r="C745" s="1" t="s">
        <v>71</v>
      </c>
      <c r="D745" s="1" t="s">
        <v>72</v>
      </c>
      <c r="E745" s="1" t="s">
        <v>432</v>
      </c>
      <c r="F745" s="1" t="s">
        <v>445</v>
      </c>
      <c r="G745" s="3">
        <v>481</v>
      </c>
      <c r="H745" s="4">
        <v>3</v>
      </c>
      <c r="I745" s="5">
        <v>1024.53</v>
      </c>
      <c r="J745" s="5">
        <v>0</v>
      </c>
      <c r="K745" s="1" t="s">
        <v>36</v>
      </c>
      <c r="L745" s="1" t="s">
        <v>75</v>
      </c>
      <c r="M745" s="1" t="s">
        <v>75</v>
      </c>
      <c r="N745" s="3">
        <v>481</v>
      </c>
      <c r="O745" s="6">
        <f>Table1[[#This Row],[Invoice Qty]]-Table1[[#This Row],[ExFactory Qty]]</f>
        <v>0</v>
      </c>
      <c r="P745" s="1" t="s">
        <v>2179</v>
      </c>
      <c r="Q745" s="2">
        <v>46289.696180555598</v>
      </c>
      <c r="S745" s="1" t="s">
        <v>39</v>
      </c>
      <c r="U745" s="1" t="s">
        <v>40</v>
      </c>
      <c r="V745" s="1" t="s">
        <v>77</v>
      </c>
      <c r="W745" s="1" t="s">
        <v>40</v>
      </c>
      <c r="X745" s="1" t="s">
        <v>40</v>
      </c>
      <c r="AA745" s="1" t="s">
        <v>2233</v>
      </c>
      <c r="AB745" s="2">
        <v>46289</v>
      </c>
      <c r="AC745" s="2">
        <v>46289.433854166702</v>
      </c>
      <c r="AE745" s="1" t="s">
        <v>40</v>
      </c>
      <c r="AF745" s="1" t="s">
        <v>79</v>
      </c>
    </row>
    <row r="746" spans="1:32" ht="12.75" hidden="1" customHeight="1" x14ac:dyDescent="0.2">
      <c r="A746" s="1" t="s">
        <v>86</v>
      </c>
      <c r="B746" s="1" t="s">
        <v>2234</v>
      </c>
      <c r="C746" s="1" t="s">
        <v>71</v>
      </c>
      <c r="D746" s="1" t="s">
        <v>72</v>
      </c>
      <c r="E746" s="1" t="s">
        <v>432</v>
      </c>
      <c r="F746" s="1" t="s">
        <v>398</v>
      </c>
      <c r="G746" s="3">
        <v>1614</v>
      </c>
      <c r="H746" s="4">
        <v>12</v>
      </c>
      <c r="I746" s="5">
        <v>3437.82</v>
      </c>
      <c r="J746" s="5">
        <v>0</v>
      </c>
      <c r="K746" s="1" t="s">
        <v>36</v>
      </c>
      <c r="L746" s="1" t="s">
        <v>75</v>
      </c>
      <c r="M746" s="1" t="s">
        <v>75</v>
      </c>
      <c r="N746" s="3">
        <v>1614</v>
      </c>
      <c r="O746" s="6">
        <f>Table1[[#This Row],[Invoice Qty]]-Table1[[#This Row],[ExFactory Qty]]</f>
        <v>0</v>
      </c>
      <c r="P746" s="1" t="s">
        <v>2179</v>
      </c>
      <c r="Q746" s="2">
        <v>46289.696180555598</v>
      </c>
      <c r="S746" s="1" t="s">
        <v>39</v>
      </c>
      <c r="U746" s="1" t="s">
        <v>40</v>
      </c>
      <c r="V746" s="1" t="s">
        <v>77</v>
      </c>
      <c r="W746" s="1" t="s">
        <v>40</v>
      </c>
      <c r="X746" s="1" t="s">
        <v>40</v>
      </c>
      <c r="AA746" s="1" t="s">
        <v>2235</v>
      </c>
      <c r="AB746" s="2">
        <v>46289</v>
      </c>
      <c r="AC746" s="2">
        <v>46289</v>
      </c>
      <c r="AE746" s="1" t="s">
        <v>40</v>
      </c>
      <c r="AF746" s="1" t="s">
        <v>79</v>
      </c>
    </row>
    <row r="747" spans="1:32" ht="12.75" hidden="1" customHeight="1" x14ac:dyDescent="0.2">
      <c r="A747" s="1" t="s">
        <v>86</v>
      </c>
      <c r="B747" s="1" t="s">
        <v>2236</v>
      </c>
      <c r="C747" s="1" t="s">
        <v>71</v>
      </c>
      <c r="D747" s="1" t="s">
        <v>72</v>
      </c>
      <c r="E747" s="1" t="s">
        <v>432</v>
      </c>
      <c r="F747" s="1" t="s">
        <v>403</v>
      </c>
      <c r="G747" s="3">
        <v>235</v>
      </c>
      <c r="H747" s="4">
        <v>2</v>
      </c>
      <c r="I747" s="5">
        <v>500.55</v>
      </c>
      <c r="J747" s="5">
        <v>0</v>
      </c>
      <c r="K747" s="1" t="s">
        <v>36</v>
      </c>
      <c r="L747" s="1" t="s">
        <v>75</v>
      </c>
      <c r="M747" s="1" t="s">
        <v>75</v>
      </c>
      <c r="N747" s="3">
        <v>235</v>
      </c>
      <c r="O747" s="6">
        <f>Table1[[#This Row],[Invoice Qty]]-Table1[[#This Row],[ExFactory Qty]]</f>
        <v>0</v>
      </c>
      <c r="P747" s="1" t="s">
        <v>2175</v>
      </c>
      <c r="Q747" s="2">
        <v>46289.644837963002</v>
      </c>
      <c r="S747" s="1" t="s">
        <v>39</v>
      </c>
      <c r="U747" s="1" t="s">
        <v>40</v>
      </c>
      <c r="V747" s="1" t="s">
        <v>77</v>
      </c>
      <c r="W747" s="1" t="s">
        <v>40</v>
      </c>
      <c r="X747" s="1" t="s">
        <v>40</v>
      </c>
      <c r="AA747" s="1" t="s">
        <v>2237</v>
      </c>
      <c r="AB747" s="2">
        <v>46289</v>
      </c>
      <c r="AC747" s="2">
        <v>46289.433854166702</v>
      </c>
      <c r="AE747" s="1" t="s">
        <v>40</v>
      </c>
      <c r="AF747" s="1" t="s">
        <v>79</v>
      </c>
    </row>
    <row r="748" spans="1:32" ht="12.75" hidden="1" customHeight="1" x14ac:dyDescent="0.2">
      <c r="A748" s="1" t="s">
        <v>86</v>
      </c>
      <c r="B748" s="1" t="s">
        <v>2238</v>
      </c>
      <c r="C748" s="1" t="s">
        <v>71</v>
      </c>
      <c r="D748" s="1" t="s">
        <v>72</v>
      </c>
      <c r="E748" s="1" t="s">
        <v>1603</v>
      </c>
      <c r="F748" s="1" t="s">
        <v>445</v>
      </c>
      <c r="G748" s="3">
        <v>289</v>
      </c>
      <c r="H748" s="4">
        <v>5</v>
      </c>
      <c r="I748" s="5">
        <v>901.68</v>
      </c>
      <c r="J748" s="5">
        <v>0</v>
      </c>
      <c r="K748" s="1" t="s">
        <v>36</v>
      </c>
      <c r="L748" s="1" t="s">
        <v>75</v>
      </c>
      <c r="M748" s="1" t="s">
        <v>75</v>
      </c>
      <c r="N748" s="3">
        <v>289</v>
      </c>
      <c r="O748" s="6">
        <f>Table1[[#This Row],[Invoice Qty]]-Table1[[#This Row],[ExFactory Qty]]</f>
        <v>0</v>
      </c>
      <c r="P748" s="1" t="s">
        <v>2179</v>
      </c>
      <c r="Q748" s="2">
        <v>46289.696180555598</v>
      </c>
      <c r="S748" s="1" t="s">
        <v>39</v>
      </c>
      <c r="U748" s="1" t="s">
        <v>40</v>
      </c>
      <c r="V748" s="1" t="s">
        <v>77</v>
      </c>
      <c r="W748" s="1" t="s">
        <v>40</v>
      </c>
      <c r="X748" s="1" t="s">
        <v>40</v>
      </c>
      <c r="AA748" s="1" t="s">
        <v>2239</v>
      </c>
      <c r="AB748" s="2">
        <v>46289</v>
      </c>
      <c r="AC748" s="2">
        <v>46289.433854166702</v>
      </c>
      <c r="AE748" s="1" t="s">
        <v>40</v>
      </c>
      <c r="AF748" s="1" t="s">
        <v>79</v>
      </c>
    </row>
    <row r="749" spans="1:32" ht="12.75" hidden="1" customHeight="1" x14ac:dyDescent="0.2">
      <c r="A749" s="1" t="s">
        <v>86</v>
      </c>
      <c r="B749" s="1" t="s">
        <v>2240</v>
      </c>
      <c r="C749" s="1" t="s">
        <v>71</v>
      </c>
      <c r="D749" s="1" t="s">
        <v>72</v>
      </c>
      <c r="E749" s="1" t="s">
        <v>1603</v>
      </c>
      <c r="F749" s="1" t="s">
        <v>398</v>
      </c>
      <c r="G749" s="3">
        <v>980</v>
      </c>
      <c r="H749" s="4">
        <v>10</v>
      </c>
      <c r="I749" s="5">
        <v>3057.6</v>
      </c>
      <c r="J749" s="5">
        <v>0</v>
      </c>
      <c r="K749" s="1" t="s">
        <v>36</v>
      </c>
      <c r="L749" s="1" t="s">
        <v>75</v>
      </c>
      <c r="M749" s="1" t="s">
        <v>75</v>
      </c>
      <c r="N749" s="3">
        <v>980</v>
      </c>
      <c r="O749" s="6">
        <f>Table1[[#This Row],[Invoice Qty]]-Table1[[#This Row],[ExFactory Qty]]</f>
        <v>0</v>
      </c>
      <c r="P749" s="1" t="s">
        <v>2179</v>
      </c>
      <c r="Q749" s="2">
        <v>46289.696180555598</v>
      </c>
      <c r="S749" s="1" t="s">
        <v>39</v>
      </c>
      <c r="U749" s="1" t="s">
        <v>40</v>
      </c>
      <c r="V749" s="1" t="s">
        <v>77</v>
      </c>
      <c r="W749" s="1" t="s">
        <v>40</v>
      </c>
      <c r="X749" s="1" t="s">
        <v>40</v>
      </c>
      <c r="AA749" s="1" t="s">
        <v>2241</v>
      </c>
      <c r="AB749" s="2">
        <v>46289</v>
      </c>
      <c r="AC749" s="2">
        <v>46289</v>
      </c>
      <c r="AE749" s="1" t="s">
        <v>40</v>
      </c>
      <c r="AF749" s="1" t="s">
        <v>79</v>
      </c>
    </row>
    <row r="750" spans="1:32" ht="12.75" hidden="1" customHeight="1" x14ac:dyDescent="0.2">
      <c r="A750" s="1" t="s">
        <v>86</v>
      </c>
      <c r="B750" s="1" t="s">
        <v>2242</v>
      </c>
      <c r="C750" s="1" t="s">
        <v>71</v>
      </c>
      <c r="D750" s="1" t="s">
        <v>72</v>
      </c>
      <c r="E750" s="1" t="s">
        <v>1603</v>
      </c>
      <c r="F750" s="1" t="s">
        <v>403</v>
      </c>
      <c r="G750" s="3">
        <v>162</v>
      </c>
      <c r="H750" s="4">
        <v>2</v>
      </c>
      <c r="I750" s="5">
        <v>505.44</v>
      </c>
      <c r="J750" s="5">
        <v>0</v>
      </c>
      <c r="K750" s="1" t="s">
        <v>36</v>
      </c>
      <c r="L750" s="1" t="s">
        <v>75</v>
      </c>
      <c r="M750" s="1" t="s">
        <v>75</v>
      </c>
      <c r="N750" s="3">
        <v>162</v>
      </c>
      <c r="O750" s="6">
        <f>Table1[[#This Row],[Invoice Qty]]-Table1[[#This Row],[ExFactory Qty]]</f>
        <v>0</v>
      </c>
      <c r="P750" s="1" t="s">
        <v>2175</v>
      </c>
      <c r="Q750" s="2">
        <v>46289.644837963002</v>
      </c>
      <c r="S750" s="1" t="s">
        <v>39</v>
      </c>
      <c r="U750" s="1" t="s">
        <v>40</v>
      </c>
      <c r="V750" s="1" t="s">
        <v>77</v>
      </c>
      <c r="W750" s="1" t="s">
        <v>40</v>
      </c>
      <c r="X750" s="1" t="s">
        <v>40</v>
      </c>
      <c r="AA750" s="1" t="s">
        <v>2243</v>
      </c>
      <c r="AB750" s="2">
        <v>46289</v>
      </c>
      <c r="AC750" s="2">
        <v>46289.433854166702</v>
      </c>
      <c r="AE750" s="1" t="s">
        <v>40</v>
      </c>
      <c r="AF750" s="1" t="s">
        <v>79</v>
      </c>
    </row>
    <row r="751" spans="1:32" ht="12.75" hidden="1" customHeight="1" x14ac:dyDescent="0.2">
      <c r="A751" s="1" t="s">
        <v>86</v>
      </c>
      <c r="B751" s="1" t="s">
        <v>2244</v>
      </c>
      <c r="C751" s="1" t="s">
        <v>71</v>
      </c>
      <c r="D751" s="1" t="s">
        <v>457</v>
      </c>
      <c r="E751" s="1" t="s">
        <v>458</v>
      </c>
      <c r="F751" s="1" t="s">
        <v>74</v>
      </c>
      <c r="G751" s="3">
        <v>1701</v>
      </c>
      <c r="H751" s="4">
        <v>22</v>
      </c>
      <c r="I751" s="5">
        <v>7195.23</v>
      </c>
      <c r="J751" s="5">
        <v>0</v>
      </c>
      <c r="K751" s="1" t="s">
        <v>36</v>
      </c>
      <c r="L751" s="1" t="s">
        <v>75</v>
      </c>
      <c r="M751" s="1" t="s">
        <v>75</v>
      </c>
      <c r="N751" s="3">
        <v>1701</v>
      </c>
      <c r="O751" s="6">
        <f>Table1[[#This Row],[Invoice Qty]]-Table1[[#This Row],[ExFactory Qty]]</f>
        <v>0</v>
      </c>
      <c r="P751" s="1" t="s">
        <v>2175</v>
      </c>
      <c r="Q751" s="2">
        <v>46289.644837963002</v>
      </c>
      <c r="S751" s="1" t="s">
        <v>39</v>
      </c>
      <c r="U751" s="1" t="s">
        <v>40</v>
      </c>
      <c r="V751" s="1" t="s">
        <v>77</v>
      </c>
      <c r="W751" s="1" t="s">
        <v>40</v>
      </c>
      <c r="X751" s="1" t="s">
        <v>40</v>
      </c>
      <c r="AA751" s="1" t="s">
        <v>2245</v>
      </c>
      <c r="AB751" s="2">
        <v>46289</v>
      </c>
      <c r="AC751" s="2">
        <v>46289</v>
      </c>
      <c r="AE751" s="1" t="s">
        <v>40</v>
      </c>
      <c r="AF751" s="1" t="s">
        <v>326</v>
      </c>
    </row>
    <row r="752" spans="1:32" ht="12.75" hidden="1" customHeight="1" x14ac:dyDescent="0.2">
      <c r="A752" s="1" t="s">
        <v>86</v>
      </c>
      <c r="B752" s="1" t="s">
        <v>2246</v>
      </c>
      <c r="C752" s="1" t="s">
        <v>71</v>
      </c>
      <c r="D752" s="1" t="s">
        <v>72</v>
      </c>
      <c r="E752" s="1" t="s">
        <v>1171</v>
      </c>
      <c r="F752" s="1" t="s">
        <v>74</v>
      </c>
      <c r="G752" s="3">
        <v>82</v>
      </c>
      <c r="H752" s="4">
        <v>1</v>
      </c>
      <c r="I752" s="5">
        <v>220.58</v>
      </c>
      <c r="J752" s="5">
        <v>0</v>
      </c>
      <c r="K752" s="1" t="s">
        <v>36</v>
      </c>
      <c r="L752" s="1" t="s">
        <v>75</v>
      </c>
      <c r="M752" s="1" t="s">
        <v>75</v>
      </c>
      <c r="N752" s="3">
        <v>82</v>
      </c>
      <c r="O752" s="6">
        <f>Table1[[#This Row],[Invoice Qty]]-Table1[[#This Row],[ExFactory Qty]]</f>
        <v>0</v>
      </c>
      <c r="P752" s="1" t="s">
        <v>2175</v>
      </c>
      <c r="Q752" s="2">
        <v>46289.644837963002</v>
      </c>
      <c r="S752" s="1" t="s">
        <v>39</v>
      </c>
      <c r="U752" s="1" t="s">
        <v>40</v>
      </c>
      <c r="V752" s="1" t="s">
        <v>77</v>
      </c>
      <c r="W752" s="1" t="s">
        <v>40</v>
      </c>
      <c r="X752" s="1" t="s">
        <v>40</v>
      </c>
      <c r="AA752" s="1" t="s">
        <v>2247</v>
      </c>
      <c r="AB752" s="2">
        <v>46289</v>
      </c>
      <c r="AC752" s="2">
        <v>46289</v>
      </c>
      <c r="AE752" s="1" t="s">
        <v>40</v>
      </c>
      <c r="AF752" s="1" t="s">
        <v>79</v>
      </c>
    </row>
    <row r="753" spans="1:32" ht="12.75" hidden="1" customHeight="1" x14ac:dyDescent="0.2">
      <c r="A753" s="1" t="s">
        <v>86</v>
      </c>
      <c r="B753" s="1" t="s">
        <v>2248</v>
      </c>
      <c r="C753" s="1" t="s">
        <v>71</v>
      </c>
      <c r="D753" s="1" t="s">
        <v>72</v>
      </c>
      <c r="E753" s="1" t="s">
        <v>1171</v>
      </c>
      <c r="F753" s="1" t="s">
        <v>74</v>
      </c>
      <c r="G753" s="3">
        <v>141</v>
      </c>
      <c r="H753" s="4">
        <v>1</v>
      </c>
      <c r="I753" s="5">
        <v>379.29</v>
      </c>
      <c r="J753" s="5">
        <v>0</v>
      </c>
      <c r="K753" s="1" t="s">
        <v>36</v>
      </c>
      <c r="L753" s="1" t="s">
        <v>75</v>
      </c>
      <c r="M753" s="1" t="s">
        <v>75</v>
      </c>
      <c r="N753" s="3">
        <v>141</v>
      </c>
      <c r="O753" s="6">
        <f>Table1[[#This Row],[Invoice Qty]]-Table1[[#This Row],[ExFactory Qty]]</f>
        <v>0</v>
      </c>
      <c r="P753" s="1" t="s">
        <v>2175</v>
      </c>
      <c r="Q753" s="2">
        <v>46289.644837963002</v>
      </c>
      <c r="S753" s="1" t="s">
        <v>39</v>
      </c>
      <c r="U753" s="1" t="s">
        <v>40</v>
      </c>
      <c r="V753" s="1" t="s">
        <v>77</v>
      </c>
      <c r="W753" s="1" t="s">
        <v>40</v>
      </c>
      <c r="X753" s="1" t="s">
        <v>40</v>
      </c>
      <c r="AA753" s="1" t="s">
        <v>2249</v>
      </c>
      <c r="AB753" s="2">
        <v>46289</v>
      </c>
      <c r="AC753" s="2">
        <v>46289</v>
      </c>
      <c r="AE753" s="1" t="s">
        <v>40</v>
      </c>
      <c r="AF753" s="1" t="s">
        <v>79</v>
      </c>
    </row>
    <row r="754" spans="1:32" ht="12.75" hidden="1" customHeight="1" x14ac:dyDescent="0.2">
      <c r="A754" s="1" t="s">
        <v>86</v>
      </c>
      <c r="B754" s="1" t="s">
        <v>2250</v>
      </c>
      <c r="C754" s="1" t="s">
        <v>71</v>
      </c>
      <c r="D754" s="1" t="s">
        <v>72</v>
      </c>
      <c r="E754" s="1" t="s">
        <v>1175</v>
      </c>
      <c r="F754" s="1" t="s">
        <v>367</v>
      </c>
      <c r="G754" s="3">
        <v>851</v>
      </c>
      <c r="H754" s="4">
        <v>9</v>
      </c>
      <c r="I754" s="5">
        <v>2306.21</v>
      </c>
      <c r="J754" s="5">
        <v>0</v>
      </c>
      <c r="K754" s="1" t="s">
        <v>36</v>
      </c>
      <c r="L754" s="1" t="s">
        <v>75</v>
      </c>
      <c r="M754" s="1" t="s">
        <v>75</v>
      </c>
      <c r="N754" s="3">
        <v>851</v>
      </c>
      <c r="O754" s="6">
        <f>Table1[[#This Row],[Invoice Qty]]-Table1[[#This Row],[ExFactory Qty]]</f>
        <v>0</v>
      </c>
      <c r="P754" s="1" t="s">
        <v>2188</v>
      </c>
      <c r="Q754" s="2">
        <v>46289.698969907397</v>
      </c>
      <c r="S754" s="1" t="s">
        <v>39</v>
      </c>
      <c r="U754" s="1" t="s">
        <v>40</v>
      </c>
      <c r="V754" s="1" t="s">
        <v>77</v>
      </c>
      <c r="W754" s="1" t="s">
        <v>40</v>
      </c>
      <c r="X754" s="1" t="s">
        <v>40</v>
      </c>
      <c r="AA754" s="1" t="s">
        <v>2251</v>
      </c>
      <c r="AB754" s="2">
        <v>46289</v>
      </c>
      <c r="AC754" s="2">
        <v>46289.433854166702</v>
      </c>
      <c r="AE754" s="1" t="s">
        <v>40</v>
      </c>
      <c r="AF754" s="1" t="s">
        <v>79</v>
      </c>
    </row>
    <row r="755" spans="1:32" ht="12.75" hidden="1" customHeight="1" x14ac:dyDescent="0.2">
      <c r="A755" s="1" t="s">
        <v>86</v>
      </c>
      <c r="B755" s="1" t="s">
        <v>2252</v>
      </c>
      <c r="C755" s="1" t="s">
        <v>71</v>
      </c>
      <c r="D755" s="1" t="s">
        <v>72</v>
      </c>
      <c r="E755" s="1" t="s">
        <v>685</v>
      </c>
      <c r="F755" s="1" t="s">
        <v>372</v>
      </c>
      <c r="G755" s="3">
        <v>3057</v>
      </c>
      <c r="H755" s="4">
        <v>36</v>
      </c>
      <c r="I755" s="5">
        <v>8070.48</v>
      </c>
      <c r="J755" s="5">
        <v>0</v>
      </c>
      <c r="K755" s="1" t="s">
        <v>36</v>
      </c>
      <c r="L755" s="1" t="s">
        <v>75</v>
      </c>
      <c r="M755" s="1" t="s">
        <v>37</v>
      </c>
      <c r="N755" s="3">
        <v>3057</v>
      </c>
      <c r="O755" s="6">
        <f>Table1[[#This Row],[Invoice Qty]]-Table1[[#This Row],[ExFactory Qty]]</f>
        <v>0</v>
      </c>
      <c r="P755" s="1" t="s">
        <v>1034</v>
      </c>
      <c r="Q755" s="2">
        <v>46289.626203703701</v>
      </c>
      <c r="S755" s="1" t="s">
        <v>39</v>
      </c>
      <c r="U755" s="1" t="s">
        <v>40</v>
      </c>
      <c r="V755" s="1" t="s">
        <v>77</v>
      </c>
      <c r="W755" s="1" t="s">
        <v>40</v>
      </c>
      <c r="X755" s="1" t="s">
        <v>40</v>
      </c>
      <c r="AA755" s="1" t="s">
        <v>2253</v>
      </c>
      <c r="AB755" s="2">
        <v>46289</v>
      </c>
      <c r="AC755" s="2">
        <v>46289</v>
      </c>
      <c r="AE755" s="1" t="s">
        <v>40</v>
      </c>
      <c r="AF755" s="1" t="s">
        <v>79</v>
      </c>
    </row>
    <row r="756" spans="1:32" ht="12.75" hidden="1" customHeight="1" x14ac:dyDescent="0.2">
      <c r="A756" s="1" t="s">
        <v>86</v>
      </c>
      <c r="B756" s="1" t="s">
        <v>2254</v>
      </c>
      <c r="C756" s="1" t="s">
        <v>71</v>
      </c>
      <c r="D756" s="1" t="s">
        <v>457</v>
      </c>
      <c r="E756" s="1" t="s">
        <v>1969</v>
      </c>
      <c r="F756" s="1" t="s">
        <v>372</v>
      </c>
      <c r="G756" s="3">
        <v>1613</v>
      </c>
      <c r="H756" s="4">
        <v>22</v>
      </c>
      <c r="I756" s="5">
        <v>7661.75</v>
      </c>
      <c r="J756" s="5">
        <v>0</v>
      </c>
      <c r="K756" s="1" t="s">
        <v>36</v>
      </c>
      <c r="L756" s="1" t="s">
        <v>75</v>
      </c>
      <c r="M756" s="1" t="s">
        <v>37</v>
      </c>
      <c r="N756" s="3">
        <v>1613</v>
      </c>
      <c r="O756" s="6">
        <f>Table1[[#This Row],[Invoice Qty]]-Table1[[#This Row],[ExFactory Qty]]</f>
        <v>0</v>
      </c>
      <c r="P756" s="1" t="s">
        <v>1034</v>
      </c>
      <c r="Q756" s="2">
        <v>46289.626203703701</v>
      </c>
      <c r="S756" s="1" t="s">
        <v>39</v>
      </c>
      <c r="U756" s="1" t="s">
        <v>40</v>
      </c>
      <c r="V756" s="1" t="s">
        <v>77</v>
      </c>
      <c r="W756" s="1" t="s">
        <v>40</v>
      </c>
      <c r="X756" s="1" t="s">
        <v>40</v>
      </c>
      <c r="AA756" s="1" t="s">
        <v>2255</v>
      </c>
      <c r="AB756" s="2">
        <v>46289</v>
      </c>
      <c r="AC756" s="2">
        <v>46289</v>
      </c>
      <c r="AE756" s="1" t="s">
        <v>40</v>
      </c>
      <c r="AF756" s="1" t="s">
        <v>326</v>
      </c>
    </row>
    <row r="757" spans="1:32" ht="12.75" hidden="1" customHeight="1" x14ac:dyDescent="0.2">
      <c r="A757" s="1" t="s">
        <v>86</v>
      </c>
      <c r="B757" s="1" t="s">
        <v>2256</v>
      </c>
      <c r="C757" s="1" t="s">
        <v>71</v>
      </c>
      <c r="D757" s="1" t="s">
        <v>457</v>
      </c>
      <c r="E757" s="1" t="s">
        <v>458</v>
      </c>
      <c r="F757" s="1" t="s">
        <v>372</v>
      </c>
      <c r="G757" s="3">
        <v>4341</v>
      </c>
      <c r="H757" s="4">
        <v>64</v>
      </c>
      <c r="I757" s="5">
        <v>18362.43</v>
      </c>
      <c r="J757" s="5">
        <v>0</v>
      </c>
      <c r="K757" s="1" t="s">
        <v>36</v>
      </c>
      <c r="L757" s="1" t="s">
        <v>75</v>
      </c>
      <c r="M757" s="1" t="s">
        <v>75</v>
      </c>
      <c r="N757" s="3">
        <v>4341</v>
      </c>
      <c r="O757" s="6">
        <f>Table1[[#This Row],[Invoice Qty]]-Table1[[#This Row],[ExFactory Qty]]</f>
        <v>0</v>
      </c>
      <c r="P757" s="1" t="s">
        <v>2188</v>
      </c>
      <c r="Q757" s="2">
        <v>46289.698969907397</v>
      </c>
      <c r="S757" s="1" t="s">
        <v>39</v>
      </c>
      <c r="U757" s="1" t="s">
        <v>40</v>
      </c>
      <c r="V757" s="1" t="s">
        <v>77</v>
      </c>
      <c r="W757" s="1" t="s">
        <v>40</v>
      </c>
      <c r="X757" s="1" t="s">
        <v>40</v>
      </c>
      <c r="AA757" s="1" t="s">
        <v>2257</v>
      </c>
      <c r="AB757" s="2">
        <v>46289</v>
      </c>
      <c r="AC757" s="2">
        <v>46289</v>
      </c>
      <c r="AE757" s="1" t="s">
        <v>40</v>
      </c>
      <c r="AF757" s="1" t="s">
        <v>326</v>
      </c>
    </row>
    <row r="758" spans="1:32" ht="12.75" hidden="1" customHeight="1" x14ac:dyDescent="0.2">
      <c r="A758" s="1" t="s">
        <v>86</v>
      </c>
      <c r="B758" s="1" t="s">
        <v>2258</v>
      </c>
      <c r="C758" s="1" t="s">
        <v>71</v>
      </c>
      <c r="D758" s="1" t="s">
        <v>72</v>
      </c>
      <c r="E758" s="1" t="s">
        <v>2259</v>
      </c>
      <c r="F758" s="1" t="s">
        <v>367</v>
      </c>
      <c r="G758" s="3">
        <v>29</v>
      </c>
      <c r="H758" s="4">
        <v>1</v>
      </c>
      <c r="I758" s="5">
        <v>68.150000000000006</v>
      </c>
      <c r="J758" s="5">
        <v>0</v>
      </c>
      <c r="K758" s="1" t="s">
        <v>36</v>
      </c>
      <c r="L758" s="1" t="s">
        <v>75</v>
      </c>
      <c r="M758" s="1" t="s">
        <v>75</v>
      </c>
      <c r="N758" s="3">
        <v>29</v>
      </c>
      <c r="O758" s="6">
        <f>Table1[[#This Row],[Invoice Qty]]-Table1[[#This Row],[ExFactory Qty]]</f>
        <v>0</v>
      </c>
      <c r="P758" s="1" t="s">
        <v>2188</v>
      </c>
      <c r="Q758" s="2">
        <v>46289.698969907397</v>
      </c>
      <c r="S758" s="1" t="s">
        <v>39</v>
      </c>
      <c r="U758" s="1" t="s">
        <v>40</v>
      </c>
      <c r="V758" s="1" t="s">
        <v>77</v>
      </c>
      <c r="W758" s="1" t="s">
        <v>40</v>
      </c>
      <c r="X758" s="1" t="s">
        <v>40</v>
      </c>
      <c r="AA758" s="1" t="s">
        <v>2260</v>
      </c>
      <c r="AB758" s="2">
        <v>46289</v>
      </c>
      <c r="AC758" s="2">
        <v>46289</v>
      </c>
      <c r="AE758" s="1" t="s">
        <v>40</v>
      </c>
      <c r="AF758" s="1" t="s">
        <v>79</v>
      </c>
    </row>
    <row r="759" spans="1:32" ht="12.75" hidden="1" customHeight="1" x14ac:dyDescent="0.2">
      <c r="A759" s="1" t="s">
        <v>86</v>
      </c>
      <c r="B759" s="1" t="s">
        <v>2261</v>
      </c>
      <c r="C759" s="1" t="s">
        <v>71</v>
      </c>
      <c r="D759" s="1" t="s">
        <v>72</v>
      </c>
      <c r="E759" s="1" t="s">
        <v>2259</v>
      </c>
      <c r="F759" s="1" t="s">
        <v>986</v>
      </c>
      <c r="G759" s="3">
        <v>21</v>
      </c>
      <c r="H759" s="4">
        <v>1</v>
      </c>
      <c r="I759" s="5">
        <v>49.35</v>
      </c>
      <c r="J759" s="5">
        <v>0</v>
      </c>
      <c r="K759" s="1" t="s">
        <v>36</v>
      </c>
      <c r="L759" s="1" t="s">
        <v>75</v>
      </c>
      <c r="M759" s="1" t="s">
        <v>75</v>
      </c>
      <c r="N759" s="3">
        <v>21</v>
      </c>
      <c r="O759" s="6">
        <f>Table1[[#This Row],[Invoice Qty]]-Table1[[#This Row],[ExFactory Qty]]</f>
        <v>0</v>
      </c>
      <c r="P759" s="1" t="s">
        <v>2175</v>
      </c>
      <c r="Q759" s="2">
        <v>46289.644837963002</v>
      </c>
      <c r="S759" s="1" t="s">
        <v>39</v>
      </c>
      <c r="U759" s="1" t="s">
        <v>40</v>
      </c>
      <c r="V759" s="1" t="s">
        <v>77</v>
      </c>
      <c r="W759" s="1" t="s">
        <v>40</v>
      </c>
      <c r="X759" s="1" t="s">
        <v>40</v>
      </c>
      <c r="AA759" s="1" t="s">
        <v>2262</v>
      </c>
      <c r="AB759" s="2">
        <v>46289</v>
      </c>
      <c r="AC759" s="2">
        <v>46289.608634259297</v>
      </c>
      <c r="AE759" s="1" t="s">
        <v>40</v>
      </c>
      <c r="AF759" s="1" t="s">
        <v>79</v>
      </c>
    </row>
    <row r="760" spans="1:32" ht="12.75" hidden="1" customHeight="1" x14ac:dyDescent="0.2">
      <c r="A760" s="1" t="s">
        <v>86</v>
      </c>
      <c r="B760" s="1" t="s">
        <v>2263</v>
      </c>
      <c r="C760" s="1" t="s">
        <v>71</v>
      </c>
      <c r="D760" s="1" t="s">
        <v>323</v>
      </c>
      <c r="E760" s="1" t="s">
        <v>1188</v>
      </c>
      <c r="F760" s="1" t="s">
        <v>337</v>
      </c>
      <c r="G760" s="3">
        <v>92</v>
      </c>
      <c r="H760" s="4">
        <v>2</v>
      </c>
      <c r="I760" s="5">
        <v>280.60000000000002</v>
      </c>
      <c r="J760" s="5">
        <v>0</v>
      </c>
      <c r="K760" s="1" t="s">
        <v>36</v>
      </c>
      <c r="L760" s="1" t="s">
        <v>75</v>
      </c>
      <c r="M760" s="1" t="s">
        <v>51</v>
      </c>
      <c r="N760" s="3">
        <v>92</v>
      </c>
      <c r="O760" s="6">
        <f>Table1[[#This Row],[Invoice Qty]]-Table1[[#This Row],[ExFactory Qty]]</f>
        <v>0</v>
      </c>
      <c r="P760" s="1" t="s">
        <v>2264</v>
      </c>
      <c r="Q760" s="2">
        <v>46289.370578703703</v>
      </c>
      <c r="S760" s="1" t="s">
        <v>39</v>
      </c>
      <c r="U760" s="1" t="s">
        <v>40</v>
      </c>
      <c r="V760" s="1" t="s">
        <v>77</v>
      </c>
      <c r="W760" s="1" t="s">
        <v>40</v>
      </c>
      <c r="X760" s="1" t="s">
        <v>40</v>
      </c>
      <c r="AA760" s="1" t="s">
        <v>2265</v>
      </c>
      <c r="AB760" s="2">
        <v>46289</v>
      </c>
      <c r="AC760" s="2">
        <v>46289.674560185202</v>
      </c>
      <c r="AE760" s="1" t="s">
        <v>40</v>
      </c>
      <c r="AF760" s="1" t="s">
        <v>326</v>
      </c>
    </row>
    <row r="761" spans="1:32" ht="12.75" hidden="1" customHeight="1" x14ac:dyDescent="0.2">
      <c r="A761" s="1" t="s">
        <v>86</v>
      </c>
      <c r="B761" s="1" t="s">
        <v>2266</v>
      </c>
      <c r="C761" s="1" t="s">
        <v>71</v>
      </c>
      <c r="D761" s="1" t="s">
        <v>72</v>
      </c>
      <c r="E761" s="1" t="s">
        <v>2267</v>
      </c>
      <c r="F761" s="1" t="s">
        <v>350</v>
      </c>
      <c r="G761" s="3">
        <v>362</v>
      </c>
      <c r="H761" s="4">
        <v>7</v>
      </c>
      <c r="I761" s="5">
        <v>778.3</v>
      </c>
      <c r="J761" s="5">
        <v>0</v>
      </c>
      <c r="K761" s="1" t="s">
        <v>36</v>
      </c>
      <c r="L761" s="1" t="s">
        <v>75</v>
      </c>
      <c r="M761" s="1" t="s">
        <v>51</v>
      </c>
      <c r="N761" s="3">
        <v>362</v>
      </c>
      <c r="O761" s="6">
        <f>Table1[[#This Row],[Invoice Qty]]-Table1[[#This Row],[ExFactory Qty]]</f>
        <v>0</v>
      </c>
      <c r="P761" s="1" t="s">
        <v>2268</v>
      </c>
      <c r="Q761" s="2">
        <v>46289.371550925898</v>
      </c>
      <c r="S761" s="1" t="s">
        <v>39</v>
      </c>
      <c r="U761" s="1" t="s">
        <v>40</v>
      </c>
      <c r="V761" s="1" t="s">
        <v>77</v>
      </c>
      <c r="W761" s="1" t="s">
        <v>40</v>
      </c>
      <c r="X761" s="1" t="s">
        <v>40</v>
      </c>
      <c r="AA761" s="1" t="s">
        <v>2269</v>
      </c>
      <c r="AB761" s="2">
        <v>46289</v>
      </c>
      <c r="AC761" s="2">
        <v>46289.674560185202</v>
      </c>
      <c r="AE761" s="1" t="s">
        <v>40</v>
      </c>
      <c r="AF761" s="1" t="s">
        <v>79</v>
      </c>
    </row>
    <row r="762" spans="1:32" ht="12.75" hidden="1" customHeight="1" x14ac:dyDescent="0.2">
      <c r="A762" s="1" t="s">
        <v>86</v>
      </c>
      <c r="B762" s="1" t="s">
        <v>2270</v>
      </c>
      <c r="C762" s="1" t="s">
        <v>71</v>
      </c>
      <c r="D762" s="1" t="s">
        <v>72</v>
      </c>
      <c r="E762" s="1" t="s">
        <v>1851</v>
      </c>
      <c r="F762" s="1" t="s">
        <v>367</v>
      </c>
      <c r="G762" s="3">
        <v>77</v>
      </c>
      <c r="H762" s="4">
        <v>2</v>
      </c>
      <c r="I762" s="5">
        <v>187.88</v>
      </c>
      <c r="J762" s="5">
        <v>0</v>
      </c>
      <c r="K762" s="1" t="s">
        <v>36</v>
      </c>
      <c r="L762" s="1" t="s">
        <v>75</v>
      </c>
      <c r="M762" s="1" t="s">
        <v>51</v>
      </c>
      <c r="N762" s="3">
        <v>77</v>
      </c>
      <c r="O762" s="6">
        <f>Table1[[#This Row],[Invoice Qty]]-Table1[[#This Row],[ExFactory Qty]]</f>
        <v>0</v>
      </c>
      <c r="P762" s="1" t="s">
        <v>2271</v>
      </c>
      <c r="Q762" s="2">
        <v>46289.370057870401</v>
      </c>
      <c r="S762" s="1" t="s">
        <v>39</v>
      </c>
      <c r="U762" s="1" t="s">
        <v>40</v>
      </c>
      <c r="V762" s="1" t="s">
        <v>77</v>
      </c>
      <c r="W762" s="1" t="s">
        <v>40</v>
      </c>
      <c r="X762" s="1" t="s">
        <v>40</v>
      </c>
      <c r="AA762" s="1" t="s">
        <v>2272</v>
      </c>
      <c r="AB762" s="2">
        <v>46289</v>
      </c>
      <c r="AC762" s="2">
        <v>46289.674560185202</v>
      </c>
      <c r="AE762" s="1" t="s">
        <v>40</v>
      </c>
      <c r="AF762" s="1" t="s">
        <v>79</v>
      </c>
    </row>
    <row r="763" spans="1:32" ht="12.75" hidden="1" customHeight="1" x14ac:dyDescent="0.2">
      <c r="A763" s="1" t="s">
        <v>86</v>
      </c>
      <c r="B763" s="1" t="s">
        <v>2273</v>
      </c>
      <c r="C763" s="1" t="s">
        <v>71</v>
      </c>
      <c r="D763" s="1" t="s">
        <v>72</v>
      </c>
      <c r="E763" s="1" t="s">
        <v>1851</v>
      </c>
      <c r="F763" s="1" t="s">
        <v>986</v>
      </c>
      <c r="G763" s="3">
        <v>36</v>
      </c>
      <c r="H763" s="4">
        <v>1</v>
      </c>
      <c r="I763" s="5">
        <v>87.84</v>
      </c>
      <c r="J763" s="5">
        <v>0</v>
      </c>
      <c r="K763" s="1" t="s">
        <v>36</v>
      </c>
      <c r="L763" s="1" t="s">
        <v>75</v>
      </c>
      <c r="M763" s="1" t="s">
        <v>51</v>
      </c>
      <c r="N763" s="3">
        <v>36</v>
      </c>
      <c r="O763" s="6">
        <f>Table1[[#This Row],[Invoice Qty]]-Table1[[#This Row],[ExFactory Qty]]</f>
        <v>0</v>
      </c>
      <c r="P763" s="1" t="s">
        <v>2264</v>
      </c>
      <c r="Q763" s="2">
        <v>46289.370578703703</v>
      </c>
      <c r="S763" s="1" t="s">
        <v>39</v>
      </c>
      <c r="U763" s="1" t="s">
        <v>40</v>
      </c>
      <c r="V763" s="1" t="s">
        <v>77</v>
      </c>
      <c r="W763" s="1" t="s">
        <v>40</v>
      </c>
      <c r="X763" s="1" t="s">
        <v>40</v>
      </c>
      <c r="AA763" s="1" t="s">
        <v>2274</v>
      </c>
      <c r="AB763" s="2">
        <v>46289</v>
      </c>
      <c r="AC763" s="2">
        <v>46289.674560185202</v>
      </c>
      <c r="AE763" s="1" t="s">
        <v>40</v>
      </c>
      <c r="AF763" s="1" t="s">
        <v>79</v>
      </c>
    </row>
    <row r="764" spans="1:32" ht="12.75" hidden="1" customHeight="1" x14ac:dyDescent="0.2">
      <c r="A764" s="1" t="s">
        <v>86</v>
      </c>
      <c r="B764" s="1" t="s">
        <v>2275</v>
      </c>
      <c r="C764" s="1" t="s">
        <v>71</v>
      </c>
      <c r="D764" s="1" t="s">
        <v>323</v>
      </c>
      <c r="E764" s="1" t="s">
        <v>1643</v>
      </c>
      <c r="F764" s="1" t="s">
        <v>398</v>
      </c>
      <c r="G764" s="3">
        <v>276</v>
      </c>
      <c r="H764" s="4">
        <v>6</v>
      </c>
      <c r="I764" s="5">
        <v>880.44</v>
      </c>
      <c r="J764" s="5">
        <v>0</v>
      </c>
      <c r="K764" s="1" t="s">
        <v>36</v>
      </c>
      <c r="L764" s="1" t="s">
        <v>75</v>
      </c>
      <c r="M764" s="1" t="s">
        <v>51</v>
      </c>
      <c r="N764" s="3">
        <v>276</v>
      </c>
      <c r="O764" s="6">
        <f>Table1[[#This Row],[Invoice Qty]]-Table1[[#This Row],[ExFactory Qty]]</f>
        <v>0</v>
      </c>
      <c r="P764" s="1" t="s">
        <v>2268</v>
      </c>
      <c r="Q764" s="2">
        <v>46289.371550925898</v>
      </c>
      <c r="S764" s="1" t="s">
        <v>39</v>
      </c>
      <c r="U764" s="1" t="s">
        <v>40</v>
      </c>
      <c r="V764" s="1" t="s">
        <v>77</v>
      </c>
      <c r="W764" s="1" t="s">
        <v>40</v>
      </c>
      <c r="X764" s="1" t="s">
        <v>40</v>
      </c>
      <c r="AA764" s="1" t="s">
        <v>2276</v>
      </c>
      <c r="AB764" s="2">
        <v>46289</v>
      </c>
      <c r="AC764" s="2">
        <v>46289.674560185202</v>
      </c>
      <c r="AE764" s="1" t="s">
        <v>40</v>
      </c>
      <c r="AF764" s="1" t="s">
        <v>326</v>
      </c>
    </row>
    <row r="765" spans="1:32" ht="12.75" hidden="1" customHeight="1" x14ac:dyDescent="0.2">
      <c r="A765" s="1" t="s">
        <v>86</v>
      </c>
      <c r="B765" s="1" t="s">
        <v>2277</v>
      </c>
      <c r="C765" s="1" t="s">
        <v>71</v>
      </c>
      <c r="D765" s="1" t="s">
        <v>323</v>
      </c>
      <c r="E765" s="1" t="s">
        <v>1867</v>
      </c>
      <c r="F765" s="1" t="s">
        <v>384</v>
      </c>
      <c r="G765" s="3">
        <v>6342</v>
      </c>
      <c r="H765" s="4">
        <v>77</v>
      </c>
      <c r="I765" s="5">
        <v>18708.900000000001</v>
      </c>
      <c r="J765" s="5">
        <v>0</v>
      </c>
      <c r="K765" s="1" t="s">
        <v>36</v>
      </c>
      <c r="L765" s="1" t="s">
        <v>75</v>
      </c>
      <c r="M765" s="1" t="s">
        <v>51</v>
      </c>
      <c r="N765" s="3">
        <v>6342</v>
      </c>
      <c r="O765" s="6">
        <f>Table1[[#This Row],[Invoice Qty]]-Table1[[#This Row],[ExFactory Qty]]</f>
        <v>0</v>
      </c>
      <c r="P765" s="1" t="s">
        <v>2278</v>
      </c>
      <c r="Q765" s="2">
        <v>46289.371689814798</v>
      </c>
      <c r="S765" s="1" t="s">
        <v>39</v>
      </c>
      <c r="U765" s="1" t="s">
        <v>40</v>
      </c>
      <c r="V765" s="1" t="s">
        <v>77</v>
      </c>
      <c r="W765" s="1" t="s">
        <v>40</v>
      </c>
      <c r="X765" s="1" t="s">
        <v>40</v>
      </c>
      <c r="AA765" s="1" t="s">
        <v>2279</v>
      </c>
      <c r="AB765" s="2">
        <v>46289</v>
      </c>
      <c r="AC765" s="2">
        <v>46289</v>
      </c>
      <c r="AE765" s="1" t="s">
        <v>40</v>
      </c>
      <c r="AF765" s="1" t="s">
        <v>326</v>
      </c>
    </row>
    <row r="766" spans="1:32" ht="12.75" hidden="1" customHeight="1" x14ac:dyDescent="0.2">
      <c r="A766" s="1" t="s">
        <v>86</v>
      </c>
      <c r="B766" s="1" t="s">
        <v>2280</v>
      </c>
      <c r="C766" s="1" t="s">
        <v>71</v>
      </c>
      <c r="D766" s="1" t="s">
        <v>457</v>
      </c>
      <c r="E766" s="1" t="s">
        <v>2281</v>
      </c>
      <c r="F766" s="1" t="s">
        <v>345</v>
      </c>
      <c r="G766" s="3">
        <v>918</v>
      </c>
      <c r="H766" s="4">
        <v>13</v>
      </c>
      <c r="I766" s="5">
        <v>2781.54</v>
      </c>
      <c r="J766" s="5">
        <v>0</v>
      </c>
      <c r="K766" s="1" t="s">
        <v>36</v>
      </c>
      <c r="L766" s="1" t="s">
        <v>75</v>
      </c>
      <c r="M766" s="1" t="s">
        <v>51</v>
      </c>
      <c r="N766" s="3">
        <v>918</v>
      </c>
      <c r="O766" s="6">
        <f>Table1[[#This Row],[Invoice Qty]]-Table1[[#This Row],[ExFactory Qty]]</f>
        <v>0</v>
      </c>
      <c r="P766" s="1" t="s">
        <v>2268</v>
      </c>
      <c r="Q766" s="2">
        <v>46289.371550925898</v>
      </c>
      <c r="S766" s="1" t="s">
        <v>39</v>
      </c>
      <c r="U766" s="1" t="s">
        <v>40</v>
      </c>
      <c r="V766" s="1" t="s">
        <v>77</v>
      </c>
      <c r="W766" s="1" t="s">
        <v>40</v>
      </c>
      <c r="X766" s="1" t="s">
        <v>40</v>
      </c>
      <c r="AA766" s="1" t="s">
        <v>2282</v>
      </c>
      <c r="AB766" s="2">
        <v>46289</v>
      </c>
      <c r="AC766" s="2">
        <v>46289.674560185202</v>
      </c>
      <c r="AE766" s="1" t="s">
        <v>40</v>
      </c>
      <c r="AF766" s="1" t="s">
        <v>326</v>
      </c>
    </row>
    <row r="767" spans="1:32" ht="12.75" hidden="1" customHeight="1" x14ac:dyDescent="0.2">
      <c r="A767" s="1" t="s">
        <v>86</v>
      </c>
      <c r="B767" s="1" t="s">
        <v>2283</v>
      </c>
      <c r="C767" s="1" t="s">
        <v>71</v>
      </c>
      <c r="D767" s="1" t="s">
        <v>457</v>
      </c>
      <c r="E767" s="1" t="s">
        <v>1224</v>
      </c>
      <c r="F767" s="1" t="s">
        <v>252</v>
      </c>
      <c r="G767" s="3">
        <v>113</v>
      </c>
      <c r="H767" s="4">
        <v>3</v>
      </c>
      <c r="I767" s="5">
        <v>341.26</v>
      </c>
      <c r="J767" s="5">
        <v>0</v>
      </c>
      <c r="K767" s="1" t="s">
        <v>36</v>
      </c>
      <c r="L767" s="1" t="s">
        <v>75</v>
      </c>
      <c r="M767" s="1" t="s">
        <v>51</v>
      </c>
      <c r="N767" s="3">
        <v>113</v>
      </c>
      <c r="O767" s="6">
        <f>Table1[[#This Row],[Invoice Qty]]-Table1[[#This Row],[ExFactory Qty]]</f>
        <v>0</v>
      </c>
      <c r="P767" s="1" t="s">
        <v>2264</v>
      </c>
      <c r="Q767" s="2">
        <v>46289.370578703703</v>
      </c>
      <c r="S767" s="1" t="s">
        <v>39</v>
      </c>
      <c r="U767" s="1" t="s">
        <v>40</v>
      </c>
      <c r="V767" s="1" t="s">
        <v>77</v>
      </c>
      <c r="W767" s="1" t="s">
        <v>40</v>
      </c>
      <c r="X767" s="1" t="s">
        <v>40</v>
      </c>
      <c r="AA767" s="1" t="s">
        <v>2284</v>
      </c>
      <c r="AB767" s="2">
        <v>46289</v>
      </c>
      <c r="AC767" s="2">
        <v>46289.674560185202</v>
      </c>
      <c r="AE767" s="1" t="s">
        <v>40</v>
      </c>
      <c r="AF767" s="1" t="s">
        <v>326</v>
      </c>
    </row>
    <row r="768" spans="1:32" ht="12.75" hidden="1" customHeight="1" x14ac:dyDescent="0.2">
      <c r="A768" s="1" t="s">
        <v>86</v>
      </c>
      <c r="B768" s="1" t="s">
        <v>2285</v>
      </c>
      <c r="C768" s="1" t="s">
        <v>71</v>
      </c>
      <c r="D768" s="1" t="s">
        <v>457</v>
      </c>
      <c r="E768" s="1" t="s">
        <v>1224</v>
      </c>
      <c r="F768" s="1" t="s">
        <v>384</v>
      </c>
      <c r="G768" s="3">
        <v>349</v>
      </c>
      <c r="H768" s="4">
        <v>7</v>
      </c>
      <c r="I768" s="5">
        <v>1053.98</v>
      </c>
      <c r="J768" s="5">
        <v>0</v>
      </c>
      <c r="K768" s="1" t="s">
        <v>36</v>
      </c>
      <c r="L768" s="1" t="s">
        <v>75</v>
      </c>
      <c r="M768" s="1" t="s">
        <v>51</v>
      </c>
      <c r="N768" s="3">
        <v>349</v>
      </c>
      <c r="O768" s="6">
        <f>Table1[[#This Row],[Invoice Qty]]-Table1[[#This Row],[ExFactory Qty]]</f>
        <v>0</v>
      </c>
      <c r="P768" s="1" t="s">
        <v>2278</v>
      </c>
      <c r="Q768" s="2">
        <v>46289.371689814798</v>
      </c>
      <c r="S768" s="1" t="s">
        <v>39</v>
      </c>
      <c r="U768" s="1" t="s">
        <v>40</v>
      </c>
      <c r="V768" s="1" t="s">
        <v>77</v>
      </c>
      <c r="W768" s="1" t="s">
        <v>40</v>
      </c>
      <c r="X768" s="1" t="s">
        <v>40</v>
      </c>
      <c r="AA768" s="1" t="s">
        <v>2286</v>
      </c>
      <c r="AB768" s="2">
        <v>46289</v>
      </c>
      <c r="AC768" s="2">
        <v>46289.674560185202</v>
      </c>
      <c r="AE768" s="1" t="s">
        <v>40</v>
      </c>
      <c r="AF768" s="1" t="s">
        <v>326</v>
      </c>
    </row>
    <row r="769" spans="1:32" ht="12.75" hidden="1" customHeight="1" x14ac:dyDescent="0.2">
      <c r="A769" s="1" t="s">
        <v>86</v>
      </c>
      <c r="B769" s="1" t="s">
        <v>2287</v>
      </c>
      <c r="C769" s="1" t="s">
        <v>71</v>
      </c>
      <c r="D769" s="1" t="s">
        <v>457</v>
      </c>
      <c r="E769" s="1" t="s">
        <v>1224</v>
      </c>
      <c r="F769" s="1" t="s">
        <v>384</v>
      </c>
      <c r="G769" s="3">
        <v>376</v>
      </c>
      <c r="H769" s="4">
        <v>7</v>
      </c>
      <c r="I769" s="5">
        <v>1135.52</v>
      </c>
      <c r="J769" s="5">
        <v>0</v>
      </c>
      <c r="K769" s="1" t="s">
        <v>36</v>
      </c>
      <c r="L769" s="1" t="s">
        <v>75</v>
      </c>
      <c r="M769" s="1" t="s">
        <v>51</v>
      </c>
      <c r="N769" s="3">
        <v>376</v>
      </c>
      <c r="O769" s="6">
        <f>Table1[[#This Row],[Invoice Qty]]-Table1[[#This Row],[ExFactory Qty]]</f>
        <v>0</v>
      </c>
      <c r="P769" s="1" t="s">
        <v>2278</v>
      </c>
      <c r="Q769" s="2">
        <v>46289.371689814798</v>
      </c>
      <c r="S769" s="1" t="s">
        <v>39</v>
      </c>
      <c r="U769" s="1" t="s">
        <v>40</v>
      </c>
      <c r="V769" s="1" t="s">
        <v>77</v>
      </c>
      <c r="W769" s="1" t="s">
        <v>40</v>
      </c>
      <c r="X769" s="1" t="s">
        <v>40</v>
      </c>
      <c r="AA769" s="1" t="s">
        <v>2288</v>
      </c>
      <c r="AB769" s="2">
        <v>46289</v>
      </c>
      <c r="AC769" s="2">
        <v>46289.674560185202</v>
      </c>
      <c r="AE769" s="1" t="s">
        <v>40</v>
      </c>
      <c r="AF769" s="1" t="s">
        <v>326</v>
      </c>
    </row>
    <row r="770" spans="1:32" ht="12.75" hidden="1" customHeight="1" x14ac:dyDescent="0.2">
      <c r="A770" s="1" t="s">
        <v>86</v>
      </c>
      <c r="B770" s="1" t="s">
        <v>2289</v>
      </c>
      <c r="C770" s="1" t="s">
        <v>71</v>
      </c>
      <c r="D770" s="1" t="s">
        <v>323</v>
      </c>
      <c r="E770" s="1" t="s">
        <v>1861</v>
      </c>
      <c r="F770" s="1" t="s">
        <v>372</v>
      </c>
      <c r="G770" s="3">
        <v>599</v>
      </c>
      <c r="H770" s="4">
        <v>9</v>
      </c>
      <c r="I770" s="5">
        <v>1767.05</v>
      </c>
      <c r="J770" s="5">
        <v>0</v>
      </c>
      <c r="K770" s="1" t="s">
        <v>36</v>
      </c>
      <c r="L770" s="1" t="s">
        <v>75</v>
      </c>
      <c r="M770" s="1" t="s">
        <v>51</v>
      </c>
      <c r="N770" s="3">
        <v>599</v>
      </c>
      <c r="O770" s="6">
        <f>Table1[[#This Row],[Invoice Qty]]-Table1[[#This Row],[ExFactory Qty]]</f>
        <v>0</v>
      </c>
      <c r="P770" s="1" t="s">
        <v>2271</v>
      </c>
      <c r="Q770" s="2">
        <v>46289.370057870401</v>
      </c>
      <c r="S770" s="1" t="s">
        <v>39</v>
      </c>
      <c r="U770" s="1" t="s">
        <v>40</v>
      </c>
      <c r="V770" s="1" t="s">
        <v>77</v>
      </c>
      <c r="W770" s="1" t="s">
        <v>40</v>
      </c>
      <c r="X770" s="1" t="s">
        <v>40</v>
      </c>
      <c r="AA770" s="1" t="s">
        <v>2290</v>
      </c>
      <c r="AB770" s="2">
        <v>46289</v>
      </c>
      <c r="AC770" s="2">
        <v>46289</v>
      </c>
      <c r="AE770" s="1" t="s">
        <v>40</v>
      </c>
      <c r="AF770" s="1" t="s">
        <v>326</v>
      </c>
    </row>
    <row r="771" spans="1:32" ht="12.75" hidden="1" customHeight="1" x14ac:dyDescent="0.2">
      <c r="A771" s="1" t="s">
        <v>86</v>
      </c>
      <c r="B771" s="1" t="s">
        <v>2291</v>
      </c>
      <c r="C771" s="1" t="s">
        <v>199</v>
      </c>
      <c r="D771" s="1" t="s">
        <v>850</v>
      </c>
      <c r="E771" s="1" t="s">
        <v>2292</v>
      </c>
      <c r="F771" s="1" t="s">
        <v>183</v>
      </c>
      <c r="G771" s="3">
        <v>2368</v>
      </c>
      <c r="H771" s="4">
        <v>110</v>
      </c>
      <c r="I771" s="5">
        <v>12668.8</v>
      </c>
      <c r="J771" s="5">
        <v>0</v>
      </c>
      <c r="K771" s="1" t="s">
        <v>36</v>
      </c>
      <c r="L771" s="1" t="s">
        <v>51</v>
      </c>
      <c r="M771" s="1" t="s">
        <v>51</v>
      </c>
      <c r="N771" s="3">
        <v>2368</v>
      </c>
      <c r="O771" s="6">
        <f>Table1[[#This Row],[Invoice Qty]]-Table1[[#This Row],[ExFactory Qty]]</f>
        <v>0</v>
      </c>
      <c r="P771" s="1" t="s">
        <v>2293</v>
      </c>
      <c r="Q771" s="2">
        <v>46291.516782407401</v>
      </c>
      <c r="S771" s="1" t="s">
        <v>39</v>
      </c>
      <c r="U771" s="1" t="s">
        <v>40</v>
      </c>
      <c r="V771" s="1" t="s">
        <v>532</v>
      </c>
      <c r="W771" s="1" t="s">
        <v>40</v>
      </c>
      <c r="X771" s="1" t="s">
        <v>40</v>
      </c>
      <c r="AA771" s="1" t="s">
        <v>2294</v>
      </c>
      <c r="AB771" s="2">
        <v>46292</v>
      </c>
      <c r="AC771" s="2">
        <v>46291</v>
      </c>
      <c r="AE771" s="1" t="s">
        <v>40</v>
      </c>
      <c r="AF771" s="1" t="s">
        <v>167</v>
      </c>
    </row>
    <row r="772" spans="1:32" ht="12.75" hidden="1" customHeight="1" x14ac:dyDescent="0.2">
      <c r="A772" s="1" t="s">
        <v>86</v>
      </c>
      <c r="B772" s="1" t="s">
        <v>2295</v>
      </c>
      <c r="C772" s="1" t="s">
        <v>199</v>
      </c>
      <c r="D772" s="1" t="s">
        <v>850</v>
      </c>
      <c r="E772" s="1" t="s">
        <v>2296</v>
      </c>
      <c r="F772" s="1" t="s">
        <v>183</v>
      </c>
      <c r="G772" s="3">
        <v>1013</v>
      </c>
      <c r="H772" s="4">
        <v>54</v>
      </c>
      <c r="I772" s="5">
        <v>7952.05</v>
      </c>
      <c r="J772" s="5">
        <v>0</v>
      </c>
      <c r="K772" s="1" t="s">
        <v>36</v>
      </c>
      <c r="L772" s="1" t="s">
        <v>51</v>
      </c>
      <c r="M772" s="1" t="s">
        <v>51</v>
      </c>
      <c r="N772" s="3">
        <v>1013</v>
      </c>
      <c r="O772" s="6">
        <f>Table1[[#This Row],[Invoice Qty]]-Table1[[#This Row],[ExFactory Qty]]</f>
        <v>0</v>
      </c>
      <c r="P772" s="1" t="s">
        <v>2293</v>
      </c>
      <c r="Q772" s="2">
        <v>46291.516782407401</v>
      </c>
      <c r="S772" s="1" t="s">
        <v>39</v>
      </c>
      <c r="U772" s="1" t="s">
        <v>40</v>
      </c>
      <c r="V772" s="1" t="s">
        <v>532</v>
      </c>
      <c r="W772" s="1" t="s">
        <v>40</v>
      </c>
      <c r="X772" s="1" t="s">
        <v>40</v>
      </c>
      <c r="AA772" s="1" t="s">
        <v>2297</v>
      </c>
      <c r="AB772" s="2">
        <v>46292</v>
      </c>
      <c r="AC772" s="2">
        <v>46291</v>
      </c>
      <c r="AE772" s="1" t="s">
        <v>40</v>
      </c>
      <c r="AF772" s="1" t="s">
        <v>167</v>
      </c>
    </row>
    <row r="773" spans="1:32" ht="12.75" hidden="1" customHeight="1" x14ac:dyDescent="0.2">
      <c r="A773" s="1" t="s">
        <v>86</v>
      </c>
      <c r="B773" s="1" t="s">
        <v>2298</v>
      </c>
      <c r="C773" s="1" t="s">
        <v>146</v>
      </c>
      <c r="D773" s="1" t="s">
        <v>147</v>
      </c>
      <c r="E773" s="1" t="s">
        <v>2299</v>
      </c>
      <c r="F773" s="1" t="s">
        <v>2300</v>
      </c>
      <c r="G773" s="3">
        <v>111</v>
      </c>
      <c r="H773" s="4">
        <v>5</v>
      </c>
      <c r="I773" s="5">
        <v>336.59</v>
      </c>
      <c r="J773" s="5">
        <v>14.02</v>
      </c>
      <c r="K773" s="1" t="s">
        <v>36</v>
      </c>
      <c r="L773" s="1" t="s">
        <v>37</v>
      </c>
      <c r="M773" s="1" t="s">
        <v>37</v>
      </c>
      <c r="N773" s="3">
        <v>111</v>
      </c>
      <c r="O773" s="6">
        <f>Table1[[#This Row],[Invoice Qty]]-Table1[[#This Row],[ExFactory Qty]]</f>
        <v>0</v>
      </c>
      <c r="P773" s="1" t="s">
        <v>2301</v>
      </c>
      <c r="Q773" s="2">
        <v>46291.627581018503</v>
      </c>
      <c r="S773" s="1" t="s">
        <v>39</v>
      </c>
      <c r="U773" s="1" t="s">
        <v>40</v>
      </c>
      <c r="V773" s="1" t="s">
        <v>64</v>
      </c>
      <c r="W773" s="1" t="s">
        <v>40</v>
      </c>
      <c r="X773" s="1" t="s">
        <v>40</v>
      </c>
      <c r="AA773" s="1" t="s">
        <v>2302</v>
      </c>
      <c r="AB773" s="2">
        <v>46291</v>
      </c>
      <c r="AC773" s="2">
        <v>46291</v>
      </c>
      <c r="AE773" s="1" t="s">
        <v>40</v>
      </c>
      <c r="AF773" s="1" t="s">
        <v>43</v>
      </c>
    </row>
    <row r="774" spans="1:32" ht="12.75" hidden="1" customHeight="1" x14ac:dyDescent="0.2">
      <c r="A774" s="1" t="s">
        <v>86</v>
      </c>
      <c r="B774" s="1" t="s">
        <v>2303</v>
      </c>
      <c r="C774" s="1" t="s">
        <v>146</v>
      </c>
      <c r="D774" s="1" t="s">
        <v>147</v>
      </c>
      <c r="E774" s="1" t="s">
        <v>2304</v>
      </c>
      <c r="F774" s="1" t="s">
        <v>540</v>
      </c>
      <c r="G774" s="3">
        <v>404</v>
      </c>
      <c r="H774" s="4">
        <v>5</v>
      </c>
      <c r="I774" s="5">
        <v>1209.04</v>
      </c>
      <c r="J774" s="5">
        <v>50.38</v>
      </c>
      <c r="K774" s="1" t="s">
        <v>36</v>
      </c>
      <c r="L774" s="1" t="s">
        <v>37</v>
      </c>
      <c r="M774" s="1" t="s">
        <v>37</v>
      </c>
      <c r="N774" s="3">
        <v>404</v>
      </c>
      <c r="O774" s="6">
        <f>Table1[[#This Row],[Invoice Qty]]-Table1[[#This Row],[ExFactory Qty]]</f>
        <v>0</v>
      </c>
      <c r="P774" s="1" t="s">
        <v>2301</v>
      </c>
      <c r="Q774" s="2">
        <v>46291.627581018503</v>
      </c>
      <c r="S774" s="1" t="s">
        <v>39</v>
      </c>
      <c r="U774" s="1" t="s">
        <v>40</v>
      </c>
      <c r="V774" s="1" t="s">
        <v>64</v>
      </c>
      <c r="W774" s="1" t="s">
        <v>40</v>
      </c>
      <c r="X774" s="1" t="s">
        <v>40</v>
      </c>
      <c r="AA774" s="1" t="s">
        <v>2305</v>
      </c>
      <c r="AB774" s="2">
        <v>46291</v>
      </c>
      <c r="AC774" s="2">
        <v>46291</v>
      </c>
      <c r="AE774" s="1" t="s">
        <v>40</v>
      </c>
      <c r="AF774" s="1" t="s">
        <v>43</v>
      </c>
    </row>
    <row r="775" spans="1:32" ht="12.75" hidden="1" customHeight="1" x14ac:dyDescent="0.2">
      <c r="A775" s="1" t="s">
        <v>86</v>
      </c>
      <c r="B775" s="1" t="s">
        <v>2306</v>
      </c>
      <c r="C775" s="1" t="s">
        <v>146</v>
      </c>
      <c r="D775" s="1" t="s">
        <v>147</v>
      </c>
      <c r="E775" s="1" t="s">
        <v>2307</v>
      </c>
      <c r="F775" s="1" t="s">
        <v>124</v>
      </c>
      <c r="G775" s="3">
        <v>2817</v>
      </c>
      <c r="H775" s="4">
        <v>37</v>
      </c>
      <c r="I775" s="5">
        <v>8427.7999999999993</v>
      </c>
      <c r="J775" s="5">
        <v>351.16</v>
      </c>
      <c r="K775" s="1" t="s">
        <v>36</v>
      </c>
      <c r="L775" s="1" t="s">
        <v>37</v>
      </c>
      <c r="M775" s="1" t="s">
        <v>37</v>
      </c>
      <c r="N775" s="3">
        <v>2817</v>
      </c>
      <c r="O775" s="6">
        <f>Table1[[#This Row],[Invoice Qty]]-Table1[[#This Row],[ExFactory Qty]]</f>
        <v>0</v>
      </c>
      <c r="P775" s="1" t="s">
        <v>2308</v>
      </c>
      <c r="Q775" s="2">
        <v>46292.464803240699</v>
      </c>
      <c r="S775" s="1" t="s">
        <v>39</v>
      </c>
      <c r="U775" s="1" t="s">
        <v>40</v>
      </c>
      <c r="V775" s="1" t="s">
        <v>64</v>
      </c>
      <c r="W775" s="1" t="s">
        <v>40</v>
      </c>
      <c r="X775" s="1" t="s">
        <v>40</v>
      </c>
      <c r="AA775" s="1" t="s">
        <v>2309</v>
      </c>
      <c r="AB775" s="2">
        <v>46291</v>
      </c>
      <c r="AC775" s="2">
        <v>46291</v>
      </c>
      <c r="AE775" s="1" t="s">
        <v>40</v>
      </c>
      <c r="AF775" s="1" t="s">
        <v>43</v>
      </c>
    </row>
    <row r="776" spans="1:32" ht="12.75" hidden="1" customHeight="1" x14ac:dyDescent="0.2">
      <c r="A776" s="1" t="s">
        <v>86</v>
      </c>
      <c r="B776" s="1" t="s">
        <v>2310</v>
      </c>
      <c r="C776" s="1" t="s">
        <v>146</v>
      </c>
      <c r="D776" s="1" t="s">
        <v>147</v>
      </c>
      <c r="E776" s="1" t="s">
        <v>2311</v>
      </c>
      <c r="F776" s="1" t="s">
        <v>540</v>
      </c>
      <c r="G776" s="3">
        <v>296</v>
      </c>
      <c r="H776" s="4">
        <v>4</v>
      </c>
      <c r="I776" s="5">
        <v>1019.75</v>
      </c>
      <c r="J776" s="5">
        <v>42.49</v>
      </c>
      <c r="K776" s="1" t="s">
        <v>36</v>
      </c>
      <c r="L776" s="1" t="s">
        <v>37</v>
      </c>
      <c r="M776" s="1" t="s">
        <v>37</v>
      </c>
      <c r="N776" s="3">
        <v>296</v>
      </c>
      <c r="O776" s="6">
        <f>Table1[[#This Row],[Invoice Qty]]-Table1[[#This Row],[ExFactory Qty]]</f>
        <v>0</v>
      </c>
      <c r="P776" s="1" t="s">
        <v>2301</v>
      </c>
      <c r="Q776" s="2">
        <v>46291.627581018503</v>
      </c>
      <c r="S776" s="1" t="s">
        <v>39</v>
      </c>
      <c r="U776" s="1" t="s">
        <v>40</v>
      </c>
      <c r="V776" s="1" t="s">
        <v>64</v>
      </c>
      <c r="W776" s="1" t="s">
        <v>40</v>
      </c>
      <c r="X776" s="1" t="s">
        <v>40</v>
      </c>
      <c r="AA776" s="1" t="s">
        <v>2312</v>
      </c>
      <c r="AB776" s="2">
        <v>46292</v>
      </c>
      <c r="AC776" s="2">
        <v>46292</v>
      </c>
      <c r="AE776" s="1" t="s">
        <v>40</v>
      </c>
      <c r="AF776" s="1" t="s">
        <v>43</v>
      </c>
    </row>
    <row r="777" spans="1:32" ht="12.75" hidden="1" customHeight="1" x14ac:dyDescent="0.2">
      <c r="A777" s="1" t="s">
        <v>86</v>
      </c>
      <c r="B777" s="1" t="s">
        <v>2313</v>
      </c>
      <c r="C777" s="1" t="s">
        <v>146</v>
      </c>
      <c r="D777" s="1" t="s">
        <v>147</v>
      </c>
      <c r="E777" s="1" t="s">
        <v>2314</v>
      </c>
      <c r="F777" s="1" t="s">
        <v>2052</v>
      </c>
      <c r="G777" s="3">
        <v>722</v>
      </c>
      <c r="H777" s="4">
        <v>12</v>
      </c>
      <c r="I777" s="5">
        <v>2572.8200000000002</v>
      </c>
      <c r="J777" s="5">
        <v>107.2</v>
      </c>
      <c r="K777" s="1" t="s">
        <v>36</v>
      </c>
      <c r="L777" s="1" t="s">
        <v>37</v>
      </c>
      <c r="M777" s="1" t="s">
        <v>37</v>
      </c>
      <c r="N777" s="3">
        <v>722</v>
      </c>
      <c r="O777" s="6">
        <f>Table1[[#This Row],[Invoice Qty]]-Table1[[#This Row],[ExFactory Qty]]</f>
        <v>0</v>
      </c>
      <c r="P777" s="1" t="s">
        <v>2301</v>
      </c>
      <c r="Q777" s="2">
        <v>46291.627581018503</v>
      </c>
      <c r="S777" s="1" t="s">
        <v>39</v>
      </c>
      <c r="U777" s="1" t="s">
        <v>40</v>
      </c>
      <c r="V777" s="1" t="s">
        <v>64</v>
      </c>
      <c r="W777" s="1" t="s">
        <v>40</v>
      </c>
      <c r="X777" s="1" t="s">
        <v>40</v>
      </c>
      <c r="AA777" s="1" t="s">
        <v>2315</v>
      </c>
      <c r="AB777" s="2">
        <v>46292</v>
      </c>
      <c r="AC777" s="2">
        <v>46292</v>
      </c>
      <c r="AE777" s="1" t="s">
        <v>40</v>
      </c>
      <c r="AF777" s="1" t="s">
        <v>43</v>
      </c>
    </row>
    <row r="778" spans="1:32" ht="12.75" hidden="1" customHeight="1" x14ac:dyDescent="0.2">
      <c r="A778" s="1" t="s">
        <v>86</v>
      </c>
      <c r="B778" s="1" t="s">
        <v>2316</v>
      </c>
      <c r="C778" s="1" t="s">
        <v>146</v>
      </c>
      <c r="D778" s="1" t="s">
        <v>147</v>
      </c>
      <c r="E778" s="1" t="s">
        <v>2317</v>
      </c>
      <c r="F778" s="1" t="s">
        <v>2300</v>
      </c>
      <c r="G778" s="3">
        <v>333</v>
      </c>
      <c r="H778" s="4">
        <v>15</v>
      </c>
      <c r="I778" s="5">
        <v>1063.3</v>
      </c>
      <c r="J778" s="5">
        <v>44.3</v>
      </c>
      <c r="K778" s="1" t="s">
        <v>36</v>
      </c>
      <c r="L778" s="1" t="s">
        <v>37</v>
      </c>
      <c r="M778" s="1" t="s">
        <v>37</v>
      </c>
      <c r="N778" s="3">
        <v>333</v>
      </c>
      <c r="O778" s="6">
        <f>Table1[[#This Row],[Invoice Qty]]-Table1[[#This Row],[ExFactory Qty]]</f>
        <v>0</v>
      </c>
      <c r="P778" s="1" t="s">
        <v>2301</v>
      </c>
      <c r="Q778" s="2">
        <v>46291.627581018503</v>
      </c>
      <c r="S778" s="1" t="s">
        <v>39</v>
      </c>
      <c r="U778" s="1" t="s">
        <v>40</v>
      </c>
      <c r="V778" s="1" t="s">
        <v>64</v>
      </c>
      <c r="W778" s="1" t="s">
        <v>40</v>
      </c>
      <c r="X778" s="1" t="s">
        <v>40</v>
      </c>
      <c r="AA778" s="1" t="s">
        <v>2318</v>
      </c>
      <c r="AB778" s="2">
        <v>46292</v>
      </c>
      <c r="AC778" s="2">
        <v>46292</v>
      </c>
      <c r="AE778" s="1" t="s">
        <v>40</v>
      </c>
      <c r="AF778" s="1" t="s">
        <v>43</v>
      </c>
    </row>
    <row r="779" spans="1:32" ht="12.75" hidden="1" customHeight="1" x14ac:dyDescent="0.2">
      <c r="A779" s="1" t="s">
        <v>86</v>
      </c>
      <c r="B779" s="1" t="s">
        <v>2319</v>
      </c>
      <c r="C779" s="1" t="s">
        <v>46</v>
      </c>
      <c r="D779" s="1" t="s">
        <v>830</v>
      </c>
      <c r="E779" s="1" t="s">
        <v>2320</v>
      </c>
      <c r="F779" s="1" t="s">
        <v>49</v>
      </c>
      <c r="G779" s="3">
        <v>18509</v>
      </c>
      <c r="H779" s="4">
        <v>273</v>
      </c>
      <c r="I779" s="5">
        <v>52817.64</v>
      </c>
      <c r="J779" s="5">
        <v>0</v>
      </c>
      <c r="K779" s="1" t="s">
        <v>50</v>
      </c>
      <c r="L779" s="1" t="s">
        <v>51</v>
      </c>
      <c r="M779" s="1" t="s">
        <v>51</v>
      </c>
      <c r="N779" s="3">
        <v>18509</v>
      </c>
      <c r="O779" s="6">
        <f>Table1[[#This Row],[Invoice Qty]]-Table1[[#This Row],[ExFactory Qty]]</f>
        <v>0</v>
      </c>
      <c r="P779" s="1" t="s">
        <v>2321</v>
      </c>
      <c r="Q779" s="2">
        <v>46292.599421296298</v>
      </c>
      <c r="S779" s="1" t="s">
        <v>39</v>
      </c>
      <c r="U779" s="1" t="s">
        <v>40</v>
      </c>
      <c r="V779" s="1" t="s">
        <v>55</v>
      </c>
      <c r="W779" s="1" t="s">
        <v>40</v>
      </c>
      <c r="X779" s="1" t="s">
        <v>40</v>
      </c>
      <c r="AA779" s="1" t="s">
        <v>2322</v>
      </c>
      <c r="AB779" s="2">
        <v>46292</v>
      </c>
      <c r="AC779" s="2">
        <v>46292</v>
      </c>
      <c r="AE779" s="1" t="s">
        <v>40</v>
      </c>
      <c r="AF779" s="1" t="s">
        <v>43</v>
      </c>
    </row>
    <row r="780" spans="1:32" ht="12.75" hidden="1" customHeight="1" x14ac:dyDescent="0.2">
      <c r="A780" s="1" t="s">
        <v>86</v>
      </c>
      <c r="B780" s="1" t="s">
        <v>2323</v>
      </c>
      <c r="C780" s="1" t="s">
        <v>71</v>
      </c>
      <c r="D780" s="1" t="s">
        <v>72</v>
      </c>
      <c r="E780" s="1" t="s">
        <v>912</v>
      </c>
      <c r="F780" s="1" t="s">
        <v>615</v>
      </c>
      <c r="G780" s="3">
        <v>570</v>
      </c>
      <c r="H780" s="4">
        <v>8</v>
      </c>
      <c r="I780" s="5">
        <v>1641.6</v>
      </c>
      <c r="J780" s="5">
        <v>0</v>
      </c>
      <c r="K780" s="1" t="s">
        <v>36</v>
      </c>
      <c r="L780" s="1" t="s">
        <v>75</v>
      </c>
      <c r="M780" s="1" t="s">
        <v>75</v>
      </c>
      <c r="N780" s="3">
        <v>570</v>
      </c>
      <c r="O780" s="6">
        <f>Table1[[#This Row],[Invoice Qty]]-Table1[[#This Row],[ExFactory Qty]]</f>
        <v>0</v>
      </c>
      <c r="P780" s="1" t="s">
        <v>2324</v>
      </c>
      <c r="Q780" s="2">
        <v>46292.357326388897</v>
      </c>
      <c r="S780" s="1" t="s">
        <v>39</v>
      </c>
      <c r="U780" s="1" t="s">
        <v>40</v>
      </c>
      <c r="V780" s="1" t="s">
        <v>77</v>
      </c>
      <c r="W780" s="1" t="s">
        <v>40</v>
      </c>
      <c r="X780" s="1" t="s">
        <v>40</v>
      </c>
      <c r="AA780" s="1" t="s">
        <v>2325</v>
      </c>
      <c r="AB780" s="2">
        <v>46292</v>
      </c>
      <c r="AC780" s="2">
        <v>46292</v>
      </c>
      <c r="AE780" s="1" t="s">
        <v>40</v>
      </c>
      <c r="AF780" s="1" t="s">
        <v>79</v>
      </c>
    </row>
    <row r="781" spans="1:32" ht="12.75" hidden="1" customHeight="1" x14ac:dyDescent="0.2">
      <c r="A781" s="1" t="s">
        <v>86</v>
      </c>
      <c r="B781" s="1" t="s">
        <v>2326</v>
      </c>
      <c r="C781" s="1" t="s">
        <v>71</v>
      </c>
      <c r="D781" s="1" t="s">
        <v>365</v>
      </c>
      <c r="E781" s="1" t="s">
        <v>647</v>
      </c>
      <c r="F781" s="1" t="s">
        <v>134</v>
      </c>
      <c r="G781" s="3">
        <v>51</v>
      </c>
      <c r="H781" s="4">
        <v>1</v>
      </c>
      <c r="I781" s="5">
        <v>293.76</v>
      </c>
      <c r="J781" s="5">
        <v>0</v>
      </c>
      <c r="K781" s="1" t="s">
        <v>36</v>
      </c>
      <c r="L781" s="1" t="s">
        <v>75</v>
      </c>
      <c r="M781" s="1" t="s">
        <v>75</v>
      </c>
      <c r="N781" s="3">
        <v>51</v>
      </c>
      <c r="O781" s="6">
        <f>Table1[[#This Row],[Invoice Qty]]-Table1[[#This Row],[ExFactory Qty]]</f>
        <v>0</v>
      </c>
      <c r="P781" s="1" t="s">
        <v>2327</v>
      </c>
      <c r="Q781" s="2">
        <v>46292.405717592599</v>
      </c>
      <c r="S781" s="1" t="s">
        <v>39</v>
      </c>
      <c r="U781" s="1" t="s">
        <v>40</v>
      </c>
      <c r="V781" s="1" t="s">
        <v>77</v>
      </c>
      <c r="W781" s="1" t="s">
        <v>40</v>
      </c>
      <c r="X781" s="1" t="s">
        <v>40</v>
      </c>
      <c r="AA781" s="1" t="s">
        <v>2328</v>
      </c>
      <c r="AB781" s="2">
        <v>46292</v>
      </c>
      <c r="AC781" s="2">
        <v>46292.469490740703</v>
      </c>
      <c r="AE781" s="1" t="s">
        <v>40</v>
      </c>
      <c r="AF781" s="1" t="s">
        <v>40</v>
      </c>
    </row>
    <row r="782" spans="1:32" ht="12.75" hidden="1" customHeight="1" x14ac:dyDescent="0.2">
      <c r="A782" s="1" t="s">
        <v>86</v>
      </c>
      <c r="B782" s="1" t="s">
        <v>2329</v>
      </c>
      <c r="C782" s="1" t="s">
        <v>71</v>
      </c>
      <c r="D782" s="1" t="s">
        <v>365</v>
      </c>
      <c r="E782" s="1" t="s">
        <v>647</v>
      </c>
      <c r="F782" s="1" t="s">
        <v>713</v>
      </c>
      <c r="G782" s="3">
        <v>109</v>
      </c>
      <c r="H782" s="4">
        <v>2</v>
      </c>
      <c r="I782" s="5">
        <v>627.84</v>
      </c>
      <c r="J782" s="5">
        <v>0</v>
      </c>
      <c r="K782" s="1" t="s">
        <v>36</v>
      </c>
      <c r="L782" s="1" t="s">
        <v>75</v>
      </c>
      <c r="M782" s="1" t="s">
        <v>75</v>
      </c>
      <c r="N782" s="3">
        <v>109</v>
      </c>
      <c r="O782" s="6">
        <f>Table1[[#This Row],[Invoice Qty]]-Table1[[#This Row],[ExFactory Qty]]</f>
        <v>0</v>
      </c>
      <c r="P782" s="1" t="s">
        <v>2324</v>
      </c>
      <c r="Q782" s="2">
        <v>46292.357326388897</v>
      </c>
      <c r="S782" s="1" t="s">
        <v>39</v>
      </c>
      <c r="U782" s="1" t="s">
        <v>40</v>
      </c>
      <c r="V782" s="1" t="s">
        <v>77</v>
      </c>
      <c r="W782" s="1" t="s">
        <v>40</v>
      </c>
      <c r="X782" s="1" t="s">
        <v>40</v>
      </c>
      <c r="AA782" s="1" t="s">
        <v>2330</v>
      </c>
      <c r="AB782" s="2">
        <v>46292</v>
      </c>
      <c r="AC782" s="2">
        <v>46292.469490740703</v>
      </c>
      <c r="AE782" s="1" t="s">
        <v>40</v>
      </c>
      <c r="AF782" s="1" t="s">
        <v>40</v>
      </c>
    </row>
    <row r="783" spans="1:32" ht="12.75" hidden="1" customHeight="1" x14ac:dyDescent="0.2">
      <c r="A783" s="1" t="s">
        <v>86</v>
      </c>
      <c r="B783" s="1" t="s">
        <v>2331</v>
      </c>
      <c r="C783" s="1" t="s">
        <v>71</v>
      </c>
      <c r="D783" s="1" t="s">
        <v>72</v>
      </c>
      <c r="E783" s="1" t="s">
        <v>2228</v>
      </c>
      <c r="F783" s="1" t="s">
        <v>615</v>
      </c>
      <c r="G783" s="3">
        <v>200</v>
      </c>
      <c r="H783" s="4">
        <v>3</v>
      </c>
      <c r="I783" s="5">
        <v>476</v>
      </c>
      <c r="J783" s="5">
        <v>0</v>
      </c>
      <c r="K783" s="1" t="s">
        <v>36</v>
      </c>
      <c r="L783" s="1" t="s">
        <v>75</v>
      </c>
      <c r="M783" s="1" t="s">
        <v>75</v>
      </c>
      <c r="N783" s="3">
        <v>200</v>
      </c>
      <c r="O783" s="6">
        <f>Table1[[#This Row],[Invoice Qty]]-Table1[[#This Row],[ExFactory Qty]]</f>
        <v>0</v>
      </c>
      <c r="P783" s="1" t="s">
        <v>2324</v>
      </c>
      <c r="Q783" s="2">
        <v>46292.357326388897</v>
      </c>
      <c r="S783" s="1" t="s">
        <v>39</v>
      </c>
      <c r="U783" s="1" t="s">
        <v>40</v>
      </c>
      <c r="V783" s="1" t="s">
        <v>77</v>
      </c>
      <c r="W783" s="1" t="s">
        <v>40</v>
      </c>
      <c r="X783" s="1" t="s">
        <v>40</v>
      </c>
      <c r="AA783" s="1" t="s">
        <v>2332</v>
      </c>
      <c r="AB783" s="2">
        <v>46292</v>
      </c>
      <c r="AC783" s="2">
        <v>46292.469490740703</v>
      </c>
      <c r="AE783" s="1" t="s">
        <v>40</v>
      </c>
      <c r="AF783" s="1" t="s">
        <v>79</v>
      </c>
    </row>
    <row r="784" spans="1:32" ht="12.75" hidden="1" customHeight="1" x14ac:dyDescent="0.2">
      <c r="A784" s="1" t="s">
        <v>86</v>
      </c>
      <c r="B784" s="1" t="s">
        <v>2333</v>
      </c>
      <c r="C784" s="1" t="s">
        <v>71</v>
      </c>
      <c r="D784" s="1" t="s">
        <v>72</v>
      </c>
      <c r="E784" s="1" t="s">
        <v>2228</v>
      </c>
      <c r="F784" s="1" t="s">
        <v>605</v>
      </c>
      <c r="G784" s="3">
        <v>73</v>
      </c>
      <c r="H784" s="4">
        <v>1</v>
      </c>
      <c r="I784" s="5">
        <v>173.74</v>
      </c>
      <c r="J784" s="5">
        <v>0</v>
      </c>
      <c r="K784" s="1" t="s">
        <v>36</v>
      </c>
      <c r="L784" s="1" t="s">
        <v>75</v>
      </c>
      <c r="M784" s="1" t="s">
        <v>75</v>
      </c>
      <c r="N784" s="3">
        <v>73</v>
      </c>
      <c r="O784" s="6">
        <f>Table1[[#This Row],[Invoice Qty]]-Table1[[#This Row],[ExFactory Qty]]</f>
        <v>0</v>
      </c>
      <c r="P784" s="1" t="s">
        <v>1101</v>
      </c>
      <c r="Q784" s="2">
        <v>46292.701064814799</v>
      </c>
      <c r="S784" s="1" t="s">
        <v>39</v>
      </c>
      <c r="U784" s="1" t="s">
        <v>40</v>
      </c>
      <c r="V784" s="1" t="s">
        <v>77</v>
      </c>
      <c r="W784" s="1" t="s">
        <v>40</v>
      </c>
      <c r="X784" s="1" t="s">
        <v>40</v>
      </c>
      <c r="AA784" s="1" t="s">
        <v>2334</v>
      </c>
      <c r="AB784" s="2">
        <v>46292</v>
      </c>
      <c r="AC784" s="2">
        <v>46292.469490740703</v>
      </c>
      <c r="AE784" s="1" t="s">
        <v>40</v>
      </c>
      <c r="AF784" s="1" t="s">
        <v>79</v>
      </c>
    </row>
    <row r="785" spans="1:32" ht="12.75" hidden="1" customHeight="1" x14ac:dyDescent="0.2">
      <c r="A785" s="1" t="s">
        <v>86</v>
      </c>
      <c r="B785" s="1" t="s">
        <v>2335</v>
      </c>
      <c r="C785" s="1" t="s">
        <v>71</v>
      </c>
      <c r="D785" s="1" t="s">
        <v>72</v>
      </c>
      <c r="E785" s="1" t="s">
        <v>1162</v>
      </c>
      <c r="F785" s="1" t="s">
        <v>134</v>
      </c>
      <c r="G785" s="3">
        <v>1898</v>
      </c>
      <c r="H785" s="4">
        <v>31</v>
      </c>
      <c r="I785" s="5">
        <v>5409.3</v>
      </c>
      <c r="J785" s="5">
        <v>0</v>
      </c>
      <c r="K785" s="1" t="s">
        <v>36</v>
      </c>
      <c r="L785" s="1" t="s">
        <v>75</v>
      </c>
      <c r="M785" s="1" t="s">
        <v>75</v>
      </c>
      <c r="N785" s="3">
        <v>1898</v>
      </c>
      <c r="O785" s="6">
        <f>Table1[[#This Row],[Invoice Qty]]-Table1[[#This Row],[ExFactory Qty]]</f>
        <v>0</v>
      </c>
      <c r="P785" s="1" t="s">
        <v>2327</v>
      </c>
      <c r="Q785" s="2">
        <v>46292.405717592599</v>
      </c>
      <c r="S785" s="1" t="s">
        <v>39</v>
      </c>
      <c r="U785" s="1" t="s">
        <v>40</v>
      </c>
      <c r="V785" s="1" t="s">
        <v>77</v>
      </c>
      <c r="W785" s="1" t="s">
        <v>40</v>
      </c>
      <c r="X785" s="1" t="s">
        <v>40</v>
      </c>
      <c r="AA785" s="1" t="s">
        <v>2336</v>
      </c>
      <c r="AB785" s="2">
        <v>46292</v>
      </c>
      <c r="AC785" s="2">
        <v>46292.469490740703</v>
      </c>
      <c r="AE785" s="1" t="s">
        <v>40</v>
      </c>
      <c r="AF785" s="1" t="s">
        <v>79</v>
      </c>
    </row>
    <row r="786" spans="1:32" ht="12.75" hidden="1" customHeight="1" x14ac:dyDescent="0.2">
      <c r="A786" s="1" t="s">
        <v>86</v>
      </c>
      <c r="B786" s="1" t="s">
        <v>2337</v>
      </c>
      <c r="C786" s="1" t="s">
        <v>71</v>
      </c>
      <c r="D786" s="1" t="s">
        <v>72</v>
      </c>
      <c r="E786" s="1" t="s">
        <v>1162</v>
      </c>
      <c r="F786" s="1" t="s">
        <v>661</v>
      </c>
      <c r="G786" s="3">
        <v>197</v>
      </c>
      <c r="H786" s="4">
        <v>4</v>
      </c>
      <c r="I786" s="5">
        <v>561.45000000000005</v>
      </c>
      <c r="J786" s="5">
        <v>0</v>
      </c>
      <c r="K786" s="1" t="s">
        <v>36</v>
      </c>
      <c r="L786" s="1" t="s">
        <v>75</v>
      </c>
      <c r="M786" s="1" t="s">
        <v>75</v>
      </c>
      <c r="N786" s="3">
        <v>197</v>
      </c>
      <c r="O786" s="6">
        <f>Table1[[#This Row],[Invoice Qty]]-Table1[[#This Row],[ExFactory Qty]]</f>
        <v>0</v>
      </c>
      <c r="P786" s="1" t="s">
        <v>2324</v>
      </c>
      <c r="Q786" s="2">
        <v>46292.357326388897</v>
      </c>
      <c r="S786" s="1" t="s">
        <v>39</v>
      </c>
      <c r="U786" s="1" t="s">
        <v>40</v>
      </c>
      <c r="V786" s="1" t="s">
        <v>77</v>
      </c>
      <c r="W786" s="1" t="s">
        <v>40</v>
      </c>
      <c r="X786" s="1" t="s">
        <v>40</v>
      </c>
      <c r="AA786" s="1" t="s">
        <v>2338</v>
      </c>
      <c r="AB786" s="2">
        <v>46292</v>
      </c>
      <c r="AC786" s="2">
        <v>46292.469490740703</v>
      </c>
      <c r="AE786" s="1" t="s">
        <v>40</v>
      </c>
      <c r="AF786" s="1" t="s">
        <v>79</v>
      </c>
    </row>
    <row r="787" spans="1:32" ht="12.75" hidden="1" customHeight="1" x14ac:dyDescent="0.2">
      <c r="A787" s="1" t="s">
        <v>86</v>
      </c>
      <c r="B787" s="1" t="s">
        <v>2339</v>
      </c>
      <c r="C787" s="1" t="s">
        <v>71</v>
      </c>
      <c r="D787" s="1" t="s">
        <v>72</v>
      </c>
      <c r="E787" s="1" t="s">
        <v>1162</v>
      </c>
      <c r="F787" s="1" t="s">
        <v>269</v>
      </c>
      <c r="G787" s="3">
        <v>4849</v>
      </c>
      <c r="H787" s="4">
        <v>65</v>
      </c>
      <c r="I787" s="5">
        <v>13819.65</v>
      </c>
      <c r="J787" s="5">
        <v>0</v>
      </c>
      <c r="K787" s="1" t="s">
        <v>36</v>
      </c>
      <c r="L787" s="1" t="s">
        <v>75</v>
      </c>
      <c r="M787" s="1" t="s">
        <v>75</v>
      </c>
      <c r="N787" s="3">
        <v>4849</v>
      </c>
      <c r="O787" s="6">
        <f>Table1[[#This Row],[Invoice Qty]]-Table1[[#This Row],[ExFactory Qty]]</f>
        <v>0</v>
      </c>
      <c r="P787" s="1" t="s">
        <v>2340</v>
      </c>
      <c r="Q787" s="2">
        <v>46292.733333333301</v>
      </c>
      <c r="S787" s="1" t="s">
        <v>39</v>
      </c>
      <c r="U787" s="1" t="s">
        <v>40</v>
      </c>
      <c r="V787" s="1" t="s">
        <v>77</v>
      </c>
      <c r="W787" s="1" t="s">
        <v>40</v>
      </c>
      <c r="X787" s="1" t="s">
        <v>40</v>
      </c>
      <c r="AA787" s="1" t="s">
        <v>2341</v>
      </c>
      <c r="AB787" s="2">
        <v>46292</v>
      </c>
      <c r="AC787" s="2">
        <v>46292.469490740703</v>
      </c>
      <c r="AE787" s="1" t="s">
        <v>40</v>
      </c>
      <c r="AF787" s="1" t="s">
        <v>79</v>
      </c>
    </row>
    <row r="788" spans="1:32" ht="12.75" hidden="1" customHeight="1" x14ac:dyDescent="0.2">
      <c r="A788" s="1" t="s">
        <v>86</v>
      </c>
      <c r="B788" s="1" t="s">
        <v>2342</v>
      </c>
      <c r="C788" s="1" t="s">
        <v>71</v>
      </c>
      <c r="D788" s="1" t="s">
        <v>72</v>
      </c>
      <c r="E788" s="1" t="s">
        <v>1162</v>
      </c>
      <c r="F788" s="1" t="s">
        <v>269</v>
      </c>
      <c r="G788" s="3">
        <v>2022</v>
      </c>
      <c r="H788" s="4">
        <v>30</v>
      </c>
      <c r="I788" s="5">
        <v>5762.7</v>
      </c>
      <c r="J788" s="5">
        <v>0</v>
      </c>
      <c r="K788" s="1" t="s">
        <v>36</v>
      </c>
      <c r="L788" s="1" t="s">
        <v>75</v>
      </c>
      <c r="M788" s="1" t="s">
        <v>75</v>
      </c>
      <c r="N788" s="3">
        <v>2022</v>
      </c>
      <c r="O788" s="6">
        <f>Table1[[#This Row],[Invoice Qty]]-Table1[[#This Row],[ExFactory Qty]]</f>
        <v>0</v>
      </c>
      <c r="P788" s="1" t="s">
        <v>2340</v>
      </c>
      <c r="Q788" s="2">
        <v>46292.733333333301</v>
      </c>
      <c r="S788" s="1" t="s">
        <v>39</v>
      </c>
      <c r="U788" s="1" t="s">
        <v>40</v>
      </c>
      <c r="V788" s="1" t="s">
        <v>77</v>
      </c>
      <c r="W788" s="1" t="s">
        <v>40</v>
      </c>
      <c r="X788" s="1" t="s">
        <v>40</v>
      </c>
      <c r="AA788" s="1" t="s">
        <v>2343</v>
      </c>
      <c r="AB788" s="2">
        <v>46292</v>
      </c>
      <c r="AC788" s="2">
        <v>46292.469490740703</v>
      </c>
      <c r="AE788" s="1" t="s">
        <v>40</v>
      </c>
      <c r="AF788" s="1" t="s">
        <v>79</v>
      </c>
    </row>
    <row r="789" spans="1:32" ht="12.75" hidden="1" customHeight="1" x14ac:dyDescent="0.2">
      <c r="A789" s="1" t="s">
        <v>86</v>
      </c>
      <c r="B789" s="1" t="s">
        <v>2344</v>
      </c>
      <c r="C789" s="1" t="s">
        <v>71</v>
      </c>
      <c r="D789" s="1" t="s">
        <v>457</v>
      </c>
      <c r="E789" s="1" t="s">
        <v>458</v>
      </c>
      <c r="F789" s="1" t="s">
        <v>134</v>
      </c>
      <c r="G789" s="3">
        <v>1219</v>
      </c>
      <c r="H789" s="4">
        <v>20</v>
      </c>
      <c r="I789" s="5">
        <v>5156.37</v>
      </c>
      <c r="J789" s="5">
        <v>0</v>
      </c>
      <c r="K789" s="1" t="s">
        <v>36</v>
      </c>
      <c r="L789" s="1" t="s">
        <v>75</v>
      </c>
      <c r="M789" s="1" t="s">
        <v>75</v>
      </c>
      <c r="N789" s="3">
        <v>1219</v>
      </c>
      <c r="O789" s="6">
        <f>Table1[[#This Row],[Invoice Qty]]-Table1[[#This Row],[ExFactory Qty]]</f>
        <v>0</v>
      </c>
      <c r="P789" s="1" t="s">
        <v>2327</v>
      </c>
      <c r="Q789" s="2">
        <v>46292.405717592599</v>
      </c>
      <c r="S789" s="1" t="s">
        <v>39</v>
      </c>
      <c r="U789" s="1" t="s">
        <v>40</v>
      </c>
      <c r="V789" s="1" t="s">
        <v>77</v>
      </c>
      <c r="W789" s="1" t="s">
        <v>40</v>
      </c>
      <c r="X789" s="1" t="s">
        <v>40</v>
      </c>
      <c r="AA789" s="1" t="s">
        <v>2345</v>
      </c>
      <c r="AB789" s="2">
        <v>46292</v>
      </c>
      <c r="AC789" s="2">
        <v>46292</v>
      </c>
      <c r="AE789" s="1" t="s">
        <v>40</v>
      </c>
      <c r="AF789" s="1" t="s">
        <v>326</v>
      </c>
    </row>
    <row r="790" spans="1:32" ht="12.75" hidden="1" customHeight="1" x14ac:dyDescent="0.2">
      <c r="A790" s="1" t="s">
        <v>86</v>
      </c>
      <c r="B790" s="1" t="s">
        <v>2346</v>
      </c>
      <c r="C790" s="1" t="s">
        <v>71</v>
      </c>
      <c r="D790" s="1" t="s">
        <v>323</v>
      </c>
      <c r="E790" s="1" t="s">
        <v>1188</v>
      </c>
      <c r="F790" s="1" t="s">
        <v>615</v>
      </c>
      <c r="G790" s="3">
        <v>554</v>
      </c>
      <c r="H790" s="4">
        <v>9</v>
      </c>
      <c r="I790" s="5">
        <v>1689.7</v>
      </c>
      <c r="J790" s="5">
        <v>0</v>
      </c>
      <c r="K790" s="1" t="s">
        <v>36</v>
      </c>
      <c r="L790" s="1" t="s">
        <v>75</v>
      </c>
      <c r="M790" s="1" t="s">
        <v>51</v>
      </c>
      <c r="N790" s="3">
        <v>554</v>
      </c>
      <c r="O790" s="6">
        <f>Table1[[#This Row],[Invoice Qty]]-Table1[[#This Row],[ExFactory Qty]]</f>
        <v>0</v>
      </c>
      <c r="P790" s="1" t="s">
        <v>2347</v>
      </c>
      <c r="Q790" s="2">
        <v>46292.388518518499</v>
      </c>
      <c r="S790" s="1" t="s">
        <v>39</v>
      </c>
      <c r="U790" s="1" t="s">
        <v>40</v>
      </c>
      <c r="V790" s="1" t="s">
        <v>77</v>
      </c>
      <c r="W790" s="1" t="s">
        <v>40</v>
      </c>
      <c r="X790" s="1" t="s">
        <v>40</v>
      </c>
      <c r="AA790" s="1" t="s">
        <v>2348</v>
      </c>
      <c r="AB790" s="2">
        <v>46292</v>
      </c>
      <c r="AC790" s="2">
        <v>46292.469548611101</v>
      </c>
      <c r="AE790" s="1" t="s">
        <v>40</v>
      </c>
      <c r="AF790" s="1" t="s">
        <v>326</v>
      </c>
    </row>
    <row r="791" spans="1:32" ht="12.75" hidden="1" customHeight="1" x14ac:dyDescent="0.2">
      <c r="A791" s="1" t="s">
        <v>86</v>
      </c>
      <c r="B791" s="1" t="s">
        <v>2349</v>
      </c>
      <c r="C791" s="1" t="s">
        <v>71</v>
      </c>
      <c r="D791" s="1" t="s">
        <v>323</v>
      </c>
      <c r="E791" s="1" t="s">
        <v>1192</v>
      </c>
      <c r="F791" s="1" t="s">
        <v>615</v>
      </c>
      <c r="G791" s="3">
        <v>271</v>
      </c>
      <c r="H791" s="4">
        <v>5</v>
      </c>
      <c r="I791" s="5">
        <v>818.42</v>
      </c>
      <c r="J791" s="5">
        <v>0</v>
      </c>
      <c r="K791" s="1" t="s">
        <v>36</v>
      </c>
      <c r="L791" s="1" t="s">
        <v>75</v>
      </c>
      <c r="M791" s="1" t="s">
        <v>51</v>
      </c>
      <c r="N791" s="3">
        <v>271</v>
      </c>
      <c r="O791" s="6">
        <f>Table1[[#This Row],[Invoice Qty]]-Table1[[#This Row],[ExFactory Qty]]</f>
        <v>0</v>
      </c>
      <c r="P791" s="1" t="s">
        <v>2347</v>
      </c>
      <c r="Q791" s="2">
        <v>46292.388518518499</v>
      </c>
      <c r="S791" s="1" t="s">
        <v>39</v>
      </c>
      <c r="U791" s="1" t="s">
        <v>40</v>
      </c>
      <c r="V791" s="1" t="s">
        <v>77</v>
      </c>
      <c r="W791" s="1" t="s">
        <v>40</v>
      </c>
      <c r="X791" s="1" t="s">
        <v>40</v>
      </c>
      <c r="AA791" s="1" t="s">
        <v>2350</v>
      </c>
      <c r="AB791" s="2">
        <v>46292</v>
      </c>
      <c r="AC791" s="2">
        <v>46292.469548611101</v>
      </c>
      <c r="AE791" s="1" t="s">
        <v>40</v>
      </c>
      <c r="AF791" s="1" t="s">
        <v>326</v>
      </c>
    </row>
    <row r="792" spans="1:32" ht="12.75" hidden="1" customHeight="1" x14ac:dyDescent="0.2">
      <c r="A792" s="1" t="s">
        <v>86</v>
      </c>
      <c r="B792" s="1" t="s">
        <v>2351</v>
      </c>
      <c r="C792" s="1" t="s">
        <v>71</v>
      </c>
      <c r="D792" s="1" t="s">
        <v>323</v>
      </c>
      <c r="E792" s="1" t="s">
        <v>1066</v>
      </c>
      <c r="F792" s="1" t="s">
        <v>134</v>
      </c>
      <c r="G792" s="3">
        <v>77</v>
      </c>
      <c r="H792" s="4">
        <v>2</v>
      </c>
      <c r="I792" s="5">
        <v>230.23</v>
      </c>
      <c r="J792" s="5">
        <v>0</v>
      </c>
      <c r="K792" s="1" t="s">
        <v>36</v>
      </c>
      <c r="L792" s="1" t="s">
        <v>75</v>
      </c>
      <c r="M792" s="1" t="s">
        <v>51</v>
      </c>
      <c r="N792" s="3">
        <v>77</v>
      </c>
      <c r="O792" s="6">
        <f>Table1[[#This Row],[Invoice Qty]]-Table1[[#This Row],[ExFactory Qty]]</f>
        <v>0</v>
      </c>
      <c r="P792" s="1" t="s">
        <v>2352</v>
      </c>
      <c r="Q792" s="2">
        <v>46292.389259259297</v>
      </c>
      <c r="S792" s="1" t="s">
        <v>39</v>
      </c>
      <c r="U792" s="1" t="s">
        <v>40</v>
      </c>
      <c r="V792" s="1" t="s">
        <v>77</v>
      </c>
      <c r="W792" s="1" t="s">
        <v>40</v>
      </c>
      <c r="X792" s="1" t="s">
        <v>40</v>
      </c>
      <c r="AA792" s="1" t="s">
        <v>2353</v>
      </c>
      <c r="AB792" s="2">
        <v>46292</v>
      </c>
      <c r="AC792" s="2">
        <v>46292.469548611101</v>
      </c>
      <c r="AE792" s="1" t="s">
        <v>40</v>
      </c>
      <c r="AF792" s="1" t="s">
        <v>326</v>
      </c>
    </row>
    <row r="793" spans="1:32" ht="12.75" hidden="1" customHeight="1" x14ac:dyDescent="0.2">
      <c r="A793" s="1" t="s">
        <v>86</v>
      </c>
      <c r="B793" s="1" t="s">
        <v>2354</v>
      </c>
      <c r="C793" s="1" t="s">
        <v>71</v>
      </c>
      <c r="D793" s="1" t="s">
        <v>457</v>
      </c>
      <c r="E793" s="1" t="s">
        <v>1215</v>
      </c>
      <c r="F793" s="1" t="s">
        <v>661</v>
      </c>
      <c r="G793" s="3">
        <v>244</v>
      </c>
      <c r="H793" s="4">
        <v>4</v>
      </c>
      <c r="I793" s="5">
        <v>739.32</v>
      </c>
      <c r="J793" s="5">
        <v>0</v>
      </c>
      <c r="K793" s="1" t="s">
        <v>36</v>
      </c>
      <c r="L793" s="1" t="s">
        <v>75</v>
      </c>
      <c r="M793" s="1" t="s">
        <v>51</v>
      </c>
      <c r="N793" s="3">
        <v>244</v>
      </c>
      <c r="O793" s="6">
        <f>Table1[[#This Row],[Invoice Qty]]-Table1[[#This Row],[ExFactory Qty]]</f>
        <v>0</v>
      </c>
      <c r="P793" s="1" t="s">
        <v>2347</v>
      </c>
      <c r="Q793" s="2">
        <v>46292.388518518499</v>
      </c>
      <c r="S793" s="1" t="s">
        <v>39</v>
      </c>
      <c r="U793" s="1" t="s">
        <v>40</v>
      </c>
      <c r="V793" s="1" t="s">
        <v>77</v>
      </c>
      <c r="W793" s="1" t="s">
        <v>40</v>
      </c>
      <c r="X793" s="1" t="s">
        <v>40</v>
      </c>
      <c r="AA793" s="1" t="s">
        <v>2355</v>
      </c>
      <c r="AB793" s="2">
        <v>46292</v>
      </c>
      <c r="AC793" s="2">
        <v>46292.469548611101</v>
      </c>
      <c r="AE793" s="1" t="s">
        <v>40</v>
      </c>
      <c r="AF793" s="1" t="s">
        <v>326</v>
      </c>
    </row>
    <row r="794" spans="1:32" ht="12.75" hidden="1" customHeight="1" x14ac:dyDescent="0.2">
      <c r="A794" s="1" t="s">
        <v>86</v>
      </c>
      <c r="B794" s="1" t="s">
        <v>2356</v>
      </c>
      <c r="C794" s="1" t="s">
        <v>71</v>
      </c>
      <c r="D794" s="1" t="s">
        <v>457</v>
      </c>
      <c r="E794" s="1" t="s">
        <v>1215</v>
      </c>
      <c r="F794" s="1" t="s">
        <v>269</v>
      </c>
      <c r="G794" s="3">
        <v>2963</v>
      </c>
      <c r="H794" s="4">
        <v>37</v>
      </c>
      <c r="I794" s="5">
        <v>8977.89</v>
      </c>
      <c r="J794" s="5">
        <v>0</v>
      </c>
      <c r="K794" s="1" t="s">
        <v>36</v>
      </c>
      <c r="L794" s="1" t="s">
        <v>75</v>
      </c>
      <c r="M794" s="1" t="s">
        <v>51</v>
      </c>
      <c r="N794" s="3">
        <v>2963</v>
      </c>
      <c r="O794" s="6">
        <f>Table1[[#This Row],[Invoice Qty]]-Table1[[#This Row],[ExFactory Qty]]</f>
        <v>0</v>
      </c>
      <c r="P794" s="1" t="s">
        <v>2357</v>
      </c>
      <c r="Q794" s="2">
        <v>46292.385972222197</v>
      </c>
      <c r="S794" s="1" t="s">
        <v>39</v>
      </c>
      <c r="U794" s="1" t="s">
        <v>40</v>
      </c>
      <c r="V794" s="1" t="s">
        <v>77</v>
      </c>
      <c r="W794" s="1" t="s">
        <v>40</v>
      </c>
      <c r="X794" s="1" t="s">
        <v>40</v>
      </c>
      <c r="AA794" s="1" t="s">
        <v>2358</v>
      </c>
      <c r="AB794" s="2">
        <v>46292</v>
      </c>
      <c r="AC794" s="2">
        <v>46292.469548611101</v>
      </c>
      <c r="AE794" s="1" t="s">
        <v>40</v>
      </c>
      <c r="AF794" s="1" t="s">
        <v>326</v>
      </c>
    </row>
    <row r="795" spans="1:32" ht="12.75" hidden="1" customHeight="1" x14ac:dyDescent="0.2">
      <c r="A795" s="1" t="s">
        <v>86</v>
      </c>
      <c r="B795" s="1" t="s">
        <v>2359</v>
      </c>
      <c r="C795" s="1" t="s">
        <v>71</v>
      </c>
      <c r="D795" s="1" t="s">
        <v>457</v>
      </c>
      <c r="E795" s="1" t="s">
        <v>1215</v>
      </c>
      <c r="F795" s="1" t="s">
        <v>269</v>
      </c>
      <c r="G795" s="3">
        <v>1262</v>
      </c>
      <c r="H795" s="4">
        <v>18</v>
      </c>
      <c r="I795" s="5">
        <v>3823.86</v>
      </c>
      <c r="J795" s="5">
        <v>0</v>
      </c>
      <c r="K795" s="1" t="s">
        <v>36</v>
      </c>
      <c r="L795" s="1" t="s">
        <v>75</v>
      </c>
      <c r="M795" s="1" t="s">
        <v>51</v>
      </c>
      <c r="N795" s="3">
        <v>1262</v>
      </c>
      <c r="O795" s="6">
        <f>Table1[[#This Row],[Invoice Qty]]-Table1[[#This Row],[ExFactory Qty]]</f>
        <v>0</v>
      </c>
      <c r="P795" s="1" t="s">
        <v>2357</v>
      </c>
      <c r="Q795" s="2">
        <v>46292.385972222197</v>
      </c>
      <c r="S795" s="1" t="s">
        <v>39</v>
      </c>
      <c r="U795" s="1" t="s">
        <v>40</v>
      </c>
      <c r="V795" s="1" t="s">
        <v>77</v>
      </c>
      <c r="W795" s="1" t="s">
        <v>40</v>
      </c>
      <c r="X795" s="1" t="s">
        <v>40</v>
      </c>
      <c r="AA795" s="1" t="s">
        <v>2360</v>
      </c>
      <c r="AB795" s="2">
        <v>46292</v>
      </c>
      <c r="AC795" s="2">
        <v>46292.469548611101</v>
      </c>
      <c r="AE795" s="1" t="s">
        <v>40</v>
      </c>
      <c r="AF795" s="1" t="s">
        <v>326</v>
      </c>
    </row>
    <row r="796" spans="1:32" ht="12.75" hidden="1" customHeight="1" x14ac:dyDescent="0.2">
      <c r="A796" s="1" t="s">
        <v>86</v>
      </c>
      <c r="B796" s="1" t="s">
        <v>2361</v>
      </c>
      <c r="C796" s="1" t="s">
        <v>71</v>
      </c>
      <c r="D796" s="1" t="s">
        <v>457</v>
      </c>
      <c r="E796" s="1" t="s">
        <v>1224</v>
      </c>
      <c r="F796" s="1" t="s">
        <v>269</v>
      </c>
      <c r="G796" s="3">
        <v>324</v>
      </c>
      <c r="H796" s="4">
        <v>6</v>
      </c>
      <c r="I796" s="5">
        <v>978.48</v>
      </c>
      <c r="J796" s="5">
        <v>0</v>
      </c>
      <c r="K796" s="1" t="s">
        <v>36</v>
      </c>
      <c r="L796" s="1" t="s">
        <v>75</v>
      </c>
      <c r="M796" s="1" t="s">
        <v>51</v>
      </c>
      <c r="N796" s="3">
        <v>324</v>
      </c>
      <c r="O796" s="6">
        <f>Table1[[#This Row],[Invoice Qty]]-Table1[[#This Row],[ExFactory Qty]]</f>
        <v>0</v>
      </c>
      <c r="P796" s="1" t="s">
        <v>2357</v>
      </c>
      <c r="Q796" s="2">
        <v>46292.385972222197</v>
      </c>
      <c r="S796" s="1" t="s">
        <v>39</v>
      </c>
      <c r="U796" s="1" t="s">
        <v>40</v>
      </c>
      <c r="V796" s="1" t="s">
        <v>77</v>
      </c>
      <c r="W796" s="1" t="s">
        <v>40</v>
      </c>
      <c r="X796" s="1" t="s">
        <v>40</v>
      </c>
      <c r="AA796" s="1" t="s">
        <v>2362</v>
      </c>
      <c r="AB796" s="2">
        <v>46292</v>
      </c>
      <c r="AC796" s="2">
        <v>46292.469548611101</v>
      </c>
      <c r="AE796" s="1" t="s">
        <v>40</v>
      </c>
      <c r="AF796" s="1" t="s">
        <v>326</v>
      </c>
    </row>
    <row r="797" spans="1:32" ht="12.75" hidden="1" customHeight="1" x14ac:dyDescent="0.2">
      <c r="A797" s="1" t="s">
        <v>86</v>
      </c>
      <c r="B797" s="1" t="s">
        <v>2363</v>
      </c>
      <c r="C797" s="1" t="s">
        <v>71</v>
      </c>
      <c r="D797" s="1" t="s">
        <v>457</v>
      </c>
      <c r="E797" s="1" t="s">
        <v>1224</v>
      </c>
      <c r="F797" s="1" t="s">
        <v>651</v>
      </c>
      <c r="G797" s="3">
        <v>153</v>
      </c>
      <c r="H797" s="4">
        <v>3</v>
      </c>
      <c r="I797" s="5">
        <v>462.06</v>
      </c>
      <c r="J797" s="5">
        <v>0</v>
      </c>
      <c r="K797" s="1" t="s">
        <v>36</v>
      </c>
      <c r="L797" s="1" t="s">
        <v>75</v>
      </c>
      <c r="M797" s="1" t="s">
        <v>51</v>
      </c>
      <c r="N797" s="3">
        <v>153</v>
      </c>
      <c r="O797" s="6">
        <f>Table1[[#This Row],[Invoice Qty]]-Table1[[#This Row],[ExFactory Qty]]</f>
        <v>0</v>
      </c>
      <c r="P797" s="1" t="s">
        <v>2357</v>
      </c>
      <c r="Q797" s="2">
        <v>46292.385972222197</v>
      </c>
      <c r="S797" s="1" t="s">
        <v>39</v>
      </c>
      <c r="U797" s="1" t="s">
        <v>40</v>
      </c>
      <c r="V797" s="1" t="s">
        <v>77</v>
      </c>
      <c r="W797" s="1" t="s">
        <v>40</v>
      </c>
      <c r="X797" s="1" t="s">
        <v>40</v>
      </c>
      <c r="AA797" s="1" t="s">
        <v>2364</v>
      </c>
      <c r="AB797" s="2">
        <v>46292</v>
      </c>
      <c r="AC797" s="2">
        <v>46292.469548611101</v>
      </c>
      <c r="AE797" s="1" t="s">
        <v>40</v>
      </c>
      <c r="AF797" s="1" t="s">
        <v>326</v>
      </c>
    </row>
    <row r="798" spans="1:32" ht="12.75" hidden="1" customHeight="1" x14ac:dyDescent="0.2">
      <c r="A798" s="1" t="s">
        <v>86</v>
      </c>
      <c r="B798" s="1" t="s">
        <v>2365</v>
      </c>
      <c r="C798" s="1" t="s">
        <v>71</v>
      </c>
      <c r="D798" s="1" t="s">
        <v>72</v>
      </c>
      <c r="E798" s="1" t="s">
        <v>2178</v>
      </c>
      <c r="F798" s="1" t="s">
        <v>608</v>
      </c>
      <c r="G798" s="3">
        <v>50</v>
      </c>
      <c r="H798" s="4">
        <v>1</v>
      </c>
      <c r="I798" s="5">
        <v>179.5</v>
      </c>
      <c r="J798" s="5">
        <v>0</v>
      </c>
      <c r="K798" s="1" t="s">
        <v>36</v>
      </c>
      <c r="L798" s="1" t="s">
        <v>75</v>
      </c>
      <c r="M798" s="1" t="s">
        <v>75</v>
      </c>
      <c r="N798" s="3">
        <v>50</v>
      </c>
      <c r="O798" s="6">
        <f>Table1[[#This Row],[Invoice Qty]]-Table1[[#This Row],[ExFactory Qty]]</f>
        <v>0</v>
      </c>
      <c r="P798" s="1" t="s">
        <v>2324</v>
      </c>
      <c r="Q798" s="2">
        <v>46292.357326388897</v>
      </c>
      <c r="S798" s="1" t="s">
        <v>39</v>
      </c>
      <c r="U798" s="1" t="s">
        <v>40</v>
      </c>
      <c r="V798" s="1" t="s">
        <v>77</v>
      </c>
      <c r="W798" s="1" t="s">
        <v>40</v>
      </c>
      <c r="X798" s="1" t="s">
        <v>40</v>
      </c>
      <c r="AA798" s="1" t="s">
        <v>2366</v>
      </c>
      <c r="AB798" s="2">
        <v>46292</v>
      </c>
      <c r="AC798" s="2">
        <v>46292.4696064815</v>
      </c>
      <c r="AE798" s="1" t="s">
        <v>40</v>
      </c>
      <c r="AF798" s="1" t="s">
        <v>79</v>
      </c>
    </row>
    <row r="799" spans="1:32" ht="12.75" hidden="1" customHeight="1" x14ac:dyDescent="0.2">
      <c r="A799" s="1" t="s">
        <v>86</v>
      </c>
      <c r="B799" s="1" t="s">
        <v>2367</v>
      </c>
      <c r="C799" s="1" t="s">
        <v>71</v>
      </c>
      <c r="D799" s="1" t="s">
        <v>72</v>
      </c>
      <c r="E799" s="1" t="s">
        <v>2178</v>
      </c>
      <c r="F799" s="1" t="s">
        <v>600</v>
      </c>
      <c r="G799" s="3">
        <v>130</v>
      </c>
      <c r="H799" s="4">
        <v>2</v>
      </c>
      <c r="I799" s="5">
        <v>466.7</v>
      </c>
      <c r="J799" s="5">
        <v>0</v>
      </c>
      <c r="K799" s="1" t="s">
        <v>36</v>
      </c>
      <c r="L799" s="1" t="s">
        <v>75</v>
      </c>
      <c r="M799" s="1" t="s">
        <v>75</v>
      </c>
      <c r="N799" s="3">
        <v>130</v>
      </c>
      <c r="O799" s="6">
        <f>Table1[[#This Row],[Invoice Qty]]-Table1[[#This Row],[ExFactory Qty]]</f>
        <v>0</v>
      </c>
      <c r="P799" s="1" t="s">
        <v>1101</v>
      </c>
      <c r="Q799" s="2">
        <v>46292.701064814799</v>
      </c>
      <c r="S799" s="1" t="s">
        <v>39</v>
      </c>
      <c r="U799" s="1" t="s">
        <v>40</v>
      </c>
      <c r="V799" s="1" t="s">
        <v>77</v>
      </c>
      <c r="W799" s="1" t="s">
        <v>40</v>
      </c>
      <c r="X799" s="1" t="s">
        <v>40</v>
      </c>
      <c r="AA799" s="1" t="s">
        <v>2368</v>
      </c>
      <c r="AB799" s="2">
        <v>46292</v>
      </c>
      <c r="AC799" s="2">
        <v>46292.4696064815</v>
      </c>
      <c r="AE799" s="1" t="s">
        <v>40</v>
      </c>
      <c r="AF799" s="1" t="s">
        <v>79</v>
      </c>
    </row>
    <row r="800" spans="1:32" ht="12.75" hidden="1" customHeight="1" x14ac:dyDescent="0.2">
      <c r="A800" s="1" t="s">
        <v>86</v>
      </c>
      <c r="B800" s="1" t="s">
        <v>2369</v>
      </c>
      <c r="C800" s="1" t="s">
        <v>71</v>
      </c>
      <c r="D800" s="1" t="s">
        <v>72</v>
      </c>
      <c r="E800" s="1" t="s">
        <v>2182</v>
      </c>
      <c r="F800" s="1" t="s">
        <v>608</v>
      </c>
      <c r="G800" s="3">
        <v>50</v>
      </c>
      <c r="H800" s="4">
        <v>1</v>
      </c>
      <c r="I800" s="5">
        <v>163</v>
      </c>
      <c r="J800" s="5">
        <v>0</v>
      </c>
      <c r="K800" s="1" t="s">
        <v>36</v>
      </c>
      <c r="L800" s="1" t="s">
        <v>75</v>
      </c>
      <c r="M800" s="1" t="s">
        <v>75</v>
      </c>
      <c r="N800" s="3">
        <v>50</v>
      </c>
      <c r="O800" s="6">
        <f>Table1[[#This Row],[Invoice Qty]]-Table1[[#This Row],[ExFactory Qty]]</f>
        <v>0</v>
      </c>
      <c r="P800" s="1" t="s">
        <v>2324</v>
      </c>
      <c r="Q800" s="2">
        <v>46292.357326388897</v>
      </c>
      <c r="S800" s="1" t="s">
        <v>39</v>
      </c>
      <c r="U800" s="1" t="s">
        <v>40</v>
      </c>
      <c r="V800" s="1" t="s">
        <v>77</v>
      </c>
      <c r="W800" s="1" t="s">
        <v>40</v>
      </c>
      <c r="X800" s="1" t="s">
        <v>40</v>
      </c>
      <c r="AA800" s="1" t="s">
        <v>2370</v>
      </c>
      <c r="AB800" s="2">
        <v>46292</v>
      </c>
      <c r="AC800" s="2">
        <v>46292.4696064815</v>
      </c>
      <c r="AE800" s="1" t="s">
        <v>40</v>
      </c>
      <c r="AF800" s="1" t="s">
        <v>79</v>
      </c>
    </row>
    <row r="801" spans="1:32" ht="12.75" hidden="1" customHeight="1" x14ac:dyDescent="0.2">
      <c r="A801" s="1" t="s">
        <v>86</v>
      </c>
      <c r="B801" s="1" t="s">
        <v>2371</v>
      </c>
      <c r="C801" s="1" t="s">
        <v>71</v>
      </c>
      <c r="D801" s="1" t="s">
        <v>72</v>
      </c>
      <c r="E801" s="1" t="s">
        <v>2182</v>
      </c>
      <c r="F801" s="1" t="s">
        <v>600</v>
      </c>
      <c r="G801" s="3">
        <v>130</v>
      </c>
      <c r="H801" s="4">
        <v>2</v>
      </c>
      <c r="I801" s="5">
        <v>423.8</v>
      </c>
      <c r="J801" s="5">
        <v>0</v>
      </c>
      <c r="K801" s="1" t="s">
        <v>36</v>
      </c>
      <c r="L801" s="1" t="s">
        <v>75</v>
      </c>
      <c r="M801" s="1" t="s">
        <v>75</v>
      </c>
      <c r="N801" s="3">
        <v>130</v>
      </c>
      <c r="O801" s="6">
        <f>Table1[[#This Row],[Invoice Qty]]-Table1[[#This Row],[ExFactory Qty]]</f>
        <v>0</v>
      </c>
      <c r="P801" s="1" t="s">
        <v>1101</v>
      </c>
      <c r="Q801" s="2">
        <v>46292.701064814799</v>
      </c>
      <c r="S801" s="1" t="s">
        <v>39</v>
      </c>
      <c r="U801" s="1" t="s">
        <v>40</v>
      </c>
      <c r="V801" s="1" t="s">
        <v>77</v>
      </c>
      <c r="W801" s="1" t="s">
        <v>40</v>
      </c>
      <c r="X801" s="1" t="s">
        <v>40</v>
      </c>
      <c r="AA801" s="1" t="s">
        <v>2372</v>
      </c>
      <c r="AB801" s="2">
        <v>46292</v>
      </c>
      <c r="AC801" s="2">
        <v>46292.4696064815</v>
      </c>
      <c r="AE801" s="1" t="s">
        <v>40</v>
      </c>
      <c r="AF801" s="1" t="s">
        <v>79</v>
      </c>
    </row>
    <row r="802" spans="1:32" ht="12.75" hidden="1" customHeight="1" x14ac:dyDescent="0.2">
      <c r="A802" s="1" t="s">
        <v>86</v>
      </c>
      <c r="B802" s="1" t="s">
        <v>2373</v>
      </c>
      <c r="C802" s="1" t="s">
        <v>71</v>
      </c>
      <c r="D802" s="1" t="s">
        <v>72</v>
      </c>
      <c r="E802" s="1" t="s">
        <v>976</v>
      </c>
      <c r="F802" s="1" t="s">
        <v>615</v>
      </c>
      <c r="G802" s="3">
        <v>216</v>
      </c>
      <c r="H802" s="4">
        <v>5</v>
      </c>
      <c r="I802" s="5">
        <v>598.32000000000005</v>
      </c>
      <c r="J802" s="5">
        <v>0</v>
      </c>
      <c r="K802" s="1" t="s">
        <v>36</v>
      </c>
      <c r="L802" s="1" t="s">
        <v>75</v>
      </c>
      <c r="M802" s="1" t="s">
        <v>37</v>
      </c>
      <c r="N802" s="3">
        <v>216</v>
      </c>
      <c r="O802" s="6">
        <f>Table1[[#This Row],[Invoice Qty]]-Table1[[#This Row],[ExFactory Qty]]</f>
        <v>0</v>
      </c>
      <c r="P802" s="1" t="s">
        <v>2374</v>
      </c>
      <c r="Q802" s="2">
        <v>46292.594120370399</v>
      </c>
      <c r="S802" s="1" t="s">
        <v>39</v>
      </c>
      <c r="U802" s="1" t="s">
        <v>40</v>
      </c>
      <c r="V802" s="1" t="s">
        <v>77</v>
      </c>
      <c r="W802" s="1" t="s">
        <v>40</v>
      </c>
      <c r="X802" s="1" t="s">
        <v>40</v>
      </c>
      <c r="AA802" s="1" t="s">
        <v>2375</v>
      </c>
      <c r="AB802" s="2">
        <v>46292</v>
      </c>
      <c r="AC802" s="2">
        <v>46292.469664351898</v>
      </c>
      <c r="AE802" s="1" t="s">
        <v>40</v>
      </c>
      <c r="AF802" s="1" t="s">
        <v>79</v>
      </c>
    </row>
    <row r="803" spans="1:32" ht="12.75" hidden="1" customHeight="1" x14ac:dyDescent="0.2">
      <c r="A803" s="1" t="s">
        <v>86</v>
      </c>
      <c r="B803" s="1" t="s">
        <v>2376</v>
      </c>
      <c r="C803" s="1" t="s">
        <v>71</v>
      </c>
      <c r="D803" s="1" t="s">
        <v>72</v>
      </c>
      <c r="E803" s="1" t="s">
        <v>976</v>
      </c>
      <c r="F803" s="1" t="s">
        <v>605</v>
      </c>
      <c r="G803" s="3">
        <v>83</v>
      </c>
      <c r="H803" s="4">
        <v>2</v>
      </c>
      <c r="I803" s="5">
        <v>229.91</v>
      </c>
      <c r="J803" s="5">
        <v>0</v>
      </c>
      <c r="K803" s="1" t="s">
        <v>36</v>
      </c>
      <c r="L803" s="1" t="s">
        <v>75</v>
      </c>
      <c r="M803" s="1" t="s">
        <v>37</v>
      </c>
      <c r="N803" s="3">
        <v>83</v>
      </c>
      <c r="O803" s="6">
        <f>Table1[[#This Row],[Invoice Qty]]-Table1[[#This Row],[ExFactory Qty]]</f>
        <v>0</v>
      </c>
      <c r="P803" s="1" t="s">
        <v>2377</v>
      </c>
      <c r="Q803" s="2">
        <v>46292.644444444399</v>
      </c>
      <c r="S803" s="1" t="s">
        <v>39</v>
      </c>
      <c r="U803" s="1" t="s">
        <v>40</v>
      </c>
      <c r="V803" s="1" t="s">
        <v>77</v>
      </c>
      <c r="W803" s="1" t="s">
        <v>40</v>
      </c>
      <c r="X803" s="1" t="s">
        <v>40</v>
      </c>
      <c r="AA803" s="1" t="s">
        <v>2378</v>
      </c>
      <c r="AB803" s="2">
        <v>46292</v>
      </c>
      <c r="AC803" s="2">
        <v>46292.469664351898</v>
      </c>
      <c r="AE803" s="1" t="s">
        <v>40</v>
      </c>
      <c r="AF803" s="1" t="s">
        <v>79</v>
      </c>
    </row>
    <row r="804" spans="1:32" ht="12.75" hidden="1" customHeight="1" x14ac:dyDescent="0.2">
      <c r="A804" s="1" t="s">
        <v>86</v>
      </c>
      <c r="B804" s="1" t="s">
        <v>2379</v>
      </c>
      <c r="C804" s="1" t="s">
        <v>71</v>
      </c>
      <c r="D804" s="1" t="s">
        <v>72</v>
      </c>
      <c r="E804" s="1" t="s">
        <v>979</v>
      </c>
      <c r="F804" s="1" t="s">
        <v>615</v>
      </c>
      <c r="G804" s="3">
        <v>567</v>
      </c>
      <c r="H804" s="4">
        <v>7</v>
      </c>
      <c r="I804" s="5">
        <v>1440.18</v>
      </c>
      <c r="J804" s="5">
        <v>0</v>
      </c>
      <c r="K804" s="1" t="s">
        <v>36</v>
      </c>
      <c r="L804" s="1" t="s">
        <v>75</v>
      </c>
      <c r="M804" s="1" t="s">
        <v>37</v>
      </c>
      <c r="N804" s="3">
        <v>567</v>
      </c>
      <c r="O804" s="6">
        <f>Table1[[#This Row],[Invoice Qty]]-Table1[[#This Row],[ExFactory Qty]]</f>
        <v>0</v>
      </c>
      <c r="P804" s="1" t="s">
        <v>2374</v>
      </c>
      <c r="Q804" s="2">
        <v>46292.594120370399</v>
      </c>
      <c r="S804" s="1" t="s">
        <v>39</v>
      </c>
      <c r="U804" s="1" t="s">
        <v>40</v>
      </c>
      <c r="V804" s="1" t="s">
        <v>77</v>
      </c>
      <c r="W804" s="1" t="s">
        <v>40</v>
      </c>
      <c r="X804" s="1" t="s">
        <v>40</v>
      </c>
      <c r="AA804" s="1" t="s">
        <v>2380</v>
      </c>
      <c r="AB804" s="2">
        <v>46292</v>
      </c>
      <c r="AC804" s="2">
        <v>46292.469664351898</v>
      </c>
      <c r="AE804" s="1" t="s">
        <v>40</v>
      </c>
      <c r="AF804" s="1" t="s">
        <v>79</v>
      </c>
    </row>
    <row r="805" spans="1:32" ht="12.75" hidden="1" customHeight="1" x14ac:dyDescent="0.2">
      <c r="A805" s="1" t="s">
        <v>86</v>
      </c>
      <c r="B805" s="1" t="s">
        <v>2381</v>
      </c>
      <c r="C805" s="1" t="s">
        <v>71</v>
      </c>
      <c r="D805" s="1" t="s">
        <v>72</v>
      </c>
      <c r="E805" s="1" t="s">
        <v>979</v>
      </c>
      <c r="F805" s="1" t="s">
        <v>605</v>
      </c>
      <c r="G805" s="3">
        <v>221</v>
      </c>
      <c r="H805" s="4">
        <v>4</v>
      </c>
      <c r="I805" s="5">
        <v>561.34</v>
      </c>
      <c r="J805" s="5">
        <v>0</v>
      </c>
      <c r="K805" s="1" t="s">
        <v>36</v>
      </c>
      <c r="L805" s="1" t="s">
        <v>75</v>
      </c>
      <c r="M805" s="1" t="s">
        <v>37</v>
      </c>
      <c r="N805" s="3">
        <v>221</v>
      </c>
      <c r="O805" s="6">
        <f>Table1[[#This Row],[Invoice Qty]]-Table1[[#This Row],[ExFactory Qty]]</f>
        <v>0</v>
      </c>
      <c r="P805" s="1" t="s">
        <v>2377</v>
      </c>
      <c r="Q805" s="2">
        <v>46292.644444444399</v>
      </c>
      <c r="S805" s="1" t="s">
        <v>39</v>
      </c>
      <c r="U805" s="1" t="s">
        <v>40</v>
      </c>
      <c r="V805" s="1" t="s">
        <v>77</v>
      </c>
      <c r="W805" s="1" t="s">
        <v>40</v>
      </c>
      <c r="X805" s="1" t="s">
        <v>40</v>
      </c>
      <c r="AA805" s="1" t="s">
        <v>2382</v>
      </c>
      <c r="AB805" s="2">
        <v>46292</v>
      </c>
      <c r="AC805" s="2">
        <v>46292.469664351898</v>
      </c>
      <c r="AE805" s="1" t="s">
        <v>40</v>
      </c>
      <c r="AF805" s="1" t="s">
        <v>79</v>
      </c>
    </row>
    <row r="806" spans="1:32" ht="12.75" hidden="1" customHeight="1" x14ac:dyDescent="0.2">
      <c r="A806" s="1" t="s">
        <v>86</v>
      </c>
      <c r="B806" s="1" t="s">
        <v>2383</v>
      </c>
      <c r="C806" s="1" t="s">
        <v>71</v>
      </c>
      <c r="D806" s="1" t="s">
        <v>72</v>
      </c>
      <c r="E806" s="1" t="s">
        <v>710</v>
      </c>
      <c r="F806" s="1" t="s">
        <v>615</v>
      </c>
      <c r="G806" s="3">
        <v>852</v>
      </c>
      <c r="H806" s="4">
        <v>8</v>
      </c>
      <c r="I806" s="5">
        <v>1644.36</v>
      </c>
      <c r="J806" s="5">
        <v>0</v>
      </c>
      <c r="K806" s="1" t="s">
        <v>36</v>
      </c>
      <c r="L806" s="1" t="s">
        <v>75</v>
      </c>
      <c r="M806" s="1" t="s">
        <v>37</v>
      </c>
      <c r="N806" s="3">
        <v>852</v>
      </c>
      <c r="O806" s="6">
        <f>Table1[[#This Row],[Invoice Qty]]-Table1[[#This Row],[ExFactory Qty]]</f>
        <v>0</v>
      </c>
      <c r="P806" s="1" t="s">
        <v>2374</v>
      </c>
      <c r="Q806" s="2">
        <v>46292.594120370399</v>
      </c>
      <c r="S806" s="1" t="s">
        <v>39</v>
      </c>
      <c r="U806" s="1" t="s">
        <v>40</v>
      </c>
      <c r="V806" s="1" t="s">
        <v>77</v>
      </c>
      <c r="W806" s="1" t="s">
        <v>40</v>
      </c>
      <c r="X806" s="1" t="s">
        <v>40</v>
      </c>
      <c r="AA806" s="1" t="s">
        <v>2384</v>
      </c>
      <c r="AB806" s="2">
        <v>46292</v>
      </c>
      <c r="AC806" s="2">
        <v>46292.469664351898</v>
      </c>
      <c r="AE806" s="1" t="s">
        <v>40</v>
      </c>
      <c r="AF806" s="1" t="s">
        <v>79</v>
      </c>
    </row>
    <row r="807" spans="1:32" ht="12.75" hidden="1" customHeight="1" x14ac:dyDescent="0.2">
      <c r="A807" s="1" t="s">
        <v>86</v>
      </c>
      <c r="B807" s="1" t="s">
        <v>2385</v>
      </c>
      <c r="C807" s="1" t="s">
        <v>71</v>
      </c>
      <c r="D807" s="1" t="s">
        <v>323</v>
      </c>
      <c r="E807" s="1" t="s">
        <v>1003</v>
      </c>
      <c r="F807" s="1" t="s">
        <v>134</v>
      </c>
      <c r="G807" s="3">
        <v>33</v>
      </c>
      <c r="H807" s="4">
        <v>1</v>
      </c>
      <c r="I807" s="5">
        <v>72.930000000000007</v>
      </c>
      <c r="J807" s="5">
        <v>0</v>
      </c>
      <c r="K807" s="1" t="s">
        <v>36</v>
      </c>
      <c r="L807" s="1" t="s">
        <v>75</v>
      </c>
      <c r="M807" s="1" t="s">
        <v>37</v>
      </c>
      <c r="N807" s="3">
        <v>33</v>
      </c>
      <c r="O807" s="6">
        <f>Table1[[#This Row],[Invoice Qty]]-Table1[[#This Row],[ExFactory Qty]]</f>
        <v>0</v>
      </c>
      <c r="P807" s="1" t="s">
        <v>2386</v>
      </c>
      <c r="Q807" s="2">
        <v>46292.825798611098</v>
      </c>
      <c r="S807" s="1" t="s">
        <v>39</v>
      </c>
      <c r="U807" s="1" t="s">
        <v>40</v>
      </c>
      <c r="V807" s="1" t="s">
        <v>77</v>
      </c>
      <c r="W807" s="1" t="s">
        <v>40</v>
      </c>
      <c r="X807" s="1" t="s">
        <v>40</v>
      </c>
      <c r="AA807" s="1" t="s">
        <v>2387</v>
      </c>
      <c r="AB807" s="2">
        <v>46292</v>
      </c>
      <c r="AC807" s="2">
        <v>46292.469664351898</v>
      </c>
      <c r="AE807" s="1" t="s">
        <v>40</v>
      </c>
      <c r="AF807" s="1" t="s">
        <v>326</v>
      </c>
    </row>
    <row r="808" spans="1:32" ht="12.75" hidden="1" customHeight="1" x14ac:dyDescent="0.2">
      <c r="A808" s="1" t="s">
        <v>86</v>
      </c>
      <c r="B808" s="1" t="s">
        <v>2388</v>
      </c>
      <c r="C808" s="1" t="s">
        <v>71</v>
      </c>
      <c r="D808" s="1" t="s">
        <v>72</v>
      </c>
      <c r="E808" s="1" t="s">
        <v>1267</v>
      </c>
      <c r="F808" s="1" t="s">
        <v>134</v>
      </c>
      <c r="G808" s="3">
        <v>16</v>
      </c>
      <c r="H808" s="4">
        <v>1</v>
      </c>
      <c r="I808" s="5">
        <v>44.64</v>
      </c>
      <c r="J808" s="5">
        <v>0</v>
      </c>
      <c r="K808" s="1" t="s">
        <v>36</v>
      </c>
      <c r="L808" s="1" t="s">
        <v>75</v>
      </c>
      <c r="M808" s="1" t="s">
        <v>37</v>
      </c>
      <c r="N808" s="3">
        <v>16</v>
      </c>
      <c r="O808" s="6">
        <f>Table1[[#This Row],[Invoice Qty]]-Table1[[#This Row],[ExFactory Qty]]</f>
        <v>0</v>
      </c>
      <c r="P808" s="1" t="s">
        <v>2386</v>
      </c>
      <c r="Q808" s="2">
        <v>46292.825798611098</v>
      </c>
      <c r="S808" s="1" t="s">
        <v>39</v>
      </c>
      <c r="U808" s="1" t="s">
        <v>40</v>
      </c>
      <c r="V808" s="1" t="s">
        <v>77</v>
      </c>
      <c r="W808" s="1" t="s">
        <v>40</v>
      </c>
      <c r="X808" s="1" t="s">
        <v>40</v>
      </c>
      <c r="AA808" s="1" t="s">
        <v>2389</v>
      </c>
      <c r="AB808" s="2">
        <v>46292</v>
      </c>
      <c r="AC808" s="2">
        <v>46292.469664351898</v>
      </c>
      <c r="AE808" s="1" t="s">
        <v>40</v>
      </c>
      <c r="AF808" s="1" t="s">
        <v>79</v>
      </c>
    </row>
    <row r="809" spans="1:32" ht="12.75" hidden="1" customHeight="1" x14ac:dyDescent="0.2">
      <c r="A809" s="1" t="s">
        <v>86</v>
      </c>
      <c r="B809" s="1" t="s">
        <v>2390</v>
      </c>
      <c r="C809" s="1" t="s">
        <v>71</v>
      </c>
      <c r="D809" s="1" t="s">
        <v>72</v>
      </c>
      <c r="E809" s="1" t="s">
        <v>1267</v>
      </c>
      <c r="F809" s="1" t="s">
        <v>713</v>
      </c>
      <c r="G809" s="3">
        <v>117</v>
      </c>
      <c r="H809" s="4">
        <v>2</v>
      </c>
      <c r="I809" s="5">
        <v>326.43</v>
      </c>
      <c r="J809" s="5">
        <v>0</v>
      </c>
      <c r="K809" s="1" t="s">
        <v>36</v>
      </c>
      <c r="L809" s="1" t="s">
        <v>75</v>
      </c>
      <c r="M809" s="1" t="s">
        <v>37</v>
      </c>
      <c r="N809" s="3">
        <v>117</v>
      </c>
      <c r="O809" s="6">
        <f>Table1[[#This Row],[Invoice Qty]]-Table1[[#This Row],[ExFactory Qty]]</f>
        <v>0</v>
      </c>
      <c r="P809" s="1" t="s">
        <v>2374</v>
      </c>
      <c r="Q809" s="2">
        <v>46292.594120370399</v>
      </c>
      <c r="S809" s="1" t="s">
        <v>39</v>
      </c>
      <c r="U809" s="1" t="s">
        <v>40</v>
      </c>
      <c r="V809" s="1" t="s">
        <v>77</v>
      </c>
      <c r="W809" s="1" t="s">
        <v>40</v>
      </c>
      <c r="X809" s="1" t="s">
        <v>40</v>
      </c>
      <c r="AA809" s="1" t="s">
        <v>2391</v>
      </c>
      <c r="AB809" s="2">
        <v>46292</v>
      </c>
      <c r="AC809" s="2">
        <v>46292.469664351898</v>
      </c>
      <c r="AE809" s="1" t="s">
        <v>40</v>
      </c>
      <c r="AF809" s="1" t="s">
        <v>79</v>
      </c>
    </row>
    <row r="810" spans="1:32" ht="12.75" hidden="1" customHeight="1" x14ac:dyDescent="0.2">
      <c r="A810" s="1" t="s">
        <v>86</v>
      </c>
      <c r="B810" s="1" t="s">
        <v>2392</v>
      </c>
      <c r="C810" s="1" t="s">
        <v>71</v>
      </c>
      <c r="D810" s="1" t="s">
        <v>72</v>
      </c>
      <c r="E810" s="1" t="s">
        <v>1267</v>
      </c>
      <c r="F810" s="1" t="s">
        <v>1254</v>
      </c>
      <c r="G810" s="3">
        <v>70</v>
      </c>
      <c r="H810" s="4">
        <v>1</v>
      </c>
      <c r="I810" s="5">
        <v>195.3</v>
      </c>
      <c r="J810" s="5">
        <v>0</v>
      </c>
      <c r="K810" s="1" t="s">
        <v>36</v>
      </c>
      <c r="L810" s="1" t="s">
        <v>75</v>
      </c>
      <c r="M810" s="1" t="s">
        <v>37</v>
      </c>
      <c r="N810" s="3">
        <v>70</v>
      </c>
      <c r="O810" s="6">
        <f>Table1[[#This Row],[Invoice Qty]]-Table1[[#This Row],[ExFactory Qty]]</f>
        <v>0</v>
      </c>
      <c r="P810" s="1" t="s">
        <v>2386</v>
      </c>
      <c r="Q810" s="2">
        <v>46292.825798611098</v>
      </c>
      <c r="S810" s="1" t="s">
        <v>39</v>
      </c>
      <c r="U810" s="1" t="s">
        <v>40</v>
      </c>
      <c r="V810" s="1" t="s">
        <v>77</v>
      </c>
      <c r="W810" s="1" t="s">
        <v>40</v>
      </c>
      <c r="X810" s="1" t="s">
        <v>40</v>
      </c>
      <c r="AA810" s="1" t="s">
        <v>2393</v>
      </c>
      <c r="AB810" s="2">
        <v>46292</v>
      </c>
      <c r="AC810" s="2">
        <v>46292.469664351898</v>
      </c>
      <c r="AE810" s="1" t="s">
        <v>40</v>
      </c>
      <c r="AF810" s="1" t="s">
        <v>79</v>
      </c>
    </row>
    <row r="811" spans="1:32" ht="12.75" hidden="1" customHeight="1" x14ac:dyDescent="0.2">
      <c r="A811" s="1" t="s">
        <v>86</v>
      </c>
      <c r="B811" s="1" t="s">
        <v>2394</v>
      </c>
      <c r="C811" s="1" t="s">
        <v>71</v>
      </c>
      <c r="D811" s="1" t="s">
        <v>72</v>
      </c>
      <c r="E811" s="1" t="s">
        <v>2129</v>
      </c>
      <c r="F811" s="1" t="s">
        <v>735</v>
      </c>
      <c r="G811" s="3">
        <v>168</v>
      </c>
      <c r="H811" s="4">
        <v>2</v>
      </c>
      <c r="I811" s="5">
        <v>443.52</v>
      </c>
      <c r="J811" s="5">
        <v>0</v>
      </c>
      <c r="K811" s="1" t="s">
        <v>36</v>
      </c>
      <c r="L811" s="1" t="s">
        <v>75</v>
      </c>
      <c r="M811" s="1" t="s">
        <v>37</v>
      </c>
      <c r="N811" s="3">
        <v>168</v>
      </c>
      <c r="O811" s="6">
        <f>Table1[[#This Row],[Invoice Qty]]-Table1[[#This Row],[ExFactory Qty]]</f>
        <v>0</v>
      </c>
      <c r="P811" s="1" t="s">
        <v>2386</v>
      </c>
      <c r="Q811" s="2">
        <v>46292.825798611098</v>
      </c>
      <c r="S811" s="1" t="s">
        <v>39</v>
      </c>
      <c r="U811" s="1" t="s">
        <v>40</v>
      </c>
      <c r="V811" s="1" t="s">
        <v>77</v>
      </c>
      <c r="W811" s="1" t="s">
        <v>40</v>
      </c>
      <c r="X811" s="1" t="s">
        <v>40</v>
      </c>
      <c r="AA811" s="1" t="s">
        <v>2395</v>
      </c>
      <c r="AB811" s="2">
        <v>46292</v>
      </c>
      <c r="AC811" s="2">
        <v>46292.469664351898</v>
      </c>
      <c r="AE811" s="1" t="s">
        <v>40</v>
      </c>
      <c r="AF811" s="1" t="s">
        <v>79</v>
      </c>
    </row>
    <row r="812" spans="1:32" ht="12.75" hidden="1" customHeight="1" x14ac:dyDescent="0.2">
      <c r="A812" s="1" t="s">
        <v>86</v>
      </c>
      <c r="B812" s="1" t="s">
        <v>2396</v>
      </c>
      <c r="C812" s="1" t="s">
        <v>71</v>
      </c>
      <c r="D812" s="1" t="s">
        <v>72</v>
      </c>
      <c r="E812" s="1" t="s">
        <v>2129</v>
      </c>
      <c r="F812" s="1" t="s">
        <v>727</v>
      </c>
      <c r="G812" s="3">
        <v>1521</v>
      </c>
      <c r="H812" s="4">
        <v>16</v>
      </c>
      <c r="I812" s="5">
        <v>4015.44</v>
      </c>
      <c r="J812" s="5">
        <v>0</v>
      </c>
      <c r="K812" s="1" t="s">
        <v>36</v>
      </c>
      <c r="L812" s="1" t="s">
        <v>75</v>
      </c>
      <c r="M812" s="1" t="s">
        <v>37</v>
      </c>
      <c r="N812" s="3">
        <v>1521</v>
      </c>
      <c r="O812" s="6">
        <f>Table1[[#This Row],[Invoice Qty]]-Table1[[#This Row],[ExFactory Qty]]</f>
        <v>0</v>
      </c>
      <c r="P812" s="1" t="s">
        <v>2374</v>
      </c>
      <c r="Q812" s="2">
        <v>46292.594120370399</v>
      </c>
      <c r="S812" s="1" t="s">
        <v>39</v>
      </c>
      <c r="U812" s="1" t="s">
        <v>40</v>
      </c>
      <c r="V812" s="1" t="s">
        <v>77</v>
      </c>
      <c r="W812" s="1" t="s">
        <v>40</v>
      </c>
      <c r="X812" s="1" t="s">
        <v>40</v>
      </c>
      <c r="AA812" s="1" t="s">
        <v>2397</v>
      </c>
      <c r="AB812" s="2">
        <v>46292</v>
      </c>
      <c r="AC812" s="2">
        <v>46292.469664351898</v>
      </c>
      <c r="AE812" s="1" t="s">
        <v>40</v>
      </c>
      <c r="AF812" s="1" t="s">
        <v>79</v>
      </c>
    </row>
    <row r="813" spans="1:32" ht="12.75" hidden="1" customHeight="1" x14ac:dyDescent="0.2">
      <c r="A813" s="1" t="s">
        <v>86</v>
      </c>
      <c r="B813" s="1" t="s">
        <v>2398</v>
      </c>
      <c r="C813" s="1" t="s">
        <v>71</v>
      </c>
      <c r="D813" s="1" t="s">
        <v>72</v>
      </c>
      <c r="E813" s="1" t="s">
        <v>685</v>
      </c>
      <c r="F813" s="1" t="s">
        <v>713</v>
      </c>
      <c r="G813" s="3">
        <v>1448</v>
      </c>
      <c r="H813" s="4">
        <v>15</v>
      </c>
      <c r="I813" s="5">
        <v>3822.72</v>
      </c>
      <c r="J813" s="5">
        <v>0</v>
      </c>
      <c r="K813" s="1" t="s">
        <v>36</v>
      </c>
      <c r="L813" s="1" t="s">
        <v>75</v>
      </c>
      <c r="M813" s="1" t="s">
        <v>37</v>
      </c>
      <c r="N813" s="3">
        <v>1448</v>
      </c>
      <c r="O813" s="6">
        <f>Table1[[#This Row],[Invoice Qty]]-Table1[[#This Row],[ExFactory Qty]]</f>
        <v>0</v>
      </c>
      <c r="P813" s="1" t="s">
        <v>2374</v>
      </c>
      <c r="Q813" s="2">
        <v>46292.594120370399</v>
      </c>
      <c r="S813" s="1" t="s">
        <v>39</v>
      </c>
      <c r="U813" s="1" t="s">
        <v>40</v>
      </c>
      <c r="V813" s="1" t="s">
        <v>77</v>
      </c>
      <c r="W813" s="1" t="s">
        <v>40</v>
      </c>
      <c r="X813" s="1" t="s">
        <v>40</v>
      </c>
      <c r="AA813" s="1" t="s">
        <v>2399</v>
      </c>
      <c r="AB813" s="2">
        <v>46292</v>
      </c>
      <c r="AC813" s="2">
        <v>46292.469664351898</v>
      </c>
      <c r="AE813" s="1" t="s">
        <v>40</v>
      </c>
      <c r="AF813" s="1" t="s">
        <v>79</v>
      </c>
    </row>
    <row r="814" spans="1:32" ht="12.75" hidden="1" customHeight="1" x14ac:dyDescent="0.2">
      <c r="A814" s="1" t="s">
        <v>86</v>
      </c>
      <c r="B814" s="1" t="s">
        <v>2400</v>
      </c>
      <c r="C814" s="1" t="s">
        <v>71</v>
      </c>
      <c r="D814" s="1" t="s">
        <v>72</v>
      </c>
      <c r="E814" s="1" t="s">
        <v>685</v>
      </c>
      <c r="F814" s="1" t="s">
        <v>1254</v>
      </c>
      <c r="G814" s="3">
        <v>461</v>
      </c>
      <c r="H814" s="4">
        <v>6</v>
      </c>
      <c r="I814" s="5">
        <v>1217.04</v>
      </c>
      <c r="J814" s="5">
        <v>0</v>
      </c>
      <c r="K814" s="1" t="s">
        <v>36</v>
      </c>
      <c r="L814" s="1" t="s">
        <v>75</v>
      </c>
      <c r="M814" s="1" t="s">
        <v>37</v>
      </c>
      <c r="N814" s="3">
        <v>461</v>
      </c>
      <c r="O814" s="6">
        <f>Table1[[#This Row],[Invoice Qty]]-Table1[[#This Row],[ExFactory Qty]]</f>
        <v>0</v>
      </c>
      <c r="P814" s="1" t="s">
        <v>2386</v>
      </c>
      <c r="Q814" s="2">
        <v>46292.825798611098</v>
      </c>
      <c r="S814" s="1" t="s">
        <v>39</v>
      </c>
      <c r="U814" s="1" t="s">
        <v>40</v>
      </c>
      <c r="V814" s="1" t="s">
        <v>77</v>
      </c>
      <c r="W814" s="1" t="s">
        <v>40</v>
      </c>
      <c r="X814" s="1" t="s">
        <v>40</v>
      </c>
      <c r="AA814" s="1" t="s">
        <v>2401</v>
      </c>
      <c r="AB814" s="2">
        <v>46292</v>
      </c>
      <c r="AC814" s="2">
        <v>46292.469664351898</v>
      </c>
      <c r="AE814" s="1" t="s">
        <v>40</v>
      </c>
      <c r="AF814" s="1" t="s">
        <v>79</v>
      </c>
    </row>
    <row r="815" spans="1:32" ht="12.75" hidden="1" customHeight="1" x14ac:dyDescent="0.2">
      <c r="A815" s="1" t="s">
        <v>86</v>
      </c>
      <c r="B815" s="1" t="s">
        <v>2402</v>
      </c>
      <c r="C815" s="1" t="s">
        <v>71</v>
      </c>
      <c r="D815" s="1" t="s">
        <v>72</v>
      </c>
      <c r="E815" s="1" t="s">
        <v>685</v>
      </c>
      <c r="F815" s="1" t="s">
        <v>134</v>
      </c>
      <c r="G815" s="3">
        <v>2330</v>
      </c>
      <c r="H815" s="4">
        <v>23</v>
      </c>
      <c r="I815" s="5">
        <v>6151.2</v>
      </c>
      <c r="J815" s="5">
        <v>0</v>
      </c>
      <c r="K815" s="1" t="s">
        <v>36</v>
      </c>
      <c r="L815" s="1" t="s">
        <v>75</v>
      </c>
      <c r="M815" s="1" t="s">
        <v>37</v>
      </c>
      <c r="N815" s="3">
        <v>2330</v>
      </c>
      <c r="O815" s="6">
        <f>Table1[[#This Row],[Invoice Qty]]-Table1[[#This Row],[ExFactory Qty]]</f>
        <v>0</v>
      </c>
      <c r="P815" s="1" t="s">
        <v>2386</v>
      </c>
      <c r="Q815" s="2">
        <v>46292.825798611098</v>
      </c>
      <c r="S815" s="1" t="s">
        <v>39</v>
      </c>
      <c r="U815" s="1" t="s">
        <v>40</v>
      </c>
      <c r="V815" s="1" t="s">
        <v>77</v>
      </c>
      <c r="W815" s="1" t="s">
        <v>40</v>
      </c>
      <c r="X815" s="1" t="s">
        <v>40</v>
      </c>
      <c r="AA815" s="1" t="s">
        <v>2403</v>
      </c>
      <c r="AB815" s="2">
        <v>46292</v>
      </c>
      <c r="AC815" s="2">
        <v>46292.469664351898</v>
      </c>
      <c r="AE815" s="1" t="s">
        <v>40</v>
      </c>
      <c r="AF815" s="1" t="s">
        <v>79</v>
      </c>
    </row>
    <row r="816" spans="1:32" ht="12.75" hidden="1" customHeight="1" x14ac:dyDescent="0.2">
      <c r="A816" s="1" t="s">
        <v>86</v>
      </c>
      <c r="B816" s="1" t="s">
        <v>2404</v>
      </c>
      <c r="C816" s="1" t="s">
        <v>71</v>
      </c>
      <c r="D816" s="1" t="s">
        <v>72</v>
      </c>
      <c r="E816" s="1" t="s">
        <v>2134</v>
      </c>
      <c r="F816" s="1" t="s">
        <v>384</v>
      </c>
      <c r="G816" s="3">
        <v>30</v>
      </c>
      <c r="H816" s="4">
        <v>1</v>
      </c>
      <c r="I816" s="5">
        <v>78.3</v>
      </c>
      <c r="J816" s="5">
        <v>0</v>
      </c>
      <c r="K816" s="1" t="s">
        <v>36</v>
      </c>
      <c r="L816" s="1" t="s">
        <v>75</v>
      </c>
      <c r="M816" s="1" t="s">
        <v>37</v>
      </c>
      <c r="N816" s="3">
        <v>30</v>
      </c>
      <c r="O816" s="6">
        <f>Table1[[#This Row],[Invoice Qty]]-Table1[[#This Row],[ExFactory Qty]]</f>
        <v>0</v>
      </c>
      <c r="P816" s="1" t="s">
        <v>2374</v>
      </c>
      <c r="Q816" s="2">
        <v>46292.594120370399</v>
      </c>
      <c r="S816" s="1" t="s">
        <v>39</v>
      </c>
      <c r="U816" s="1" t="s">
        <v>40</v>
      </c>
      <c r="V816" s="1" t="s">
        <v>77</v>
      </c>
      <c r="W816" s="1" t="s">
        <v>40</v>
      </c>
      <c r="X816" s="1" t="s">
        <v>40</v>
      </c>
      <c r="AA816" s="1" t="s">
        <v>2405</v>
      </c>
      <c r="AB816" s="2">
        <v>46292</v>
      </c>
      <c r="AC816" s="2">
        <v>46292.469664351898</v>
      </c>
      <c r="AE816" s="1" t="s">
        <v>40</v>
      </c>
      <c r="AF816" s="1" t="s">
        <v>79</v>
      </c>
    </row>
    <row r="817" spans="1:32" ht="12.75" hidden="1" customHeight="1" x14ac:dyDescent="0.2">
      <c r="A817" s="1" t="s">
        <v>86</v>
      </c>
      <c r="B817" s="1" t="s">
        <v>2406</v>
      </c>
      <c r="C817" s="1" t="s">
        <v>71</v>
      </c>
      <c r="D817" s="1" t="s">
        <v>72</v>
      </c>
      <c r="E817" s="1" t="s">
        <v>2134</v>
      </c>
      <c r="F817" s="1" t="s">
        <v>654</v>
      </c>
      <c r="G817" s="3">
        <v>511</v>
      </c>
      <c r="H817" s="4">
        <v>7</v>
      </c>
      <c r="I817" s="5">
        <v>1333.71</v>
      </c>
      <c r="J817" s="5">
        <v>0</v>
      </c>
      <c r="K817" s="1" t="s">
        <v>36</v>
      </c>
      <c r="L817" s="1" t="s">
        <v>75</v>
      </c>
      <c r="M817" s="1" t="s">
        <v>37</v>
      </c>
      <c r="N817" s="3">
        <v>511</v>
      </c>
      <c r="O817" s="6">
        <f>Table1[[#This Row],[Invoice Qty]]-Table1[[#This Row],[ExFactory Qty]]</f>
        <v>0</v>
      </c>
      <c r="P817" s="1" t="s">
        <v>2386</v>
      </c>
      <c r="Q817" s="2">
        <v>46292.825798611098</v>
      </c>
      <c r="S817" s="1" t="s">
        <v>39</v>
      </c>
      <c r="U817" s="1" t="s">
        <v>40</v>
      </c>
      <c r="V817" s="1" t="s">
        <v>77</v>
      </c>
      <c r="W817" s="1" t="s">
        <v>40</v>
      </c>
      <c r="X817" s="1" t="s">
        <v>40</v>
      </c>
      <c r="AA817" s="1" t="s">
        <v>2407</v>
      </c>
      <c r="AB817" s="2">
        <v>46292</v>
      </c>
      <c r="AC817" s="2">
        <v>46292.469664351898</v>
      </c>
      <c r="AE817" s="1" t="s">
        <v>40</v>
      </c>
      <c r="AF817" s="1" t="s">
        <v>79</v>
      </c>
    </row>
    <row r="818" spans="1:32" ht="12.75" hidden="1" customHeight="1" x14ac:dyDescent="0.2">
      <c r="A818" s="1" t="s">
        <v>86</v>
      </c>
      <c r="B818" s="1" t="s">
        <v>2408</v>
      </c>
      <c r="C818" s="1" t="s">
        <v>71</v>
      </c>
      <c r="D818" s="1" t="s">
        <v>323</v>
      </c>
      <c r="E818" s="1" t="s">
        <v>1023</v>
      </c>
      <c r="F818" s="1" t="s">
        <v>134</v>
      </c>
      <c r="G818" s="3">
        <v>54</v>
      </c>
      <c r="H818" s="4">
        <v>1</v>
      </c>
      <c r="I818" s="5">
        <v>118.8</v>
      </c>
      <c r="J818" s="5">
        <v>0</v>
      </c>
      <c r="K818" s="1" t="s">
        <v>36</v>
      </c>
      <c r="L818" s="1" t="s">
        <v>75</v>
      </c>
      <c r="M818" s="1" t="s">
        <v>37</v>
      </c>
      <c r="N818" s="3">
        <v>54</v>
      </c>
      <c r="O818" s="6">
        <f>Table1[[#This Row],[Invoice Qty]]-Table1[[#This Row],[ExFactory Qty]]</f>
        <v>0</v>
      </c>
      <c r="P818" s="1" t="s">
        <v>2386</v>
      </c>
      <c r="Q818" s="2">
        <v>46292.825798611098</v>
      </c>
      <c r="S818" s="1" t="s">
        <v>39</v>
      </c>
      <c r="U818" s="1" t="s">
        <v>40</v>
      </c>
      <c r="V818" s="1" t="s">
        <v>77</v>
      </c>
      <c r="W818" s="1" t="s">
        <v>40</v>
      </c>
      <c r="X818" s="1" t="s">
        <v>40</v>
      </c>
      <c r="AA818" s="1" t="s">
        <v>2409</v>
      </c>
      <c r="AB818" s="2">
        <v>46292</v>
      </c>
      <c r="AC818" s="2">
        <v>46292.469664351898</v>
      </c>
      <c r="AE818" s="1" t="s">
        <v>40</v>
      </c>
      <c r="AF818" s="1" t="s">
        <v>326</v>
      </c>
    </row>
    <row r="819" spans="1:32" ht="12.75" hidden="1" customHeight="1" x14ac:dyDescent="0.2">
      <c r="A819" s="1" t="s">
        <v>86</v>
      </c>
      <c r="B819" s="1" t="s">
        <v>2410</v>
      </c>
      <c r="C819" s="1" t="s">
        <v>71</v>
      </c>
      <c r="D819" s="1" t="s">
        <v>72</v>
      </c>
      <c r="E819" s="1" t="s">
        <v>2411</v>
      </c>
      <c r="F819" s="1" t="s">
        <v>384</v>
      </c>
      <c r="G819" s="3">
        <v>13</v>
      </c>
      <c r="H819" s="4">
        <v>1</v>
      </c>
      <c r="I819" s="5">
        <v>35.880000000000003</v>
      </c>
      <c r="J819" s="5">
        <v>0</v>
      </c>
      <c r="K819" s="1" t="s">
        <v>36</v>
      </c>
      <c r="L819" s="1" t="s">
        <v>75</v>
      </c>
      <c r="M819" s="1" t="s">
        <v>37</v>
      </c>
      <c r="N819" s="3">
        <v>13</v>
      </c>
      <c r="O819" s="6">
        <f>Table1[[#This Row],[Invoice Qty]]-Table1[[#This Row],[ExFactory Qty]]</f>
        <v>0</v>
      </c>
      <c r="P819" s="1" t="s">
        <v>2374</v>
      </c>
      <c r="Q819" s="2">
        <v>46292.594120370399</v>
      </c>
      <c r="S819" s="1" t="s">
        <v>39</v>
      </c>
      <c r="U819" s="1" t="s">
        <v>40</v>
      </c>
      <c r="V819" s="1" t="s">
        <v>77</v>
      </c>
      <c r="W819" s="1" t="s">
        <v>40</v>
      </c>
      <c r="X819" s="1" t="s">
        <v>40</v>
      </c>
      <c r="AA819" s="1" t="s">
        <v>2412</v>
      </c>
      <c r="AB819" s="2">
        <v>46292</v>
      </c>
      <c r="AC819" s="2">
        <v>46292.469664351898</v>
      </c>
      <c r="AE819" s="1" t="s">
        <v>40</v>
      </c>
      <c r="AF819" s="1" t="s">
        <v>79</v>
      </c>
    </row>
    <row r="820" spans="1:32" ht="12.75" hidden="1" customHeight="1" x14ac:dyDescent="0.2">
      <c r="A820" s="1" t="s">
        <v>86</v>
      </c>
      <c r="B820" s="1" t="s">
        <v>2413</v>
      </c>
      <c r="C820" s="1" t="s">
        <v>71</v>
      </c>
      <c r="D820" s="1" t="s">
        <v>72</v>
      </c>
      <c r="E820" s="1" t="s">
        <v>2411</v>
      </c>
      <c r="F820" s="1" t="s">
        <v>654</v>
      </c>
      <c r="G820" s="3">
        <v>237</v>
      </c>
      <c r="H820" s="4">
        <v>5</v>
      </c>
      <c r="I820" s="5">
        <v>654.12</v>
      </c>
      <c r="J820" s="5">
        <v>0</v>
      </c>
      <c r="K820" s="1" t="s">
        <v>36</v>
      </c>
      <c r="L820" s="1" t="s">
        <v>75</v>
      </c>
      <c r="M820" s="1" t="s">
        <v>37</v>
      </c>
      <c r="N820" s="3">
        <v>237</v>
      </c>
      <c r="O820" s="6">
        <f>Table1[[#This Row],[Invoice Qty]]-Table1[[#This Row],[ExFactory Qty]]</f>
        <v>0</v>
      </c>
      <c r="P820" s="1" t="s">
        <v>2386</v>
      </c>
      <c r="Q820" s="2">
        <v>46292.825798611098</v>
      </c>
      <c r="S820" s="1" t="s">
        <v>39</v>
      </c>
      <c r="U820" s="1" t="s">
        <v>40</v>
      </c>
      <c r="V820" s="1" t="s">
        <v>77</v>
      </c>
      <c r="W820" s="1" t="s">
        <v>40</v>
      </c>
      <c r="X820" s="1" t="s">
        <v>40</v>
      </c>
      <c r="AA820" s="1" t="s">
        <v>2414</v>
      </c>
      <c r="AB820" s="2">
        <v>46292</v>
      </c>
      <c r="AC820" s="2">
        <v>46292.469664351898</v>
      </c>
      <c r="AE820" s="1" t="s">
        <v>40</v>
      </c>
      <c r="AF820" s="1" t="s">
        <v>79</v>
      </c>
    </row>
    <row r="821" spans="1:32" ht="12.75" hidden="1" customHeight="1" x14ac:dyDescent="0.2">
      <c r="A821" s="1" t="s">
        <v>86</v>
      </c>
      <c r="B821" s="1" t="s">
        <v>2415</v>
      </c>
      <c r="C821" s="1" t="s">
        <v>71</v>
      </c>
      <c r="D821" s="1" t="s">
        <v>72</v>
      </c>
      <c r="E821" s="1" t="s">
        <v>1321</v>
      </c>
      <c r="F821" s="1" t="s">
        <v>269</v>
      </c>
      <c r="G821" s="3">
        <v>7</v>
      </c>
      <c r="H821" s="4">
        <v>1</v>
      </c>
      <c r="I821" s="5">
        <v>13.58</v>
      </c>
      <c r="J821" s="5">
        <v>0</v>
      </c>
      <c r="K821" s="1" t="s">
        <v>36</v>
      </c>
      <c r="L821" s="1" t="s">
        <v>75</v>
      </c>
      <c r="M821" s="1" t="s">
        <v>37</v>
      </c>
      <c r="N821" s="3">
        <v>7</v>
      </c>
      <c r="O821" s="6">
        <f>Table1[[#This Row],[Invoice Qty]]-Table1[[#This Row],[ExFactory Qty]]</f>
        <v>0</v>
      </c>
      <c r="P821" s="1" t="s">
        <v>2416</v>
      </c>
      <c r="Q821" s="2">
        <v>46292.824675925898</v>
      </c>
      <c r="S821" s="1" t="s">
        <v>39</v>
      </c>
      <c r="U821" s="1" t="s">
        <v>40</v>
      </c>
      <c r="V821" s="1" t="s">
        <v>77</v>
      </c>
      <c r="W821" s="1" t="s">
        <v>40</v>
      </c>
      <c r="X821" s="1" t="s">
        <v>40</v>
      </c>
      <c r="AA821" s="1" t="s">
        <v>2417</v>
      </c>
      <c r="AB821" s="2">
        <v>46292</v>
      </c>
      <c r="AC821" s="2">
        <v>46292.469664351898</v>
      </c>
      <c r="AE821" s="1" t="s">
        <v>40</v>
      </c>
      <c r="AF821" s="1" t="s">
        <v>79</v>
      </c>
    </row>
    <row r="822" spans="1:32" ht="12.75" hidden="1" customHeight="1" x14ac:dyDescent="0.2">
      <c r="A822" s="1" t="s">
        <v>86</v>
      </c>
      <c r="B822" s="1" t="s">
        <v>2418</v>
      </c>
      <c r="C822" s="1" t="s">
        <v>71</v>
      </c>
      <c r="D822" s="1" t="s">
        <v>72</v>
      </c>
      <c r="E822" s="1" t="s">
        <v>1321</v>
      </c>
      <c r="F822" s="1" t="s">
        <v>651</v>
      </c>
      <c r="G822" s="3">
        <v>3</v>
      </c>
      <c r="H822" s="4">
        <v>1</v>
      </c>
      <c r="I822" s="5">
        <v>5.82</v>
      </c>
      <c r="J822" s="5">
        <v>0</v>
      </c>
      <c r="K822" s="1" t="s">
        <v>36</v>
      </c>
      <c r="L822" s="1" t="s">
        <v>75</v>
      </c>
      <c r="M822" s="1" t="s">
        <v>37</v>
      </c>
      <c r="N822" s="3">
        <v>3</v>
      </c>
      <c r="O822" s="6">
        <f>Table1[[#This Row],[Invoice Qty]]-Table1[[#This Row],[ExFactory Qty]]</f>
        <v>0</v>
      </c>
      <c r="P822" s="1" t="s">
        <v>2416</v>
      </c>
      <c r="Q822" s="2">
        <v>46292.824675925898</v>
      </c>
      <c r="S822" s="1" t="s">
        <v>39</v>
      </c>
      <c r="U822" s="1" t="s">
        <v>40</v>
      </c>
      <c r="V822" s="1" t="s">
        <v>77</v>
      </c>
      <c r="W822" s="1" t="s">
        <v>40</v>
      </c>
      <c r="X822" s="1" t="s">
        <v>40</v>
      </c>
      <c r="AA822" s="1" t="s">
        <v>2419</v>
      </c>
      <c r="AB822" s="2">
        <v>46292</v>
      </c>
      <c r="AC822" s="2">
        <v>46292.469664351898</v>
      </c>
      <c r="AE822" s="1" t="s">
        <v>40</v>
      </c>
      <c r="AF822" s="1" t="s">
        <v>79</v>
      </c>
    </row>
    <row r="823" spans="1:32" ht="12.75" hidden="1" customHeight="1" x14ac:dyDescent="0.2">
      <c r="A823" s="1" t="s">
        <v>86</v>
      </c>
      <c r="B823" s="1" t="s">
        <v>2420</v>
      </c>
      <c r="C823" s="1" t="s">
        <v>71</v>
      </c>
      <c r="D823" s="1" t="s">
        <v>72</v>
      </c>
      <c r="E823" s="1" t="s">
        <v>1328</v>
      </c>
      <c r="F823" s="1" t="s">
        <v>269</v>
      </c>
      <c r="G823" s="3">
        <v>4154</v>
      </c>
      <c r="H823" s="4">
        <v>56</v>
      </c>
      <c r="I823" s="5">
        <v>11589.66</v>
      </c>
      <c r="J823" s="5">
        <v>0</v>
      </c>
      <c r="K823" s="1" t="s">
        <v>36</v>
      </c>
      <c r="L823" s="1" t="s">
        <v>75</v>
      </c>
      <c r="M823" s="1" t="s">
        <v>37</v>
      </c>
      <c r="N823" s="3">
        <v>4154</v>
      </c>
      <c r="O823" s="6">
        <f>Table1[[#This Row],[Invoice Qty]]-Table1[[#This Row],[ExFactory Qty]]</f>
        <v>0</v>
      </c>
      <c r="P823" s="1" t="s">
        <v>2416</v>
      </c>
      <c r="Q823" s="2">
        <v>46292.824675925898</v>
      </c>
      <c r="S823" s="1" t="s">
        <v>39</v>
      </c>
      <c r="U823" s="1" t="s">
        <v>40</v>
      </c>
      <c r="V823" s="1" t="s">
        <v>77</v>
      </c>
      <c r="W823" s="1" t="s">
        <v>40</v>
      </c>
      <c r="X823" s="1" t="s">
        <v>40</v>
      </c>
      <c r="AA823" s="1" t="s">
        <v>2421</v>
      </c>
      <c r="AB823" s="2">
        <v>46292</v>
      </c>
      <c r="AC823" s="2">
        <v>46292.469664351898</v>
      </c>
      <c r="AE823" s="1" t="s">
        <v>40</v>
      </c>
      <c r="AF823" s="1" t="s">
        <v>79</v>
      </c>
    </row>
    <row r="824" spans="1:32" ht="12.75" hidden="1" customHeight="1" x14ac:dyDescent="0.2">
      <c r="A824" s="1" t="s">
        <v>86</v>
      </c>
      <c r="B824" s="1" t="s">
        <v>2422</v>
      </c>
      <c r="C824" s="1" t="s">
        <v>71</v>
      </c>
      <c r="D824" s="1" t="s">
        <v>72</v>
      </c>
      <c r="E824" s="1" t="s">
        <v>1328</v>
      </c>
      <c r="F824" s="1" t="s">
        <v>269</v>
      </c>
      <c r="G824" s="3">
        <v>1793</v>
      </c>
      <c r="H824" s="4">
        <v>26</v>
      </c>
      <c r="I824" s="5">
        <v>5002.47</v>
      </c>
      <c r="J824" s="5">
        <v>0</v>
      </c>
      <c r="K824" s="1" t="s">
        <v>36</v>
      </c>
      <c r="L824" s="1" t="s">
        <v>75</v>
      </c>
      <c r="M824" s="1" t="s">
        <v>37</v>
      </c>
      <c r="N824" s="3">
        <v>1793</v>
      </c>
      <c r="O824" s="6">
        <f>Table1[[#This Row],[Invoice Qty]]-Table1[[#This Row],[ExFactory Qty]]</f>
        <v>0</v>
      </c>
      <c r="P824" s="1" t="s">
        <v>2416</v>
      </c>
      <c r="Q824" s="2">
        <v>46292.824675925898</v>
      </c>
      <c r="S824" s="1" t="s">
        <v>39</v>
      </c>
      <c r="U824" s="1" t="s">
        <v>40</v>
      </c>
      <c r="V824" s="1" t="s">
        <v>77</v>
      </c>
      <c r="W824" s="1" t="s">
        <v>40</v>
      </c>
      <c r="X824" s="1" t="s">
        <v>40</v>
      </c>
      <c r="AA824" s="1" t="s">
        <v>2423</v>
      </c>
      <c r="AB824" s="2">
        <v>46292</v>
      </c>
      <c r="AC824" s="2">
        <v>46292.469664351898</v>
      </c>
      <c r="AE824" s="1" t="s">
        <v>40</v>
      </c>
      <c r="AF824" s="1" t="s">
        <v>79</v>
      </c>
    </row>
    <row r="825" spans="1:32" ht="12.75" hidden="1" customHeight="1" x14ac:dyDescent="0.2">
      <c r="A825" s="1" t="s">
        <v>86</v>
      </c>
      <c r="B825" s="1" t="s">
        <v>2424</v>
      </c>
      <c r="C825" s="1" t="s">
        <v>71</v>
      </c>
      <c r="D825" s="1" t="s">
        <v>457</v>
      </c>
      <c r="E825" s="1" t="s">
        <v>1028</v>
      </c>
      <c r="F825" s="1" t="s">
        <v>134</v>
      </c>
      <c r="G825" s="3">
        <v>442</v>
      </c>
      <c r="H825" s="4">
        <v>8</v>
      </c>
      <c r="I825" s="5">
        <v>1869.66</v>
      </c>
      <c r="J825" s="5">
        <v>0</v>
      </c>
      <c r="K825" s="1" t="s">
        <v>36</v>
      </c>
      <c r="L825" s="1" t="s">
        <v>75</v>
      </c>
      <c r="M825" s="1" t="s">
        <v>37</v>
      </c>
      <c r="N825" s="3">
        <v>442</v>
      </c>
      <c r="O825" s="6">
        <f>Table1[[#This Row],[Invoice Qty]]-Table1[[#This Row],[ExFactory Qty]]</f>
        <v>0</v>
      </c>
      <c r="P825" s="1" t="s">
        <v>2386</v>
      </c>
      <c r="Q825" s="2">
        <v>46292.825798611098</v>
      </c>
      <c r="S825" s="1" t="s">
        <v>39</v>
      </c>
      <c r="U825" s="1" t="s">
        <v>40</v>
      </c>
      <c r="V825" s="1" t="s">
        <v>77</v>
      </c>
      <c r="W825" s="1" t="s">
        <v>40</v>
      </c>
      <c r="X825" s="1" t="s">
        <v>40</v>
      </c>
      <c r="AA825" s="1" t="s">
        <v>2425</v>
      </c>
      <c r="AB825" s="2">
        <v>46292</v>
      </c>
      <c r="AC825" s="2">
        <v>46292.469664351898</v>
      </c>
      <c r="AE825" s="1" t="s">
        <v>40</v>
      </c>
      <c r="AF825" s="1" t="s">
        <v>326</v>
      </c>
    </row>
    <row r="826" spans="1:32" ht="12.75" hidden="1" customHeight="1" x14ac:dyDescent="0.2">
      <c r="A826" s="1" t="s">
        <v>86</v>
      </c>
      <c r="B826" s="1" t="s">
        <v>2426</v>
      </c>
      <c r="C826" s="1" t="s">
        <v>71</v>
      </c>
      <c r="D826" s="1" t="s">
        <v>457</v>
      </c>
      <c r="E826" s="1" t="s">
        <v>1028</v>
      </c>
      <c r="F826" s="1" t="s">
        <v>269</v>
      </c>
      <c r="G826" s="3">
        <v>4929</v>
      </c>
      <c r="H826" s="4">
        <v>59</v>
      </c>
      <c r="I826" s="5">
        <v>20849.669999999998</v>
      </c>
      <c r="J826" s="5">
        <v>0</v>
      </c>
      <c r="K826" s="1" t="s">
        <v>36</v>
      </c>
      <c r="L826" s="1" t="s">
        <v>75</v>
      </c>
      <c r="M826" s="1" t="s">
        <v>37</v>
      </c>
      <c r="N826" s="3">
        <v>4929</v>
      </c>
      <c r="O826" s="6">
        <f>Table1[[#This Row],[Invoice Qty]]-Table1[[#This Row],[ExFactory Qty]]</f>
        <v>0</v>
      </c>
      <c r="P826" s="1" t="s">
        <v>2416</v>
      </c>
      <c r="Q826" s="2">
        <v>46292.824675925898</v>
      </c>
      <c r="S826" s="1" t="s">
        <v>39</v>
      </c>
      <c r="U826" s="1" t="s">
        <v>40</v>
      </c>
      <c r="V826" s="1" t="s">
        <v>77</v>
      </c>
      <c r="W826" s="1" t="s">
        <v>40</v>
      </c>
      <c r="X826" s="1" t="s">
        <v>40</v>
      </c>
      <c r="AA826" s="1" t="s">
        <v>2427</v>
      </c>
      <c r="AB826" s="2">
        <v>46292</v>
      </c>
      <c r="AC826" s="2">
        <v>46292.469664351898</v>
      </c>
      <c r="AE826" s="1" t="s">
        <v>40</v>
      </c>
      <c r="AF826" s="1" t="s">
        <v>326</v>
      </c>
    </row>
    <row r="827" spans="1:32" ht="12.75" hidden="1" customHeight="1" x14ac:dyDescent="0.2">
      <c r="A827" s="1" t="s">
        <v>86</v>
      </c>
      <c r="B827" s="1" t="s">
        <v>2428</v>
      </c>
      <c r="C827" s="1" t="s">
        <v>71</v>
      </c>
      <c r="D827" s="1" t="s">
        <v>457</v>
      </c>
      <c r="E827" s="1" t="s">
        <v>1028</v>
      </c>
      <c r="F827" s="1" t="s">
        <v>269</v>
      </c>
      <c r="G827" s="3">
        <v>2788</v>
      </c>
      <c r="H827" s="4">
        <v>34</v>
      </c>
      <c r="I827" s="5">
        <v>11793.24</v>
      </c>
      <c r="J827" s="5">
        <v>0</v>
      </c>
      <c r="K827" s="1" t="s">
        <v>36</v>
      </c>
      <c r="L827" s="1" t="s">
        <v>75</v>
      </c>
      <c r="M827" s="1" t="s">
        <v>37</v>
      </c>
      <c r="N827" s="3">
        <v>2788</v>
      </c>
      <c r="O827" s="6">
        <f>Table1[[#This Row],[Invoice Qty]]-Table1[[#This Row],[ExFactory Qty]]</f>
        <v>0</v>
      </c>
      <c r="P827" s="1" t="s">
        <v>2416</v>
      </c>
      <c r="Q827" s="2">
        <v>46292.824675925898</v>
      </c>
      <c r="S827" s="1" t="s">
        <v>39</v>
      </c>
      <c r="U827" s="1" t="s">
        <v>40</v>
      </c>
      <c r="V827" s="1" t="s">
        <v>77</v>
      </c>
      <c r="W827" s="1" t="s">
        <v>40</v>
      </c>
      <c r="X827" s="1" t="s">
        <v>40</v>
      </c>
      <c r="AA827" s="1" t="s">
        <v>2429</v>
      </c>
      <c r="AB827" s="2">
        <v>46292</v>
      </c>
      <c r="AC827" s="2">
        <v>46292.469664351898</v>
      </c>
      <c r="AE827" s="1" t="s">
        <v>40</v>
      </c>
      <c r="AF827" s="1" t="s">
        <v>326</v>
      </c>
    </row>
    <row r="828" spans="1:32" ht="12.75" hidden="1" customHeight="1" x14ac:dyDescent="0.2">
      <c r="A828" s="1" t="s">
        <v>86</v>
      </c>
      <c r="B828" s="1" t="s">
        <v>2430</v>
      </c>
      <c r="C828" s="1" t="s">
        <v>766</v>
      </c>
      <c r="D828" s="1" t="s">
        <v>767</v>
      </c>
      <c r="E828" s="1" t="s">
        <v>2431</v>
      </c>
      <c r="F828" s="1" t="s">
        <v>35</v>
      </c>
      <c r="G828" s="3">
        <v>365</v>
      </c>
      <c r="H828" s="4">
        <v>10</v>
      </c>
      <c r="I828" s="5">
        <v>1974.65</v>
      </c>
      <c r="J828" s="5">
        <v>0</v>
      </c>
      <c r="K828" s="1" t="s">
        <v>36</v>
      </c>
      <c r="L828" s="1" t="s">
        <v>75</v>
      </c>
      <c r="M828" s="1" t="s">
        <v>75</v>
      </c>
      <c r="N828" s="3">
        <v>365</v>
      </c>
      <c r="O828" s="6">
        <f>Table1[[#This Row],[Invoice Qty]]-Table1[[#This Row],[ExFactory Qty]]</f>
        <v>0</v>
      </c>
      <c r="P828" s="1" t="s">
        <v>2432</v>
      </c>
      <c r="Q828" s="2">
        <v>46292.7011458333</v>
      </c>
      <c r="S828" s="1" t="s">
        <v>39</v>
      </c>
      <c r="U828" s="1" t="s">
        <v>40</v>
      </c>
      <c r="V828" s="1" t="s">
        <v>64</v>
      </c>
      <c r="W828" s="1" t="s">
        <v>40</v>
      </c>
      <c r="X828" s="1" t="s">
        <v>40</v>
      </c>
      <c r="AA828" s="1" t="s">
        <v>2433</v>
      </c>
      <c r="AB828" s="2">
        <v>46292</v>
      </c>
      <c r="AC828" s="2">
        <v>46292</v>
      </c>
      <c r="AE828" s="1" t="s">
        <v>40</v>
      </c>
      <c r="AF828" s="1" t="s">
        <v>144</v>
      </c>
    </row>
    <row r="829" spans="1:32" ht="12.75" hidden="1" customHeight="1" x14ac:dyDescent="0.2">
      <c r="A829" s="1" t="s">
        <v>86</v>
      </c>
      <c r="B829" s="1" t="s">
        <v>2434</v>
      </c>
      <c r="C829" s="1" t="s">
        <v>71</v>
      </c>
      <c r="D829" s="1" t="s">
        <v>457</v>
      </c>
      <c r="E829" s="1" t="s">
        <v>2435</v>
      </c>
      <c r="F829" s="1" t="s">
        <v>658</v>
      </c>
      <c r="G829" s="3">
        <v>303</v>
      </c>
      <c r="H829" s="4">
        <v>6</v>
      </c>
      <c r="I829" s="5">
        <v>1284.72</v>
      </c>
      <c r="J829" s="5">
        <v>0</v>
      </c>
      <c r="K829" s="1" t="s">
        <v>36</v>
      </c>
      <c r="L829" s="1" t="s">
        <v>75</v>
      </c>
      <c r="M829" s="1" t="s">
        <v>37</v>
      </c>
      <c r="N829" s="3">
        <v>303</v>
      </c>
      <c r="O829" s="6">
        <f>Table1[[#This Row],[Invoice Qty]]-Table1[[#This Row],[ExFactory Qty]]</f>
        <v>0</v>
      </c>
      <c r="P829" s="1" t="s">
        <v>2374</v>
      </c>
      <c r="Q829" s="2">
        <v>46292.594120370399</v>
      </c>
      <c r="S829" s="1" t="s">
        <v>39</v>
      </c>
      <c r="U829" s="1" t="s">
        <v>40</v>
      </c>
      <c r="V829" s="1" t="s">
        <v>77</v>
      </c>
      <c r="W829" s="1" t="s">
        <v>40</v>
      </c>
      <c r="X829" s="1" t="s">
        <v>40</v>
      </c>
      <c r="AA829" s="1" t="s">
        <v>2436</v>
      </c>
      <c r="AB829" s="2">
        <v>46293</v>
      </c>
      <c r="AC829" s="2">
        <v>46293</v>
      </c>
      <c r="AE829" s="1" t="s">
        <v>40</v>
      </c>
      <c r="AF829" s="1" t="s">
        <v>326</v>
      </c>
    </row>
    <row r="830" spans="1:32" ht="12.75" hidden="1" customHeight="1" x14ac:dyDescent="0.2">
      <c r="A830" s="1" t="s">
        <v>86</v>
      </c>
      <c r="B830" s="1" t="s">
        <v>2437</v>
      </c>
      <c r="C830" s="1" t="s">
        <v>146</v>
      </c>
      <c r="D830" s="1" t="s">
        <v>147</v>
      </c>
      <c r="E830" s="1" t="s">
        <v>2438</v>
      </c>
      <c r="F830" s="1" t="s">
        <v>124</v>
      </c>
      <c r="G830" s="3">
        <v>3060</v>
      </c>
      <c r="H830" s="4">
        <v>40</v>
      </c>
      <c r="I830" s="5">
        <v>9104</v>
      </c>
      <c r="J830" s="5">
        <v>379.33</v>
      </c>
      <c r="K830" s="1" t="s">
        <v>36</v>
      </c>
      <c r="L830" s="1" t="s">
        <v>37</v>
      </c>
      <c r="M830" s="1" t="s">
        <v>37</v>
      </c>
      <c r="N830" s="3">
        <v>3060</v>
      </c>
      <c r="O830" s="6">
        <f>Table1[[#This Row],[Invoice Qty]]-Table1[[#This Row],[ExFactory Qty]]</f>
        <v>0</v>
      </c>
      <c r="P830" s="1" t="s">
        <v>2308</v>
      </c>
      <c r="Q830" s="2">
        <v>46292.464803240699</v>
      </c>
      <c r="S830" s="1" t="s">
        <v>39</v>
      </c>
      <c r="U830" s="1" t="s">
        <v>40</v>
      </c>
      <c r="V830" s="1" t="s">
        <v>64</v>
      </c>
      <c r="W830" s="1" t="s">
        <v>40</v>
      </c>
      <c r="X830" s="1" t="s">
        <v>40</v>
      </c>
      <c r="AA830" s="1" t="s">
        <v>2439</v>
      </c>
      <c r="AB830" s="2">
        <v>46293</v>
      </c>
      <c r="AC830" s="2">
        <v>46293</v>
      </c>
      <c r="AE830" s="1" t="s">
        <v>40</v>
      </c>
      <c r="AF830" s="1" t="s">
        <v>43</v>
      </c>
    </row>
    <row r="831" spans="1:32" ht="12.75" hidden="1" customHeight="1" x14ac:dyDescent="0.2">
      <c r="A831" s="1" t="s">
        <v>86</v>
      </c>
      <c r="B831" s="1" t="s">
        <v>2440</v>
      </c>
      <c r="C831" s="1" t="s">
        <v>1779</v>
      </c>
      <c r="D831" s="1" t="s">
        <v>1780</v>
      </c>
      <c r="E831" s="1" t="s">
        <v>2441</v>
      </c>
      <c r="F831" s="1" t="s">
        <v>1782</v>
      </c>
      <c r="G831" s="3">
        <v>11400</v>
      </c>
      <c r="H831" s="4">
        <v>380</v>
      </c>
      <c r="I831" s="5">
        <v>31902</v>
      </c>
      <c r="J831" s="5">
        <v>0</v>
      </c>
      <c r="K831" s="1" t="s">
        <v>36</v>
      </c>
      <c r="L831" s="1" t="s">
        <v>51</v>
      </c>
      <c r="M831" s="1" t="s">
        <v>247</v>
      </c>
      <c r="N831" s="3">
        <v>11400</v>
      </c>
      <c r="O831" s="6">
        <f>Table1[[#This Row],[Invoice Qty]]-Table1[[#This Row],[ExFactory Qty]]</f>
        <v>0</v>
      </c>
      <c r="P831" s="1" t="s">
        <v>2442</v>
      </c>
      <c r="Q831" s="2">
        <v>46293.414861111101</v>
      </c>
      <c r="S831" s="1" t="s">
        <v>39</v>
      </c>
      <c r="U831" s="1" t="s">
        <v>40</v>
      </c>
      <c r="V831" s="1" t="s">
        <v>55</v>
      </c>
      <c r="W831" s="1" t="s">
        <v>40</v>
      </c>
      <c r="X831" s="1" t="s">
        <v>40</v>
      </c>
      <c r="AA831" s="1" t="s">
        <v>2443</v>
      </c>
      <c r="AB831" s="2">
        <v>46288</v>
      </c>
      <c r="AC831" s="2">
        <v>46288</v>
      </c>
      <c r="AE831" s="1" t="s">
        <v>40</v>
      </c>
      <c r="AF831" s="1" t="s">
        <v>296</v>
      </c>
    </row>
    <row r="832" spans="1:32" ht="12.75" hidden="1" customHeight="1" x14ac:dyDescent="0.2">
      <c r="A832" s="1" t="s">
        <v>86</v>
      </c>
      <c r="B832" s="1" t="s">
        <v>2444</v>
      </c>
      <c r="C832" s="1" t="s">
        <v>46</v>
      </c>
      <c r="D832" s="1" t="s">
        <v>830</v>
      </c>
      <c r="E832" s="1" t="s">
        <v>2445</v>
      </c>
      <c r="F832" s="1" t="s">
        <v>49</v>
      </c>
      <c r="G832" s="3">
        <v>15106</v>
      </c>
      <c r="H832" s="4">
        <v>280</v>
      </c>
      <c r="I832" s="5">
        <v>31826.959999999999</v>
      </c>
      <c r="J832" s="5">
        <v>0</v>
      </c>
      <c r="K832" s="1" t="s">
        <v>50</v>
      </c>
      <c r="L832" s="1" t="s">
        <v>51</v>
      </c>
      <c r="M832" s="1" t="s">
        <v>247</v>
      </c>
      <c r="N832" s="3">
        <v>15106</v>
      </c>
      <c r="O832" s="6">
        <f>Table1[[#This Row],[Invoice Qty]]-Table1[[#This Row],[ExFactory Qty]]</f>
        <v>0</v>
      </c>
      <c r="P832" s="1" t="s">
        <v>2446</v>
      </c>
      <c r="Q832" s="2">
        <v>46293.618483796301</v>
      </c>
      <c r="S832" s="1" t="s">
        <v>39</v>
      </c>
      <c r="U832" s="1" t="s">
        <v>40</v>
      </c>
      <c r="V832" s="1" t="s">
        <v>55</v>
      </c>
      <c r="W832" s="1" t="s">
        <v>40</v>
      </c>
      <c r="X832" s="1" t="s">
        <v>40</v>
      </c>
      <c r="AA832" s="1" t="s">
        <v>2447</v>
      </c>
      <c r="AB832" s="2">
        <v>46293</v>
      </c>
      <c r="AC832" s="2">
        <v>46293</v>
      </c>
      <c r="AE832" s="1" t="s">
        <v>40</v>
      </c>
      <c r="AF832" s="1" t="s">
        <v>43</v>
      </c>
    </row>
    <row r="833" spans="1:32" ht="12.75" hidden="1" customHeight="1" x14ac:dyDescent="0.2">
      <c r="A833" s="1" t="s">
        <v>86</v>
      </c>
      <c r="B833" s="1" t="s">
        <v>2448</v>
      </c>
      <c r="C833" s="1" t="s">
        <v>199</v>
      </c>
      <c r="D833" s="1" t="s">
        <v>850</v>
      </c>
      <c r="E833" s="1" t="s">
        <v>2449</v>
      </c>
      <c r="F833" s="1" t="s">
        <v>183</v>
      </c>
      <c r="G833" s="3">
        <v>1630</v>
      </c>
      <c r="H833" s="4">
        <v>120</v>
      </c>
      <c r="I833" s="5">
        <v>15729.5</v>
      </c>
      <c r="J833" s="5">
        <v>0</v>
      </c>
      <c r="K833" s="1" t="s">
        <v>36</v>
      </c>
      <c r="L833" s="1" t="s">
        <v>51</v>
      </c>
      <c r="M833" s="1" t="s">
        <v>51</v>
      </c>
      <c r="N833" s="3">
        <v>1630</v>
      </c>
      <c r="O833" s="6">
        <f>Table1[[#This Row],[Invoice Qty]]-Table1[[#This Row],[ExFactory Qty]]</f>
        <v>0</v>
      </c>
      <c r="P833" s="1" t="s">
        <v>2069</v>
      </c>
      <c r="Q833" s="2">
        <v>46293.874004629601</v>
      </c>
      <c r="S833" s="1" t="s">
        <v>39</v>
      </c>
      <c r="U833" s="1" t="s">
        <v>40</v>
      </c>
      <c r="V833" s="1" t="s">
        <v>532</v>
      </c>
      <c r="W833" s="1" t="s">
        <v>40</v>
      </c>
      <c r="X833" s="1" t="s">
        <v>40</v>
      </c>
      <c r="AA833" s="1" t="s">
        <v>2450</v>
      </c>
      <c r="AB833" s="2">
        <v>46294</v>
      </c>
      <c r="AC833" s="2">
        <v>46293</v>
      </c>
      <c r="AE833" s="1" t="s">
        <v>40</v>
      </c>
      <c r="AF833" s="1" t="s">
        <v>167</v>
      </c>
    </row>
    <row r="834" spans="1:32" ht="12.75" hidden="1" customHeight="1" x14ac:dyDescent="0.2">
      <c r="A834" s="1" t="s">
        <v>86</v>
      </c>
      <c r="B834" s="1" t="s">
        <v>2451</v>
      </c>
      <c r="C834" s="1" t="s">
        <v>244</v>
      </c>
      <c r="D834" s="1" t="s">
        <v>245</v>
      </c>
      <c r="E834" s="1" t="s">
        <v>246</v>
      </c>
      <c r="F834" s="1" t="s">
        <v>252</v>
      </c>
      <c r="G834" s="3">
        <v>4000</v>
      </c>
      <c r="H834" s="4">
        <v>400</v>
      </c>
      <c r="I834" s="5">
        <v>8900.6</v>
      </c>
      <c r="J834" s="5">
        <v>419.4</v>
      </c>
      <c r="K834" s="1" t="s">
        <v>36</v>
      </c>
      <c r="L834" s="1" t="s">
        <v>51</v>
      </c>
      <c r="M834" s="1" t="s">
        <v>247</v>
      </c>
      <c r="N834" s="3">
        <v>4000</v>
      </c>
      <c r="O834" s="6">
        <f>Table1[[#This Row],[Invoice Qty]]-Table1[[#This Row],[ExFactory Qty]]</f>
        <v>0</v>
      </c>
      <c r="P834" s="1" t="s">
        <v>2452</v>
      </c>
      <c r="Q834" s="2">
        <v>46293.410624999997</v>
      </c>
      <c r="S834" s="1" t="s">
        <v>39</v>
      </c>
      <c r="U834" s="1" t="s">
        <v>40</v>
      </c>
      <c r="V834" s="1" t="s">
        <v>55</v>
      </c>
      <c r="W834" s="1" t="s">
        <v>40</v>
      </c>
      <c r="X834" s="1" t="s">
        <v>40</v>
      </c>
      <c r="AA834" s="1" t="s">
        <v>2453</v>
      </c>
      <c r="AB834" s="2">
        <v>46293</v>
      </c>
      <c r="AC834" s="2">
        <v>46293</v>
      </c>
      <c r="AE834" s="1" t="s">
        <v>40</v>
      </c>
      <c r="AF834" s="1" t="s">
        <v>174</v>
      </c>
    </row>
    <row r="835" spans="1:32" ht="12.75" hidden="1" customHeight="1" x14ac:dyDescent="0.2">
      <c r="A835" s="1" t="s">
        <v>86</v>
      </c>
      <c r="B835" s="1" t="s">
        <v>2454</v>
      </c>
      <c r="C835" s="1" t="s">
        <v>244</v>
      </c>
      <c r="D835" s="1" t="s">
        <v>245</v>
      </c>
      <c r="E835" s="1" t="s">
        <v>246</v>
      </c>
      <c r="F835" s="1" t="s">
        <v>258</v>
      </c>
      <c r="G835" s="3">
        <v>3980</v>
      </c>
      <c r="H835" s="4">
        <v>398</v>
      </c>
      <c r="I835" s="5">
        <v>8856.1</v>
      </c>
      <c r="J835" s="5">
        <v>417.3</v>
      </c>
      <c r="K835" s="1" t="s">
        <v>36</v>
      </c>
      <c r="L835" s="1" t="s">
        <v>51</v>
      </c>
      <c r="M835" s="1" t="s">
        <v>247</v>
      </c>
      <c r="N835" s="3">
        <v>3980</v>
      </c>
      <c r="O835" s="6">
        <f>Table1[[#This Row],[Invoice Qty]]-Table1[[#This Row],[ExFactory Qty]]</f>
        <v>0</v>
      </c>
      <c r="P835" s="1" t="s">
        <v>2452</v>
      </c>
      <c r="Q835" s="2">
        <v>46293.410624999997</v>
      </c>
      <c r="S835" s="1" t="s">
        <v>39</v>
      </c>
      <c r="U835" s="1" t="s">
        <v>40</v>
      </c>
      <c r="V835" s="1" t="s">
        <v>55</v>
      </c>
      <c r="W835" s="1" t="s">
        <v>40</v>
      </c>
      <c r="X835" s="1" t="s">
        <v>40</v>
      </c>
      <c r="AA835" s="1" t="s">
        <v>2455</v>
      </c>
      <c r="AB835" s="2">
        <v>46293</v>
      </c>
      <c r="AC835" s="2">
        <v>46293</v>
      </c>
      <c r="AE835" s="1" t="s">
        <v>40</v>
      </c>
      <c r="AF835" s="1" t="s">
        <v>174</v>
      </c>
    </row>
    <row r="836" spans="1:32" ht="12.75" hidden="1" customHeight="1" x14ac:dyDescent="0.2">
      <c r="A836" s="1" t="s">
        <v>86</v>
      </c>
      <c r="B836" s="1" t="s">
        <v>2456</v>
      </c>
      <c r="C836" s="1" t="s">
        <v>244</v>
      </c>
      <c r="D836" s="1" t="s">
        <v>245</v>
      </c>
      <c r="E836" s="1" t="s">
        <v>246</v>
      </c>
      <c r="F836" s="1" t="s">
        <v>252</v>
      </c>
      <c r="G836" s="3">
        <v>750</v>
      </c>
      <c r="H836" s="4">
        <v>75</v>
      </c>
      <c r="I836" s="5">
        <v>1668.86</v>
      </c>
      <c r="J836" s="5">
        <v>78.64</v>
      </c>
      <c r="K836" s="1" t="s">
        <v>36</v>
      </c>
      <c r="L836" s="1" t="s">
        <v>51</v>
      </c>
      <c r="M836" s="1" t="s">
        <v>247</v>
      </c>
      <c r="N836" s="3">
        <v>750</v>
      </c>
      <c r="O836" s="6">
        <f>Table1[[#This Row],[Invoice Qty]]-Table1[[#This Row],[ExFactory Qty]]</f>
        <v>0</v>
      </c>
      <c r="P836" s="1" t="s">
        <v>2452</v>
      </c>
      <c r="Q836" s="2">
        <v>46293.410624999997</v>
      </c>
      <c r="S836" s="1" t="s">
        <v>39</v>
      </c>
      <c r="U836" s="1" t="s">
        <v>40</v>
      </c>
      <c r="V836" s="1" t="s">
        <v>55</v>
      </c>
      <c r="W836" s="1" t="s">
        <v>40</v>
      </c>
      <c r="X836" s="1" t="s">
        <v>40</v>
      </c>
      <c r="AA836" s="1" t="s">
        <v>2457</v>
      </c>
      <c r="AB836" s="2">
        <v>46293</v>
      </c>
      <c r="AC836" s="2">
        <v>46293</v>
      </c>
      <c r="AE836" s="1" t="s">
        <v>40</v>
      </c>
      <c r="AF836" s="1" t="s">
        <v>174</v>
      </c>
    </row>
    <row r="837" spans="1:32" ht="12.75" hidden="1" customHeight="1" x14ac:dyDescent="0.2">
      <c r="A837" s="1" t="s">
        <v>86</v>
      </c>
      <c r="B837" s="1" t="s">
        <v>2458</v>
      </c>
      <c r="C837" s="1" t="s">
        <v>244</v>
      </c>
      <c r="D837" s="1" t="s">
        <v>245</v>
      </c>
      <c r="E837" s="1" t="s">
        <v>246</v>
      </c>
      <c r="F837" s="1" t="s">
        <v>262</v>
      </c>
      <c r="G837" s="3">
        <v>860</v>
      </c>
      <c r="H837" s="4">
        <v>86</v>
      </c>
      <c r="I837" s="5">
        <v>1913.63</v>
      </c>
      <c r="J837" s="5">
        <v>90.17</v>
      </c>
      <c r="K837" s="1" t="s">
        <v>36</v>
      </c>
      <c r="L837" s="1" t="s">
        <v>51</v>
      </c>
      <c r="M837" s="1" t="s">
        <v>247</v>
      </c>
      <c r="N837" s="3">
        <v>860</v>
      </c>
      <c r="O837" s="6">
        <f>Table1[[#This Row],[Invoice Qty]]-Table1[[#This Row],[ExFactory Qty]]</f>
        <v>0</v>
      </c>
      <c r="P837" s="1" t="s">
        <v>2452</v>
      </c>
      <c r="Q837" s="2">
        <v>46293.410624999997</v>
      </c>
      <c r="S837" s="1" t="s">
        <v>39</v>
      </c>
      <c r="U837" s="1" t="s">
        <v>40</v>
      </c>
      <c r="V837" s="1" t="s">
        <v>55</v>
      </c>
      <c r="W837" s="1" t="s">
        <v>40</v>
      </c>
      <c r="X837" s="1" t="s">
        <v>40</v>
      </c>
      <c r="AA837" s="1" t="s">
        <v>2459</v>
      </c>
      <c r="AB837" s="2">
        <v>46293</v>
      </c>
      <c r="AC837" s="2">
        <v>46293</v>
      </c>
      <c r="AE837" s="1" t="s">
        <v>40</v>
      </c>
      <c r="AF837" s="1" t="s">
        <v>174</v>
      </c>
    </row>
    <row r="838" spans="1:32" ht="12.75" hidden="1" customHeight="1" x14ac:dyDescent="0.2">
      <c r="A838" s="1" t="s">
        <v>86</v>
      </c>
      <c r="B838" s="1" t="s">
        <v>2460</v>
      </c>
      <c r="C838" s="1" t="s">
        <v>244</v>
      </c>
      <c r="D838" s="1" t="s">
        <v>245</v>
      </c>
      <c r="E838" s="1" t="s">
        <v>2461</v>
      </c>
      <c r="F838" s="1" t="s">
        <v>262</v>
      </c>
      <c r="G838" s="3">
        <v>720</v>
      </c>
      <c r="H838" s="4">
        <v>18</v>
      </c>
      <c r="I838" s="5">
        <v>2131.56</v>
      </c>
      <c r="J838" s="5">
        <v>100.44</v>
      </c>
      <c r="K838" s="1" t="s">
        <v>36</v>
      </c>
      <c r="L838" s="1" t="s">
        <v>51</v>
      </c>
      <c r="M838" s="1" t="s">
        <v>247</v>
      </c>
      <c r="N838" s="3">
        <v>720</v>
      </c>
      <c r="O838" s="6">
        <f>Table1[[#This Row],[Invoice Qty]]-Table1[[#This Row],[ExFactory Qty]]</f>
        <v>0</v>
      </c>
      <c r="P838" s="1" t="s">
        <v>2462</v>
      </c>
      <c r="Q838" s="2">
        <v>46294.798587963</v>
      </c>
      <c r="S838" s="1" t="s">
        <v>39</v>
      </c>
      <c r="U838" s="1" t="s">
        <v>40</v>
      </c>
      <c r="V838" s="1" t="s">
        <v>55</v>
      </c>
      <c r="W838" s="1" t="s">
        <v>40</v>
      </c>
      <c r="X838" s="1" t="s">
        <v>40</v>
      </c>
      <c r="AA838" s="1" t="s">
        <v>2463</v>
      </c>
      <c r="AB838" s="2">
        <v>46294</v>
      </c>
      <c r="AC838" s="2">
        <v>46294</v>
      </c>
      <c r="AE838" s="1" t="s">
        <v>40</v>
      </c>
      <c r="AF838" s="1" t="s">
        <v>174</v>
      </c>
    </row>
    <row r="839" spans="1:32" ht="12.75" hidden="1" customHeight="1" x14ac:dyDescent="0.2">
      <c r="A839" s="1" t="s">
        <v>86</v>
      </c>
      <c r="B839" s="1" t="s">
        <v>2464</v>
      </c>
      <c r="C839" s="1" t="s">
        <v>244</v>
      </c>
      <c r="D839" s="1" t="s">
        <v>245</v>
      </c>
      <c r="E839" s="1" t="s">
        <v>2461</v>
      </c>
      <c r="F839" s="1" t="s">
        <v>183</v>
      </c>
      <c r="G839" s="3">
        <v>7040</v>
      </c>
      <c r="H839" s="4">
        <v>176</v>
      </c>
      <c r="I839" s="5">
        <v>20841.919999999998</v>
      </c>
      <c r="J839" s="5">
        <v>982.08</v>
      </c>
      <c r="K839" s="1" t="s">
        <v>36</v>
      </c>
      <c r="L839" s="1" t="s">
        <v>51</v>
      </c>
      <c r="M839" s="1" t="s">
        <v>247</v>
      </c>
      <c r="N839" s="3">
        <v>7040</v>
      </c>
      <c r="O839" s="6">
        <f>Table1[[#This Row],[Invoice Qty]]-Table1[[#This Row],[ExFactory Qty]]</f>
        <v>0</v>
      </c>
      <c r="P839" s="1" t="s">
        <v>2462</v>
      </c>
      <c r="Q839" s="2">
        <v>46294.798587963</v>
      </c>
      <c r="S839" s="1" t="s">
        <v>39</v>
      </c>
      <c r="U839" s="1" t="s">
        <v>40</v>
      </c>
      <c r="V839" s="1" t="s">
        <v>55</v>
      </c>
      <c r="W839" s="1" t="s">
        <v>40</v>
      </c>
      <c r="X839" s="1" t="s">
        <v>40</v>
      </c>
      <c r="AA839" s="1" t="s">
        <v>2465</v>
      </c>
      <c r="AB839" s="2">
        <v>46294</v>
      </c>
      <c r="AC839" s="2">
        <v>46294</v>
      </c>
      <c r="AE839" s="1" t="s">
        <v>40</v>
      </c>
      <c r="AF839" s="1" t="s">
        <v>174</v>
      </c>
    </row>
    <row r="840" spans="1:32" ht="12.75" hidden="1" customHeight="1" x14ac:dyDescent="0.2">
      <c r="A840" s="1" t="s">
        <v>86</v>
      </c>
      <c r="B840" s="1" t="s">
        <v>2466</v>
      </c>
      <c r="C840" s="1" t="s">
        <v>244</v>
      </c>
      <c r="D840" s="1" t="s">
        <v>245</v>
      </c>
      <c r="E840" s="1" t="s">
        <v>2461</v>
      </c>
      <c r="F840" s="1" t="s">
        <v>252</v>
      </c>
      <c r="G840" s="3">
        <v>800</v>
      </c>
      <c r="H840" s="4">
        <v>20</v>
      </c>
      <c r="I840" s="5">
        <v>2480</v>
      </c>
      <c r="J840" s="5">
        <v>0</v>
      </c>
      <c r="K840" s="1" t="s">
        <v>36</v>
      </c>
      <c r="L840" s="1" t="s">
        <v>51</v>
      </c>
      <c r="M840" s="1" t="s">
        <v>247</v>
      </c>
      <c r="N840" s="3">
        <v>800</v>
      </c>
      <c r="O840" s="6">
        <f>Table1[[#This Row],[Invoice Qty]]-Table1[[#This Row],[ExFactory Qty]]</f>
        <v>0</v>
      </c>
      <c r="P840" s="1" t="s">
        <v>2462</v>
      </c>
      <c r="Q840" s="2">
        <v>46294.798587963</v>
      </c>
      <c r="S840" s="1" t="s">
        <v>39</v>
      </c>
      <c r="U840" s="1" t="s">
        <v>40</v>
      </c>
      <c r="V840" s="1" t="s">
        <v>55</v>
      </c>
      <c r="W840" s="1" t="s">
        <v>40</v>
      </c>
      <c r="X840" s="1" t="s">
        <v>40</v>
      </c>
      <c r="AA840" s="1" t="s">
        <v>2467</v>
      </c>
      <c r="AB840" s="2">
        <v>46294</v>
      </c>
      <c r="AC840" s="2">
        <v>46294</v>
      </c>
      <c r="AE840" s="1" t="s">
        <v>40</v>
      </c>
      <c r="AF840" s="1" t="s">
        <v>174</v>
      </c>
    </row>
    <row r="841" spans="1:32" ht="12.75" hidden="1" customHeight="1" x14ac:dyDescent="0.2">
      <c r="A841" s="1" t="s">
        <v>86</v>
      </c>
      <c r="B841" s="1" t="s">
        <v>2468</v>
      </c>
      <c r="C841" s="1" t="s">
        <v>244</v>
      </c>
      <c r="D841" s="1" t="s">
        <v>245</v>
      </c>
      <c r="E841" s="1" t="s">
        <v>2461</v>
      </c>
      <c r="F841" s="1" t="s">
        <v>262</v>
      </c>
      <c r="G841" s="3">
        <v>720</v>
      </c>
      <c r="H841" s="4">
        <v>18</v>
      </c>
      <c r="I841" s="5">
        <v>2131.56</v>
      </c>
      <c r="J841" s="5">
        <v>100.44</v>
      </c>
      <c r="K841" s="1" t="s">
        <v>36</v>
      </c>
      <c r="L841" s="1" t="s">
        <v>51</v>
      </c>
      <c r="M841" s="1" t="s">
        <v>247</v>
      </c>
      <c r="N841" s="3">
        <v>720</v>
      </c>
      <c r="O841" s="6">
        <f>Table1[[#This Row],[Invoice Qty]]-Table1[[#This Row],[ExFactory Qty]]</f>
        <v>0</v>
      </c>
      <c r="P841" s="1" t="s">
        <v>2462</v>
      </c>
      <c r="Q841" s="2">
        <v>46294.798587963</v>
      </c>
      <c r="S841" s="1" t="s">
        <v>39</v>
      </c>
      <c r="U841" s="1" t="s">
        <v>40</v>
      </c>
      <c r="V841" s="1" t="s">
        <v>55</v>
      </c>
      <c r="W841" s="1" t="s">
        <v>40</v>
      </c>
      <c r="X841" s="1" t="s">
        <v>40</v>
      </c>
      <c r="AA841" s="1" t="s">
        <v>2469</v>
      </c>
      <c r="AB841" s="2">
        <v>46294</v>
      </c>
      <c r="AC841" s="2">
        <v>46294</v>
      </c>
      <c r="AE841" s="1" t="s">
        <v>40</v>
      </c>
      <c r="AF841" s="1" t="s">
        <v>174</v>
      </c>
    </row>
    <row r="842" spans="1:32" ht="12.75" hidden="1" customHeight="1" x14ac:dyDescent="0.2">
      <c r="A842" s="1" t="s">
        <v>86</v>
      </c>
      <c r="B842" s="1" t="s">
        <v>2470</v>
      </c>
      <c r="C842" s="1" t="s">
        <v>244</v>
      </c>
      <c r="D842" s="1" t="s">
        <v>245</v>
      </c>
      <c r="E842" s="1" t="s">
        <v>2461</v>
      </c>
      <c r="F842" s="1" t="s">
        <v>262</v>
      </c>
      <c r="G842" s="3">
        <v>1000</v>
      </c>
      <c r="H842" s="4">
        <v>25</v>
      </c>
      <c r="I842" s="5">
        <v>2960.5</v>
      </c>
      <c r="J842" s="5">
        <v>139.5</v>
      </c>
      <c r="K842" s="1" t="s">
        <v>36</v>
      </c>
      <c r="L842" s="1" t="s">
        <v>51</v>
      </c>
      <c r="M842" s="1" t="s">
        <v>247</v>
      </c>
      <c r="N842" s="3">
        <v>1000</v>
      </c>
      <c r="O842" s="6">
        <f>Table1[[#This Row],[Invoice Qty]]-Table1[[#This Row],[ExFactory Qty]]</f>
        <v>0</v>
      </c>
      <c r="P842" s="1" t="s">
        <v>2462</v>
      </c>
      <c r="Q842" s="2">
        <v>46294.798587963</v>
      </c>
      <c r="S842" s="1" t="s">
        <v>39</v>
      </c>
      <c r="U842" s="1" t="s">
        <v>40</v>
      </c>
      <c r="V842" s="1" t="s">
        <v>55</v>
      </c>
      <c r="W842" s="1" t="s">
        <v>40</v>
      </c>
      <c r="X842" s="1" t="s">
        <v>40</v>
      </c>
      <c r="AA842" s="1" t="s">
        <v>2471</v>
      </c>
      <c r="AB842" s="2">
        <v>46294</v>
      </c>
      <c r="AC842" s="2">
        <v>46294</v>
      </c>
      <c r="AE842" s="1" t="s">
        <v>40</v>
      </c>
      <c r="AF842" s="1" t="s">
        <v>174</v>
      </c>
    </row>
    <row r="843" spans="1:32" ht="12.75" hidden="1" customHeight="1" x14ac:dyDescent="0.2">
      <c r="A843" s="1" t="s">
        <v>86</v>
      </c>
      <c r="B843" s="1" t="s">
        <v>2472</v>
      </c>
      <c r="C843" s="1" t="s">
        <v>244</v>
      </c>
      <c r="D843" s="1" t="s">
        <v>245</v>
      </c>
      <c r="E843" s="1" t="s">
        <v>2461</v>
      </c>
      <c r="F843" s="1" t="s">
        <v>252</v>
      </c>
      <c r="G843" s="3">
        <v>4000</v>
      </c>
      <c r="H843" s="4">
        <v>100</v>
      </c>
      <c r="I843" s="5">
        <v>11842</v>
      </c>
      <c r="J843" s="5">
        <v>558</v>
      </c>
      <c r="K843" s="1" t="s">
        <v>36</v>
      </c>
      <c r="L843" s="1" t="s">
        <v>51</v>
      </c>
      <c r="M843" s="1" t="s">
        <v>247</v>
      </c>
      <c r="N843" s="3">
        <v>4000</v>
      </c>
      <c r="O843" s="6">
        <f>Table1[[#This Row],[Invoice Qty]]-Table1[[#This Row],[ExFactory Qty]]</f>
        <v>0</v>
      </c>
      <c r="P843" s="1" t="s">
        <v>2462</v>
      </c>
      <c r="Q843" s="2">
        <v>46294.798587963</v>
      </c>
      <c r="S843" s="1" t="s">
        <v>39</v>
      </c>
      <c r="U843" s="1" t="s">
        <v>40</v>
      </c>
      <c r="V843" s="1" t="s">
        <v>55</v>
      </c>
      <c r="W843" s="1" t="s">
        <v>40</v>
      </c>
      <c r="X843" s="1" t="s">
        <v>40</v>
      </c>
      <c r="AA843" s="1" t="s">
        <v>2473</v>
      </c>
      <c r="AB843" s="2">
        <v>46294</v>
      </c>
      <c r="AC843" s="2">
        <v>46294</v>
      </c>
      <c r="AE843" s="1" t="s">
        <v>40</v>
      </c>
      <c r="AF843" s="1" t="s">
        <v>174</v>
      </c>
    </row>
    <row r="844" spans="1:32" ht="12.75" hidden="1" customHeight="1" x14ac:dyDescent="0.2">
      <c r="A844" s="1" t="s">
        <v>86</v>
      </c>
      <c r="B844" s="1" t="s">
        <v>2474</v>
      </c>
      <c r="C844" s="1" t="s">
        <v>244</v>
      </c>
      <c r="D844" s="1" t="s">
        <v>245</v>
      </c>
      <c r="E844" s="1" t="s">
        <v>2461</v>
      </c>
      <c r="F844" s="1" t="s">
        <v>269</v>
      </c>
      <c r="G844" s="3">
        <v>600</v>
      </c>
      <c r="H844" s="4">
        <v>15</v>
      </c>
      <c r="I844" s="5">
        <v>1776.3</v>
      </c>
      <c r="J844" s="5">
        <v>83.7</v>
      </c>
      <c r="K844" s="1" t="s">
        <v>36</v>
      </c>
      <c r="L844" s="1" t="s">
        <v>51</v>
      </c>
      <c r="M844" s="1" t="s">
        <v>247</v>
      </c>
      <c r="N844" s="3">
        <v>600</v>
      </c>
      <c r="O844" s="6">
        <f>Table1[[#This Row],[Invoice Qty]]-Table1[[#This Row],[ExFactory Qty]]</f>
        <v>0</v>
      </c>
      <c r="P844" s="1" t="s">
        <v>2462</v>
      </c>
      <c r="Q844" s="2">
        <v>46294.798587963</v>
      </c>
      <c r="S844" s="1" t="s">
        <v>39</v>
      </c>
      <c r="U844" s="1" t="s">
        <v>40</v>
      </c>
      <c r="V844" s="1" t="s">
        <v>55</v>
      </c>
      <c r="W844" s="1" t="s">
        <v>40</v>
      </c>
      <c r="X844" s="1" t="s">
        <v>40</v>
      </c>
      <c r="AA844" s="1" t="s">
        <v>2475</v>
      </c>
      <c r="AB844" s="2">
        <v>46294</v>
      </c>
      <c r="AC844" s="2">
        <v>46294</v>
      </c>
      <c r="AE844" s="1" t="s">
        <v>40</v>
      </c>
      <c r="AF844" s="1" t="s">
        <v>174</v>
      </c>
    </row>
    <row r="845" spans="1:32" ht="12.75" hidden="1" customHeight="1" x14ac:dyDescent="0.2">
      <c r="A845" s="1" t="s">
        <v>86</v>
      </c>
      <c r="B845" s="1" t="s">
        <v>2476</v>
      </c>
      <c r="C845" s="1" t="s">
        <v>244</v>
      </c>
      <c r="D845" s="1" t="s">
        <v>245</v>
      </c>
      <c r="E845" s="1" t="s">
        <v>2461</v>
      </c>
      <c r="F845" s="1" t="s">
        <v>1994</v>
      </c>
      <c r="G845" s="3">
        <v>200</v>
      </c>
      <c r="H845" s="4">
        <v>5</v>
      </c>
      <c r="I845" s="5">
        <v>592.1</v>
      </c>
      <c r="J845" s="5">
        <v>27.9</v>
      </c>
      <c r="K845" s="1" t="s">
        <v>36</v>
      </c>
      <c r="L845" s="1" t="s">
        <v>51</v>
      </c>
      <c r="M845" s="1" t="s">
        <v>247</v>
      </c>
      <c r="N845" s="3">
        <v>200</v>
      </c>
      <c r="O845" s="6">
        <f>Table1[[#This Row],[Invoice Qty]]-Table1[[#This Row],[ExFactory Qty]]</f>
        <v>0</v>
      </c>
      <c r="P845" s="1" t="s">
        <v>2462</v>
      </c>
      <c r="Q845" s="2">
        <v>46294.798587963</v>
      </c>
      <c r="S845" s="1" t="s">
        <v>39</v>
      </c>
      <c r="U845" s="1" t="s">
        <v>40</v>
      </c>
      <c r="V845" s="1" t="s">
        <v>55</v>
      </c>
      <c r="W845" s="1" t="s">
        <v>40</v>
      </c>
      <c r="X845" s="1" t="s">
        <v>40</v>
      </c>
      <c r="AA845" s="1" t="s">
        <v>2477</v>
      </c>
      <c r="AB845" s="2">
        <v>46294</v>
      </c>
      <c r="AC845" s="2">
        <v>46294</v>
      </c>
      <c r="AE845" s="1" t="s">
        <v>40</v>
      </c>
      <c r="AF845" s="1" t="s">
        <v>174</v>
      </c>
    </row>
    <row r="846" spans="1:32" ht="12.75" hidden="1" customHeight="1" x14ac:dyDescent="0.2">
      <c r="A846" s="1" t="s">
        <v>86</v>
      </c>
      <c r="B846" s="1" t="s">
        <v>2478</v>
      </c>
      <c r="C846" s="1" t="s">
        <v>180</v>
      </c>
      <c r="D846" s="1" t="s">
        <v>181</v>
      </c>
      <c r="E846" s="1" t="s">
        <v>2479</v>
      </c>
      <c r="F846" s="1" t="s">
        <v>183</v>
      </c>
      <c r="G846" s="3">
        <v>37277</v>
      </c>
      <c r="H846" s="4">
        <v>2431</v>
      </c>
      <c r="I846" s="5">
        <v>153432.13</v>
      </c>
      <c r="J846" s="5">
        <v>3131.27</v>
      </c>
      <c r="K846" s="1" t="s">
        <v>36</v>
      </c>
      <c r="L846" s="1" t="s">
        <v>51</v>
      </c>
      <c r="M846" s="1" t="s">
        <v>51</v>
      </c>
      <c r="N846" s="3">
        <v>37277</v>
      </c>
      <c r="O846" s="6">
        <f>Table1[[#This Row],[Invoice Qty]]-Table1[[#This Row],[ExFactory Qty]]</f>
        <v>0</v>
      </c>
      <c r="P846" s="1" t="s">
        <v>2480</v>
      </c>
      <c r="Q846" s="2">
        <v>46293.781064814801</v>
      </c>
      <c r="S846" s="1" t="s">
        <v>39</v>
      </c>
      <c r="U846" s="1" t="s">
        <v>40</v>
      </c>
      <c r="V846" s="1" t="s">
        <v>185</v>
      </c>
      <c r="W846" s="1" t="s">
        <v>40</v>
      </c>
      <c r="X846" s="1" t="s">
        <v>40</v>
      </c>
      <c r="AA846" s="1" t="s">
        <v>2481</v>
      </c>
      <c r="AB846" s="2">
        <v>46294</v>
      </c>
      <c r="AC846" s="2">
        <v>46294</v>
      </c>
      <c r="AE846" s="1" t="s">
        <v>40</v>
      </c>
      <c r="AF846" s="1" t="s">
        <v>187</v>
      </c>
    </row>
    <row r="847" spans="1:32" ht="12.75" hidden="1" customHeight="1" x14ac:dyDescent="0.2">
      <c r="A847" s="1" t="s">
        <v>86</v>
      </c>
      <c r="B847" s="1" t="s">
        <v>2482</v>
      </c>
      <c r="C847" s="1" t="s">
        <v>180</v>
      </c>
      <c r="D847" s="1" t="s">
        <v>181</v>
      </c>
      <c r="E847" s="1" t="s">
        <v>2483</v>
      </c>
      <c r="F847" s="1" t="s">
        <v>195</v>
      </c>
      <c r="G847" s="3">
        <v>1069</v>
      </c>
      <c r="H847" s="4">
        <v>42</v>
      </c>
      <c r="I847" s="5">
        <v>4400</v>
      </c>
      <c r="J847" s="5">
        <v>89.8</v>
      </c>
      <c r="K847" s="1" t="s">
        <v>36</v>
      </c>
      <c r="L847" s="1" t="s">
        <v>51</v>
      </c>
      <c r="M847" s="1" t="s">
        <v>51</v>
      </c>
      <c r="N847" s="3">
        <v>1069</v>
      </c>
      <c r="O847" s="6">
        <f>Table1[[#This Row],[Invoice Qty]]-Table1[[#This Row],[ExFactory Qty]]</f>
        <v>0</v>
      </c>
      <c r="P847" s="1" t="s">
        <v>2484</v>
      </c>
      <c r="Q847" s="2">
        <v>46293.4784490741</v>
      </c>
      <c r="S847" s="1" t="s">
        <v>39</v>
      </c>
      <c r="U847" s="1" t="s">
        <v>40</v>
      </c>
      <c r="V847" s="1" t="s">
        <v>185</v>
      </c>
      <c r="W847" s="1" t="s">
        <v>40</v>
      </c>
      <c r="X847" s="1" t="s">
        <v>40</v>
      </c>
      <c r="AA847" s="1" t="s">
        <v>2485</v>
      </c>
      <c r="AB847" s="2">
        <v>46294</v>
      </c>
      <c r="AC847" s="2">
        <v>46294</v>
      </c>
      <c r="AE847" s="1" t="s">
        <v>40</v>
      </c>
      <c r="AF847" s="1" t="s">
        <v>187</v>
      </c>
    </row>
    <row r="848" spans="1:32" ht="12.75" hidden="1" customHeight="1" x14ac:dyDescent="0.2">
      <c r="A848" s="1" t="s">
        <v>86</v>
      </c>
      <c r="B848" s="1" t="s">
        <v>2486</v>
      </c>
      <c r="C848" s="1" t="s">
        <v>180</v>
      </c>
      <c r="D848" s="1" t="s">
        <v>181</v>
      </c>
      <c r="E848" s="1" t="s">
        <v>2487</v>
      </c>
      <c r="F848" s="1" t="s">
        <v>183</v>
      </c>
      <c r="G848" s="3">
        <v>491</v>
      </c>
      <c r="H848" s="4">
        <v>19</v>
      </c>
      <c r="I848" s="5">
        <v>2020.96</v>
      </c>
      <c r="J848" s="5">
        <v>41.24</v>
      </c>
      <c r="K848" s="1" t="s">
        <v>36</v>
      </c>
      <c r="L848" s="1" t="s">
        <v>51</v>
      </c>
      <c r="M848" s="1" t="s">
        <v>51</v>
      </c>
      <c r="N848" s="3">
        <v>491</v>
      </c>
      <c r="O848" s="6">
        <f>Table1[[#This Row],[Invoice Qty]]-Table1[[#This Row],[ExFactory Qty]]</f>
        <v>0</v>
      </c>
      <c r="P848" s="1" t="s">
        <v>2488</v>
      </c>
      <c r="Q848" s="2">
        <v>46293.781064814801</v>
      </c>
      <c r="S848" s="1" t="s">
        <v>39</v>
      </c>
      <c r="U848" s="1" t="s">
        <v>40</v>
      </c>
      <c r="V848" s="1" t="s">
        <v>185</v>
      </c>
      <c r="W848" s="1" t="s">
        <v>40</v>
      </c>
      <c r="X848" s="1" t="s">
        <v>40</v>
      </c>
      <c r="AA848" s="1" t="s">
        <v>2489</v>
      </c>
      <c r="AB848" s="2">
        <v>46294</v>
      </c>
      <c r="AC848" s="2">
        <v>46294</v>
      </c>
      <c r="AE848" s="1" t="s">
        <v>40</v>
      </c>
      <c r="AF848" s="1" t="s">
        <v>187</v>
      </c>
    </row>
    <row r="849" spans="1:32" ht="12.75" hidden="1" customHeight="1" x14ac:dyDescent="0.2">
      <c r="A849" s="1" t="s">
        <v>86</v>
      </c>
      <c r="B849" s="1" t="s">
        <v>2490</v>
      </c>
      <c r="C849" s="1" t="s">
        <v>180</v>
      </c>
      <c r="D849" s="1" t="s">
        <v>181</v>
      </c>
      <c r="E849" s="1" t="s">
        <v>2491</v>
      </c>
      <c r="F849" s="1" t="s">
        <v>195</v>
      </c>
      <c r="G849" s="3">
        <v>35</v>
      </c>
      <c r="H849" s="4">
        <v>3</v>
      </c>
      <c r="I849" s="5">
        <v>144.06</v>
      </c>
      <c r="J849" s="5">
        <v>2.94</v>
      </c>
      <c r="K849" s="1" t="s">
        <v>36</v>
      </c>
      <c r="L849" s="1" t="s">
        <v>51</v>
      </c>
      <c r="M849" s="1" t="s">
        <v>51</v>
      </c>
      <c r="N849" s="3">
        <v>35</v>
      </c>
      <c r="O849" s="6">
        <f>Table1[[#This Row],[Invoice Qty]]-Table1[[#This Row],[ExFactory Qty]]</f>
        <v>0</v>
      </c>
      <c r="P849" s="1" t="s">
        <v>2484</v>
      </c>
      <c r="Q849" s="2">
        <v>46293.4784490741</v>
      </c>
      <c r="S849" s="1" t="s">
        <v>39</v>
      </c>
      <c r="U849" s="1" t="s">
        <v>40</v>
      </c>
      <c r="V849" s="1" t="s">
        <v>185</v>
      </c>
      <c r="W849" s="1" t="s">
        <v>40</v>
      </c>
      <c r="X849" s="1" t="s">
        <v>40</v>
      </c>
      <c r="AA849" s="1" t="s">
        <v>2492</v>
      </c>
      <c r="AB849" s="2">
        <v>46294</v>
      </c>
      <c r="AC849" s="2">
        <v>46294</v>
      </c>
      <c r="AE849" s="1" t="s">
        <v>40</v>
      </c>
      <c r="AF849" s="1" t="s">
        <v>187</v>
      </c>
    </row>
    <row r="850" spans="1:32" ht="12.75" hidden="1" customHeight="1" x14ac:dyDescent="0.2">
      <c r="A850" s="1" t="s">
        <v>86</v>
      </c>
      <c r="B850" s="1" t="s">
        <v>2493</v>
      </c>
      <c r="C850" s="1" t="s">
        <v>160</v>
      </c>
      <c r="D850" s="1" t="s">
        <v>161</v>
      </c>
      <c r="E850" s="1" t="s">
        <v>2494</v>
      </c>
      <c r="F850" s="1" t="s">
        <v>219</v>
      </c>
      <c r="G850" s="3">
        <v>1005</v>
      </c>
      <c r="I850" s="5">
        <v>7208.36</v>
      </c>
      <c r="J850" s="5">
        <v>379.39</v>
      </c>
      <c r="K850" s="1" t="s">
        <v>36</v>
      </c>
      <c r="L850" s="1" t="s">
        <v>37</v>
      </c>
      <c r="M850" s="1" t="s">
        <v>37</v>
      </c>
      <c r="N850" s="3">
        <v>1005</v>
      </c>
      <c r="O850" s="6">
        <f>Table1[[#This Row],[Invoice Qty]]-Table1[[#This Row],[ExFactory Qty]]</f>
        <v>0</v>
      </c>
      <c r="P850" s="1" t="s">
        <v>2495</v>
      </c>
      <c r="Q850" s="2">
        <v>46294.615833333301</v>
      </c>
      <c r="S850" s="1" t="s">
        <v>39</v>
      </c>
      <c r="U850" s="1" t="s">
        <v>40</v>
      </c>
      <c r="V850" s="1" t="s">
        <v>41</v>
      </c>
      <c r="W850" s="1" t="s">
        <v>40</v>
      </c>
      <c r="X850" s="1" t="s">
        <v>40</v>
      </c>
      <c r="AA850" s="1" t="s">
        <v>40</v>
      </c>
      <c r="AB850" s="2">
        <v>46294</v>
      </c>
      <c r="AC850" s="2">
        <v>46294</v>
      </c>
      <c r="AE850" s="1" t="s">
        <v>40</v>
      </c>
      <c r="AF850" s="1" t="s">
        <v>167</v>
      </c>
    </row>
    <row r="851" spans="1:32" ht="12.75" hidden="1" customHeight="1" x14ac:dyDescent="0.2">
      <c r="A851" s="1" t="s">
        <v>86</v>
      </c>
      <c r="B851" s="1" t="s">
        <v>2496</v>
      </c>
      <c r="C851" s="1" t="s">
        <v>180</v>
      </c>
      <c r="D851" s="1" t="s">
        <v>806</v>
      </c>
      <c r="E851" s="1" t="s">
        <v>2497</v>
      </c>
      <c r="F851" s="1" t="s">
        <v>183</v>
      </c>
      <c r="G851" s="3">
        <v>7517</v>
      </c>
      <c r="H851" s="4">
        <v>300</v>
      </c>
      <c r="I851" s="5">
        <v>30939.97</v>
      </c>
      <c r="J851" s="5">
        <v>631.42999999999995</v>
      </c>
      <c r="K851" s="1" t="s">
        <v>36</v>
      </c>
      <c r="L851" s="1" t="s">
        <v>51</v>
      </c>
      <c r="M851" s="1" t="s">
        <v>51</v>
      </c>
      <c r="N851" s="3">
        <v>7517</v>
      </c>
      <c r="O851" s="6">
        <f>Table1[[#This Row],[Invoice Qty]]-Table1[[#This Row],[ExFactory Qty]]</f>
        <v>0</v>
      </c>
      <c r="P851" s="1" t="s">
        <v>2498</v>
      </c>
      <c r="Q851" s="2">
        <v>46293.680486111101</v>
      </c>
      <c r="S851" s="1" t="s">
        <v>39</v>
      </c>
      <c r="U851" s="1" t="s">
        <v>40</v>
      </c>
      <c r="V851" s="1" t="s">
        <v>532</v>
      </c>
      <c r="W851" s="1" t="s">
        <v>40</v>
      </c>
      <c r="X851" s="1" t="s">
        <v>40</v>
      </c>
      <c r="AA851" s="1" t="s">
        <v>2499</v>
      </c>
      <c r="AB851" s="2">
        <v>46294</v>
      </c>
      <c r="AC851" s="2">
        <v>46294</v>
      </c>
      <c r="AE851" s="1" t="s">
        <v>40</v>
      </c>
      <c r="AF851" s="1" t="s">
        <v>187</v>
      </c>
    </row>
  </sheetData>
  <pageMargins left="0" right="0" top="0" bottom="0" header="0" footer="0"/>
  <pageSetup paperSize="9" scale="6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283E-9F6D-43F1-AAEC-9BBDDDB9466B}">
  <dimension ref="A1:BD369"/>
  <sheetViews>
    <sheetView tabSelected="1" topLeftCell="Z1" workbookViewId="0">
      <pane ySplit="1" topLeftCell="A85" activePane="bottomLeft" state="frozen"/>
      <selection activeCell="AJ1" sqref="AJ1"/>
      <selection pane="bottomLeft" activeCell="AH102" sqref="AH102"/>
    </sheetView>
  </sheetViews>
  <sheetFormatPr defaultRowHeight="15" x14ac:dyDescent="0.25"/>
  <cols>
    <col min="1" max="1" width="17.28515625" style="9" bestFit="1" customWidth="1"/>
    <col min="2" max="2" width="8.5703125" style="9" bestFit="1" customWidth="1"/>
    <col min="3" max="3" width="16.85546875" style="9" bestFit="1" customWidth="1"/>
    <col min="4" max="4" width="9.7109375" style="9" bestFit="1" customWidth="1"/>
    <col min="5" max="5" width="8.5703125" style="9" bestFit="1" customWidth="1"/>
    <col min="6" max="6" width="20.7109375" style="9" bestFit="1" customWidth="1"/>
    <col min="7" max="7" width="9" style="9" bestFit="1" customWidth="1"/>
    <col min="8" max="8" width="13.140625" style="9" bestFit="1" customWidth="1"/>
    <col min="9" max="9" width="14" style="9" bestFit="1" customWidth="1"/>
    <col min="10" max="10" width="8.85546875" style="9" bestFit="1" customWidth="1"/>
    <col min="11" max="11" width="12.140625" style="9" bestFit="1" customWidth="1"/>
    <col min="12" max="12" width="11.28515625" style="9" bestFit="1" customWidth="1"/>
    <col min="13" max="13" width="13.7109375" style="9" bestFit="1" customWidth="1"/>
    <col min="14" max="14" width="8" style="9" bestFit="1" customWidth="1"/>
    <col min="15" max="15" width="9.5703125" style="9" bestFit="1" customWidth="1"/>
    <col min="16" max="16" width="13.7109375" style="9" bestFit="1" customWidth="1"/>
    <col min="17" max="17" width="12.85546875" style="9" bestFit="1" customWidth="1"/>
    <col min="18" max="18" width="16.28515625" style="9" bestFit="1" customWidth="1"/>
    <col min="19" max="19" width="13.28515625" style="9" bestFit="1" customWidth="1"/>
    <col min="20" max="20" width="16.28515625" style="9" bestFit="1" customWidth="1"/>
    <col min="21" max="21" width="9" style="9" bestFit="1" customWidth="1"/>
    <col min="22" max="22" width="9.85546875" style="9" bestFit="1" customWidth="1"/>
    <col min="23" max="23" width="12" style="9" bestFit="1" customWidth="1"/>
    <col min="24" max="24" width="14.85546875" style="9" bestFit="1" customWidth="1"/>
    <col min="25" max="25" width="97.85546875" style="9" bestFit="1" customWidth="1"/>
    <col min="26" max="26" width="28.28515625" style="9" bestFit="1" customWidth="1"/>
    <col min="27" max="27" width="58.85546875" style="9" bestFit="1" customWidth="1"/>
    <col min="28" max="28" width="8.5703125" style="9" bestFit="1" customWidth="1"/>
    <col min="29" max="29" width="9.85546875" style="9" bestFit="1" customWidth="1"/>
    <col min="30" max="30" width="7.5703125" style="9" bestFit="1" customWidth="1"/>
    <col min="31" max="31" width="7.85546875" style="9" bestFit="1" customWidth="1"/>
    <col min="32" max="32" width="9.7109375" style="9" bestFit="1" customWidth="1"/>
    <col min="33" max="33" width="8.140625" style="9" bestFit="1" customWidth="1"/>
    <col min="34" max="34" width="8.7109375" style="9" bestFit="1" customWidth="1"/>
    <col min="35" max="35" width="12.140625" style="9" bestFit="1" customWidth="1"/>
    <col min="36" max="36" width="17.7109375" style="9" bestFit="1" customWidth="1"/>
    <col min="37" max="37" width="13.28515625" style="9" bestFit="1" customWidth="1"/>
    <col min="38" max="38" width="10.42578125" style="9" bestFit="1" customWidth="1"/>
    <col min="39" max="39" width="12" style="9" bestFit="1" customWidth="1"/>
    <col min="40" max="40" width="10.85546875" style="9" bestFit="1" customWidth="1"/>
    <col min="41" max="41" width="24.7109375" style="9" bestFit="1" customWidth="1"/>
    <col min="42" max="42" width="10.140625" style="9" bestFit="1" customWidth="1"/>
    <col min="43" max="43" width="11" style="9" bestFit="1" customWidth="1"/>
    <col min="44" max="44" width="9" style="9" bestFit="1" customWidth="1"/>
    <col min="45" max="45" width="27.5703125" style="9" bestFit="1" customWidth="1"/>
    <col min="46" max="46" width="14.28515625" style="9" bestFit="1" customWidth="1"/>
    <col min="47" max="47" width="8.42578125" style="9" bestFit="1" customWidth="1"/>
    <col min="48" max="48" width="13.140625" style="9" bestFit="1" customWidth="1"/>
    <col min="49" max="49" width="15.7109375" style="9" bestFit="1" customWidth="1"/>
    <col min="50" max="50" width="11.7109375" style="9" bestFit="1" customWidth="1"/>
    <col min="51" max="51" width="14.140625" style="9" bestFit="1" customWidth="1"/>
    <col min="52" max="52" width="12.7109375" style="9" bestFit="1" customWidth="1"/>
    <col min="53" max="53" width="13.140625" style="9" bestFit="1" customWidth="1"/>
    <col min="54" max="54" width="14.7109375" style="9" bestFit="1" customWidth="1"/>
    <col min="55" max="55" width="11.42578125" style="9" bestFit="1" customWidth="1"/>
    <col min="56" max="56" width="12.85546875" style="9" bestFit="1" customWidth="1"/>
    <col min="57" max="16384" width="9.140625" style="9"/>
  </cols>
  <sheetData>
    <row r="1" spans="1:56" x14ac:dyDescent="0.25">
      <c r="A1" s="9" t="s">
        <v>2502</v>
      </c>
      <c r="B1" s="9" t="s">
        <v>2503</v>
      </c>
      <c r="C1" s="9" t="s">
        <v>2504</v>
      </c>
      <c r="D1" s="9" t="s">
        <v>2505</v>
      </c>
      <c r="E1" s="9" t="s">
        <v>2506</v>
      </c>
      <c r="F1" s="9" t="s">
        <v>2507</v>
      </c>
      <c r="G1" s="9" t="s">
        <v>2508</v>
      </c>
      <c r="H1" s="9" t="s">
        <v>2509</v>
      </c>
      <c r="I1" s="9" t="s">
        <v>2510</v>
      </c>
      <c r="J1" s="9" t="s">
        <v>2511</v>
      </c>
      <c r="K1" s="9" t="s">
        <v>2512</v>
      </c>
      <c r="L1" s="9" t="s">
        <v>2513</v>
      </c>
      <c r="M1" s="9" t="s">
        <v>2514</v>
      </c>
      <c r="N1" s="9" t="s">
        <v>2515</v>
      </c>
      <c r="O1" s="9" t="s">
        <v>2516</v>
      </c>
      <c r="P1" s="9" t="s">
        <v>2517</v>
      </c>
      <c r="Q1" s="9" t="s">
        <v>2518</v>
      </c>
      <c r="R1" s="9" t="s">
        <v>2519</v>
      </c>
      <c r="S1" s="9" t="s">
        <v>2520</v>
      </c>
      <c r="T1" s="9" t="s">
        <v>2521</v>
      </c>
      <c r="U1" s="9" t="s">
        <v>2522</v>
      </c>
      <c r="V1" s="9" t="s">
        <v>2523</v>
      </c>
      <c r="W1" s="9" t="s">
        <v>2524</v>
      </c>
      <c r="X1" s="9" t="s">
        <v>2525</v>
      </c>
      <c r="Y1" s="9" t="s">
        <v>2526</v>
      </c>
      <c r="Z1" s="9" t="s">
        <v>2527</v>
      </c>
      <c r="AA1" s="9" t="s">
        <v>2528</v>
      </c>
      <c r="AB1" s="9" t="s">
        <v>2529</v>
      </c>
      <c r="AC1" s="9" t="s">
        <v>2530</v>
      </c>
      <c r="AD1" s="9" t="s">
        <v>2531</v>
      </c>
      <c r="AE1" s="9" t="s">
        <v>2532</v>
      </c>
      <c r="AF1" s="9" t="s">
        <v>2533</v>
      </c>
      <c r="AG1" s="9" t="s">
        <v>2534</v>
      </c>
      <c r="AH1" s="9" t="s">
        <v>2535</v>
      </c>
      <c r="AI1" s="9" t="s">
        <v>2536</v>
      </c>
      <c r="AJ1" s="9" t="s">
        <v>2537</v>
      </c>
      <c r="AK1" s="9" t="s">
        <v>2538</v>
      </c>
      <c r="AL1" s="9" t="s">
        <v>1</v>
      </c>
      <c r="AM1" s="9" t="s">
        <v>26</v>
      </c>
      <c r="AN1" s="9" t="s">
        <v>2539</v>
      </c>
      <c r="AO1" s="9" t="s">
        <v>2540</v>
      </c>
      <c r="AP1" s="9" t="s">
        <v>2541</v>
      </c>
      <c r="AQ1" s="9" t="s">
        <v>2542</v>
      </c>
      <c r="AR1" s="9" t="s">
        <v>2543</v>
      </c>
      <c r="AS1" s="9" t="s">
        <v>2544</v>
      </c>
      <c r="AT1" s="9" t="s">
        <v>2545</v>
      </c>
      <c r="AU1" s="9" t="s">
        <v>2546</v>
      </c>
      <c r="AV1" s="9" t="s">
        <v>2547</v>
      </c>
      <c r="AW1" s="9" t="s">
        <v>2548</v>
      </c>
      <c r="AX1" s="9" t="s">
        <v>2549</v>
      </c>
      <c r="AY1" s="9" t="s">
        <v>2550</v>
      </c>
      <c r="AZ1" s="9" t="s">
        <v>2551</v>
      </c>
      <c r="BA1" s="9" t="s">
        <v>2552</v>
      </c>
      <c r="BB1" s="9" t="s">
        <v>2553</v>
      </c>
      <c r="BC1" s="9" t="s">
        <v>2554</v>
      </c>
      <c r="BD1" s="9" t="s">
        <v>2555</v>
      </c>
    </row>
    <row r="2" spans="1:56" x14ac:dyDescent="0.25">
      <c r="A2" s="9" t="s">
        <v>2556</v>
      </c>
      <c r="B2" s="9">
        <v>1949</v>
      </c>
      <c r="C2" s="9" t="s">
        <v>2557</v>
      </c>
      <c r="D2" s="9">
        <v>1977</v>
      </c>
      <c r="E2" s="9">
        <v>2026</v>
      </c>
      <c r="F2" s="9" t="s">
        <v>2018</v>
      </c>
      <c r="G2" s="9">
        <v>62063000</v>
      </c>
      <c r="H2" s="9">
        <v>2016</v>
      </c>
      <c r="I2" s="9">
        <v>1</v>
      </c>
      <c r="J2" s="9" t="s">
        <v>2558</v>
      </c>
      <c r="K2" s="9">
        <v>0</v>
      </c>
      <c r="L2" s="10">
        <v>63082.8</v>
      </c>
      <c r="M2" s="10">
        <v>63082.8</v>
      </c>
      <c r="N2" s="9">
        <v>0</v>
      </c>
      <c r="O2" s="9">
        <v>0</v>
      </c>
      <c r="P2" s="9">
        <v>0</v>
      </c>
      <c r="U2" s="9">
        <v>1</v>
      </c>
      <c r="W2" s="9">
        <v>260326210686920</v>
      </c>
      <c r="X2" s="9" t="s">
        <v>2559</v>
      </c>
      <c r="Y2" s="9" t="s">
        <v>2560</v>
      </c>
      <c r="Z2" s="9" t="s">
        <v>2561</v>
      </c>
      <c r="AA2" s="9" t="s">
        <v>2562</v>
      </c>
      <c r="AF2" s="9">
        <v>10</v>
      </c>
      <c r="AG2" s="9" t="s">
        <v>2563</v>
      </c>
      <c r="AH2" s="9">
        <v>15576</v>
      </c>
      <c r="AP2" s="11">
        <v>46287</v>
      </c>
      <c r="AQ2" s="9" t="s">
        <v>2564</v>
      </c>
      <c r="AR2" s="9">
        <v>4</v>
      </c>
      <c r="AS2" s="9" t="s">
        <v>2565</v>
      </c>
      <c r="AU2" s="9" t="s">
        <v>2566</v>
      </c>
      <c r="AV2" s="9" t="s">
        <v>183</v>
      </c>
      <c r="AX2" s="9">
        <v>2610673</v>
      </c>
      <c r="BC2" s="9">
        <v>1680</v>
      </c>
    </row>
    <row r="3" spans="1:56" x14ac:dyDescent="0.25">
      <c r="A3" s="9" t="s">
        <v>2556</v>
      </c>
      <c r="B3" s="9">
        <v>1949</v>
      </c>
      <c r="C3" s="9" t="s">
        <v>2557</v>
      </c>
      <c r="D3" s="9">
        <v>1994</v>
      </c>
      <c r="E3" s="9">
        <v>2026</v>
      </c>
      <c r="F3" s="9" t="s">
        <v>2297</v>
      </c>
      <c r="G3" s="9">
        <v>62052000</v>
      </c>
      <c r="H3" s="9">
        <v>2016</v>
      </c>
      <c r="I3" s="9">
        <v>1</v>
      </c>
      <c r="J3" s="9" t="s">
        <v>2558</v>
      </c>
      <c r="L3" s="10">
        <v>7952.05</v>
      </c>
      <c r="M3" s="10">
        <v>7952.05</v>
      </c>
      <c r="N3" s="9">
        <v>0</v>
      </c>
      <c r="O3" s="9">
        <v>0</v>
      </c>
      <c r="P3" s="9">
        <v>0</v>
      </c>
      <c r="R3" s="10">
        <v>7952.05</v>
      </c>
      <c r="U3" s="9">
        <v>1</v>
      </c>
      <c r="W3" s="9">
        <v>260326210686920</v>
      </c>
      <c r="X3" s="9" t="s">
        <v>2559</v>
      </c>
      <c r="Y3" s="9" t="s">
        <v>2560</v>
      </c>
      <c r="Z3" s="9" t="s">
        <v>2561</v>
      </c>
      <c r="AA3" s="9" t="s">
        <v>2562</v>
      </c>
      <c r="AF3" s="9">
        <v>10</v>
      </c>
      <c r="AG3" s="9" t="s">
        <v>2563</v>
      </c>
      <c r="AH3" s="9">
        <v>1013</v>
      </c>
      <c r="AP3" s="11">
        <v>46292</v>
      </c>
      <c r="AQ3" s="9" t="s">
        <v>2564</v>
      </c>
      <c r="AR3" s="9">
        <v>4</v>
      </c>
      <c r="AU3" s="9" t="s">
        <v>2566</v>
      </c>
      <c r="AZ3" s="9">
        <v>306</v>
      </c>
      <c r="BA3" s="9">
        <v>508042</v>
      </c>
      <c r="BB3" s="11">
        <v>46292</v>
      </c>
      <c r="BC3" s="9">
        <v>1680</v>
      </c>
    </row>
    <row r="4" spans="1:56" x14ac:dyDescent="0.25">
      <c r="A4" s="9" t="s">
        <v>2556</v>
      </c>
      <c r="B4" s="9">
        <v>1949</v>
      </c>
      <c r="C4" s="9" t="s">
        <v>2557</v>
      </c>
      <c r="D4" s="9">
        <v>1812</v>
      </c>
      <c r="E4" s="9">
        <v>2026</v>
      </c>
      <c r="F4" s="9" t="s">
        <v>2567</v>
      </c>
      <c r="G4" s="9">
        <v>62052000</v>
      </c>
      <c r="H4" s="9">
        <v>2016</v>
      </c>
      <c r="I4" s="9">
        <v>1</v>
      </c>
      <c r="J4" s="9" t="s">
        <v>2558</v>
      </c>
      <c r="L4" s="10">
        <v>14079</v>
      </c>
      <c r="M4" s="10">
        <v>14079</v>
      </c>
      <c r="N4" s="9">
        <v>4841</v>
      </c>
      <c r="O4" s="9">
        <v>0</v>
      </c>
      <c r="R4" s="10">
        <v>14079</v>
      </c>
      <c r="U4" s="9">
        <v>8</v>
      </c>
      <c r="V4" s="11">
        <v>46260</v>
      </c>
      <c r="W4" s="9">
        <v>260326210686920</v>
      </c>
      <c r="X4" s="9" t="s">
        <v>2559</v>
      </c>
      <c r="Y4" s="9" t="s">
        <v>2560</v>
      </c>
      <c r="Z4" s="9" t="s">
        <v>2568</v>
      </c>
      <c r="AA4" s="9" t="s">
        <v>2569</v>
      </c>
      <c r="AB4" s="9" t="s">
        <v>2570</v>
      </c>
      <c r="AC4" s="11">
        <v>46271</v>
      </c>
      <c r="AD4" s="9">
        <v>1949</v>
      </c>
      <c r="AF4" s="9">
        <v>10</v>
      </c>
      <c r="AG4" s="9" t="s">
        <v>2563</v>
      </c>
      <c r="AH4" s="9">
        <v>2964</v>
      </c>
      <c r="AL4" s="9">
        <v>2609447</v>
      </c>
      <c r="AM4" s="11">
        <v>46252</v>
      </c>
      <c r="AO4" s="9" t="s">
        <v>2571</v>
      </c>
      <c r="AP4" s="11">
        <v>46253</v>
      </c>
      <c r="AQ4" s="9" t="s">
        <v>2564</v>
      </c>
      <c r="AR4" s="9">
        <v>9</v>
      </c>
      <c r="AS4" s="9" t="s">
        <v>2572</v>
      </c>
      <c r="AT4" s="9">
        <v>7</v>
      </c>
      <c r="AU4" s="9" t="s">
        <v>2566</v>
      </c>
      <c r="AW4" s="9" t="s">
        <v>2573</v>
      </c>
      <c r="AY4" s="11">
        <v>46259</v>
      </c>
      <c r="AZ4" s="9">
        <v>101</v>
      </c>
      <c r="BA4" s="9">
        <v>871960</v>
      </c>
      <c r="BB4" s="11">
        <v>46259</v>
      </c>
      <c r="BC4" s="9">
        <v>1680</v>
      </c>
    </row>
    <row r="5" spans="1:56" ht="75" x14ac:dyDescent="0.25">
      <c r="A5" s="9" t="s">
        <v>2556</v>
      </c>
      <c r="B5" s="9">
        <v>1949</v>
      </c>
      <c r="C5" s="9" t="s">
        <v>2557</v>
      </c>
      <c r="D5" s="9">
        <v>1932</v>
      </c>
      <c r="E5" s="9">
        <v>2026</v>
      </c>
      <c r="F5" s="9" t="s">
        <v>1418</v>
      </c>
      <c r="G5" s="9">
        <v>62052000</v>
      </c>
      <c r="H5" s="9">
        <v>110</v>
      </c>
      <c r="I5" s="9">
        <v>86</v>
      </c>
      <c r="J5" s="9" t="s">
        <v>2574</v>
      </c>
      <c r="K5" s="9">
        <v>0</v>
      </c>
      <c r="L5" s="10">
        <v>3556.22</v>
      </c>
      <c r="M5" s="10">
        <v>3556.22</v>
      </c>
      <c r="N5" s="9">
        <v>0</v>
      </c>
      <c r="O5" s="9">
        <v>0</v>
      </c>
      <c r="P5" s="9">
        <v>0</v>
      </c>
      <c r="R5" s="10">
        <v>3556.22</v>
      </c>
      <c r="U5" s="9">
        <v>1</v>
      </c>
      <c r="W5" s="9">
        <v>260326210686920</v>
      </c>
      <c r="X5" s="9" t="s">
        <v>2559</v>
      </c>
      <c r="Y5" s="9" t="s">
        <v>2560</v>
      </c>
      <c r="Z5" s="9" t="s">
        <v>2575</v>
      </c>
      <c r="AA5" s="12" t="s">
        <v>2576</v>
      </c>
      <c r="AF5" s="9">
        <v>10</v>
      </c>
      <c r="AG5" s="9" t="s">
        <v>2563</v>
      </c>
      <c r="AH5" s="9">
        <v>648</v>
      </c>
      <c r="AO5" s="9" t="s">
        <v>2577</v>
      </c>
      <c r="AP5" s="11">
        <v>46280</v>
      </c>
      <c r="AQ5" s="9" t="s">
        <v>2564</v>
      </c>
      <c r="AR5" s="9">
        <v>4</v>
      </c>
      <c r="AS5" s="9" t="s">
        <v>2565</v>
      </c>
      <c r="AU5" s="9" t="s">
        <v>2566</v>
      </c>
      <c r="AV5" s="9" t="s">
        <v>190</v>
      </c>
      <c r="AX5" s="9">
        <v>2610418</v>
      </c>
      <c r="AZ5" s="9">
        <v>306</v>
      </c>
      <c r="BA5" s="9">
        <v>455774</v>
      </c>
      <c r="BB5" s="11">
        <v>46280</v>
      </c>
      <c r="BC5" s="9">
        <v>1680</v>
      </c>
    </row>
    <row r="6" spans="1:56" ht="60" x14ac:dyDescent="0.25">
      <c r="A6" s="9" t="s">
        <v>2556</v>
      </c>
      <c r="B6" s="9">
        <v>1949</v>
      </c>
      <c r="C6" s="9" t="s">
        <v>2557</v>
      </c>
      <c r="D6" s="9">
        <v>1933</v>
      </c>
      <c r="E6" s="9">
        <v>2026</v>
      </c>
      <c r="F6" s="9" t="s">
        <v>1420</v>
      </c>
      <c r="G6" s="9">
        <v>62052000</v>
      </c>
      <c r="H6" s="9">
        <v>2016</v>
      </c>
      <c r="I6" s="9">
        <v>86</v>
      </c>
      <c r="J6" s="9" t="s">
        <v>2574</v>
      </c>
      <c r="K6" s="9">
        <v>0</v>
      </c>
      <c r="L6" s="10">
        <v>40550.83</v>
      </c>
      <c r="M6" s="10">
        <v>40550.83</v>
      </c>
      <c r="N6" s="9">
        <v>0</v>
      </c>
      <c r="O6" s="9">
        <v>0</v>
      </c>
      <c r="P6" s="9">
        <v>0</v>
      </c>
      <c r="R6" s="10">
        <v>40550.83</v>
      </c>
      <c r="U6" s="9">
        <v>1</v>
      </c>
      <c r="W6" s="9">
        <v>260326210686920</v>
      </c>
      <c r="X6" s="9" t="s">
        <v>2559</v>
      </c>
      <c r="Y6" s="9" t="s">
        <v>2560</v>
      </c>
      <c r="Z6" s="9" t="s">
        <v>2575</v>
      </c>
      <c r="AA6" s="12" t="s">
        <v>2578</v>
      </c>
      <c r="AF6" s="9">
        <v>10</v>
      </c>
      <c r="AG6" s="9" t="s">
        <v>2563</v>
      </c>
      <c r="AH6" s="9">
        <v>7389</v>
      </c>
      <c r="AO6" s="9" t="s">
        <v>2577</v>
      </c>
      <c r="AP6" s="11">
        <v>46280</v>
      </c>
      <c r="AQ6" s="9" t="s">
        <v>2564</v>
      </c>
      <c r="AR6" s="9">
        <v>4</v>
      </c>
      <c r="AS6" s="9" t="s">
        <v>2565</v>
      </c>
      <c r="AU6" s="9" t="s">
        <v>2566</v>
      </c>
      <c r="AV6" s="9" t="s">
        <v>183</v>
      </c>
      <c r="AX6" s="9">
        <v>2610419</v>
      </c>
      <c r="AZ6" s="9">
        <v>306</v>
      </c>
      <c r="BA6" s="9">
        <v>455769</v>
      </c>
      <c r="BB6" s="11">
        <v>46280</v>
      </c>
      <c r="BC6" s="9">
        <v>1680</v>
      </c>
    </row>
    <row r="7" spans="1:56" x14ac:dyDescent="0.25">
      <c r="A7" s="9" t="s">
        <v>2556</v>
      </c>
      <c r="B7" s="9">
        <v>1949</v>
      </c>
      <c r="C7" s="9" t="s">
        <v>2557</v>
      </c>
      <c r="D7" s="9">
        <v>1912</v>
      </c>
      <c r="E7" s="9">
        <v>2026</v>
      </c>
      <c r="F7" s="9" t="s">
        <v>857</v>
      </c>
      <c r="G7" s="9">
        <v>62063000</v>
      </c>
      <c r="H7" s="9">
        <v>2016</v>
      </c>
      <c r="I7" s="9">
        <v>1</v>
      </c>
      <c r="J7" s="9" t="s">
        <v>2558</v>
      </c>
      <c r="L7" s="10">
        <v>8424</v>
      </c>
      <c r="M7" s="10">
        <v>8424</v>
      </c>
      <c r="N7" s="9">
        <v>0</v>
      </c>
      <c r="O7" s="9">
        <v>0</v>
      </c>
      <c r="P7" s="9">
        <v>0</v>
      </c>
      <c r="R7" s="10">
        <v>8424</v>
      </c>
      <c r="U7" s="9">
        <v>1</v>
      </c>
      <c r="W7" s="9">
        <v>260326210686920</v>
      </c>
      <c r="X7" s="9" t="s">
        <v>2559</v>
      </c>
      <c r="Y7" s="9" t="s">
        <v>2560</v>
      </c>
      <c r="Z7" s="9" t="s">
        <v>2561</v>
      </c>
      <c r="AA7" s="9" t="s">
        <v>2562</v>
      </c>
      <c r="AF7" s="9">
        <v>10</v>
      </c>
      <c r="AG7" s="9" t="s">
        <v>2563</v>
      </c>
      <c r="AH7" s="9">
        <v>1404</v>
      </c>
      <c r="AL7" s="9">
        <v>2610204</v>
      </c>
      <c r="AM7" s="11">
        <v>46274</v>
      </c>
      <c r="AP7" s="11">
        <v>46275</v>
      </c>
      <c r="AQ7" s="9" t="s">
        <v>2564</v>
      </c>
      <c r="AR7" s="9">
        <v>4</v>
      </c>
      <c r="AU7" s="9" t="s">
        <v>2566</v>
      </c>
      <c r="AZ7" s="9">
        <v>306</v>
      </c>
      <c r="BA7" s="9">
        <v>436442</v>
      </c>
      <c r="BB7" s="11">
        <v>46276</v>
      </c>
      <c r="BC7" s="9">
        <v>1680</v>
      </c>
    </row>
    <row r="8" spans="1:56" x14ac:dyDescent="0.25">
      <c r="A8" s="9" t="s">
        <v>2556</v>
      </c>
      <c r="B8" s="9">
        <v>1949</v>
      </c>
      <c r="C8" s="9" t="s">
        <v>2557</v>
      </c>
      <c r="D8" s="9">
        <v>1892</v>
      </c>
      <c r="E8" s="9">
        <v>2026</v>
      </c>
      <c r="F8" s="9" t="s">
        <v>533</v>
      </c>
      <c r="G8" s="9">
        <v>62063000</v>
      </c>
      <c r="H8" s="9">
        <v>2016</v>
      </c>
      <c r="I8" s="9">
        <v>1</v>
      </c>
      <c r="J8" s="9" t="s">
        <v>2558</v>
      </c>
      <c r="L8" s="10">
        <v>6666.3</v>
      </c>
      <c r="M8" s="10">
        <v>6666.3</v>
      </c>
      <c r="N8" s="9">
        <v>0</v>
      </c>
      <c r="O8" s="9">
        <v>0</v>
      </c>
      <c r="P8" s="9">
        <v>0</v>
      </c>
      <c r="R8" s="10">
        <v>6666.3</v>
      </c>
      <c r="U8" s="9">
        <v>1</v>
      </c>
      <c r="V8" s="11">
        <v>46281</v>
      </c>
      <c r="W8" s="9">
        <v>260326210686920</v>
      </c>
      <c r="X8" s="9" t="s">
        <v>2559</v>
      </c>
      <c r="Y8" s="9" t="s">
        <v>2560</v>
      </c>
      <c r="Z8" s="9" t="s">
        <v>2579</v>
      </c>
      <c r="AA8" s="9" t="s">
        <v>2580</v>
      </c>
      <c r="AB8" s="9" t="s">
        <v>2570</v>
      </c>
      <c r="AC8" s="11">
        <v>46287</v>
      </c>
      <c r="AD8" s="9">
        <v>1949</v>
      </c>
      <c r="AF8" s="9">
        <v>10</v>
      </c>
      <c r="AG8" s="9" t="s">
        <v>2563</v>
      </c>
      <c r="AH8" s="9">
        <v>823</v>
      </c>
      <c r="AL8" s="9">
        <v>2610100</v>
      </c>
      <c r="AM8" s="11">
        <v>46268</v>
      </c>
      <c r="AO8" s="9" t="s">
        <v>2571</v>
      </c>
      <c r="AP8" s="11">
        <v>46268</v>
      </c>
      <c r="AQ8" s="9" t="s">
        <v>2564</v>
      </c>
      <c r="AR8" s="9">
        <v>4</v>
      </c>
      <c r="AS8" s="9" t="s">
        <v>2581</v>
      </c>
      <c r="AT8" s="9">
        <v>1</v>
      </c>
      <c r="AU8" s="9" t="s">
        <v>2566</v>
      </c>
      <c r="AW8" s="9" t="s">
        <v>2582</v>
      </c>
      <c r="AY8" s="11">
        <v>46281</v>
      </c>
      <c r="AZ8" s="9">
        <v>306</v>
      </c>
      <c r="BA8" s="9">
        <v>415384</v>
      </c>
      <c r="BB8" s="11">
        <v>46271</v>
      </c>
      <c r="BC8" s="9">
        <v>1680</v>
      </c>
    </row>
    <row r="9" spans="1:56" x14ac:dyDescent="0.25">
      <c r="A9" s="9" t="s">
        <v>2556</v>
      </c>
      <c r="B9" s="9">
        <v>1949</v>
      </c>
      <c r="C9" s="9" t="s">
        <v>2557</v>
      </c>
      <c r="D9" s="9">
        <v>1665</v>
      </c>
      <c r="E9" s="9">
        <v>2026</v>
      </c>
      <c r="F9" s="9" t="s">
        <v>2583</v>
      </c>
      <c r="G9" s="9">
        <v>62052000</v>
      </c>
      <c r="H9" s="9">
        <v>1232</v>
      </c>
      <c r="I9" s="9">
        <v>1</v>
      </c>
      <c r="J9" s="9" t="s">
        <v>2558</v>
      </c>
      <c r="K9" s="10">
        <v>14557.6</v>
      </c>
      <c r="L9" s="10">
        <v>37524</v>
      </c>
      <c r="M9" s="10">
        <v>37524</v>
      </c>
      <c r="N9" s="9">
        <v>0</v>
      </c>
      <c r="O9" s="9">
        <v>0</v>
      </c>
      <c r="P9" s="9">
        <v>0</v>
      </c>
      <c r="Q9" s="9">
        <v>14557.6</v>
      </c>
      <c r="R9" s="10">
        <v>14557.6</v>
      </c>
      <c r="S9" s="11">
        <v>46247</v>
      </c>
      <c r="T9" s="10">
        <v>14537.6</v>
      </c>
      <c r="U9" s="9">
        <v>1</v>
      </c>
      <c r="V9" s="11">
        <v>46241</v>
      </c>
      <c r="W9" s="9">
        <v>260326210686920</v>
      </c>
      <c r="X9" s="9" t="s">
        <v>2559</v>
      </c>
      <c r="Y9" s="9" t="s">
        <v>2560</v>
      </c>
      <c r="Z9" s="9" t="s">
        <v>2584</v>
      </c>
      <c r="AA9" s="9" t="s">
        <v>2585</v>
      </c>
      <c r="AB9" s="9" t="s">
        <v>2570</v>
      </c>
      <c r="AC9" s="11">
        <v>46246</v>
      </c>
      <c r="AD9" s="9">
        <v>1949</v>
      </c>
      <c r="AE9" s="9" t="s">
        <v>2570</v>
      </c>
      <c r="AF9" s="9">
        <v>10</v>
      </c>
      <c r="AG9" s="9" t="s">
        <v>2563</v>
      </c>
      <c r="AH9" s="9">
        <v>5534</v>
      </c>
      <c r="AJ9" s="9" t="s">
        <v>2586</v>
      </c>
      <c r="AK9" s="11">
        <v>46247</v>
      </c>
      <c r="AL9" s="9">
        <v>2608810</v>
      </c>
      <c r="AM9" s="11">
        <v>46235</v>
      </c>
      <c r="AP9" s="11">
        <v>46236</v>
      </c>
      <c r="AQ9" s="9" t="s">
        <v>2564</v>
      </c>
      <c r="AR9" s="9">
        <v>4</v>
      </c>
      <c r="AT9" s="9">
        <v>1</v>
      </c>
      <c r="AU9" s="9" t="s">
        <v>2566</v>
      </c>
      <c r="AW9" s="9" t="s">
        <v>2587</v>
      </c>
      <c r="AY9" s="11">
        <v>46241</v>
      </c>
      <c r="AZ9" s="9">
        <v>306</v>
      </c>
      <c r="BA9" s="9">
        <v>251818</v>
      </c>
      <c r="BB9" s="11">
        <v>46237</v>
      </c>
      <c r="BC9" s="9">
        <v>1680</v>
      </c>
      <c r="BD9" s="9">
        <v>1</v>
      </c>
    </row>
    <row r="10" spans="1:56" x14ac:dyDescent="0.25">
      <c r="A10" s="9" t="s">
        <v>2556</v>
      </c>
      <c r="B10" s="9">
        <v>1949</v>
      </c>
      <c r="C10" s="9" t="s">
        <v>2557</v>
      </c>
      <c r="D10" s="9">
        <v>1749</v>
      </c>
      <c r="E10" s="9">
        <v>2026</v>
      </c>
      <c r="F10" s="9" t="s">
        <v>2588</v>
      </c>
      <c r="G10" s="9">
        <v>62052000</v>
      </c>
      <c r="H10" s="9">
        <v>2016</v>
      </c>
      <c r="I10" s="9">
        <v>1</v>
      </c>
      <c r="J10" s="9" t="s">
        <v>2558</v>
      </c>
      <c r="L10" s="10">
        <v>37958.5</v>
      </c>
      <c r="M10" s="10">
        <v>37958.5</v>
      </c>
      <c r="N10" s="9">
        <v>0</v>
      </c>
      <c r="O10" s="9">
        <v>0</v>
      </c>
      <c r="P10" s="9">
        <v>0</v>
      </c>
      <c r="R10" s="10">
        <v>37958.5</v>
      </c>
      <c r="U10" s="9">
        <v>8</v>
      </c>
      <c r="V10" s="11">
        <v>46250</v>
      </c>
      <c r="W10" s="9">
        <v>260326210686920</v>
      </c>
      <c r="X10" s="9" t="s">
        <v>2559</v>
      </c>
      <c r="Y10" s="9" t="s">
        <v>2560</v>
      </c>
      <c r="Z10" s="9" t="s">
        <v>2579</v>
      </c>
      <c r="AA10" s="9" t="s">
        <v>2580</v>
      </c>
      <c r="AB10" s="9" t="s">
        <v>2570</v>
      </c>
      <c r="AC10" s="11">
        <v>46263</v>
      </c>
      <c r="AD10" s="9">
        <v>1949</v>
      </c>
      <c r="AF10" s="9">
        <v>10</v>
      </c>
      <c r="AG10" s="9" t="s">
        <v>2563</v>
      </c>
      <c r="AH10" s="9">
        <v>7292</v>
      </c>
      <c r="AL10" s="9">
        <v>2609039</v>
      </c>
      <c r="AM10" s="11">
        <v>46242</v>
      </c>
      <c r="AO10" s="9" t="s">
        <v>2571</v>
      </c>
      <c r="AP10" s="11">
        <v>46244</v>
      </c>
      <c r="AQ10" s="9" t="s">
        <v>2564</v>
      </c>
      <c r="AR10" s="9">
        <v>4</v>
      </c>
      <c r="AS10" s="9" t="s">
        <v>2589</v>
      </c>
      <c r="AT10" s="9">
        <v>7</v>
      </c>
      <c r="AU10" s="9" t="s">
        <v>2566</v>
      </c>
      <c r="AW10" s="9">
        <v>52026227802</v>
      </c>
      <c r="AY10" s="11">
        <v>46250</v>
      </c>
      <c r="AZ10" s="9">
        <v>101</v>
      </c>
      <c r="BA10" s="9">
        <v>826049</v>
      </c>
      <c r="BB10" s="11">
        <v>46249</v>
      </c>
      <c r="BC10" s="9">
        <v>1680</v>
      </c>
    </row>
    <row r="11" spans="1:56" ht="60" x14ac:dyDescent="0.25">
      <c r="A11" s="9" t="s">
        <v>2556</v>
      </c>
      <c r="B11" s="9">
        <v>1949</v>
      </c>
      <c r="C11" s="9" t="s">
        <v>2557</v>
      </c>
      <c r="D11" s="9">
        <v>1901</v>
      </c>
      <c r="E11" s="9">
        <v>2026</v>
      </c>
      <c r="F11" s="9" t="s">
        <v>809</v>
      </c>
      <c r="G11" s="9">
        <v>62052000</v>
      </c>
      <c r="H11" s="9">
        <v>2016</v>
      </c>
      <c r="I11" s="9">
        <v>86</v>
      </c>
      <c r="J11" s="9" t="s">
        <v>2574</v>
      </c>
      <c r="K11" s="9">
        <v>0</v>
      </c>
      <c r="L11" s="10">
        <v>9377.7199999999993</v>
      </c>
      <c r="M11" s="10">
        <v>9377.7199999999993</v>
      </c>
      <c r="N11" s="9">
        <v>0</v>
      </c>
      <c r="O11" s="9">
        <v>0</v>
      </c>
      <c r="P11" s="9">
        <v>0</v>
      </c>
      <c r="R11" s="10">
        <v>9377.7199999999993</v>
      </c>
      <c r="U11" s="9">
        <v>1</v>
      </c>
      <c r="W11" s="9">
        <v>260326210686920</v>
      </c>
      <c r="X11" s="9" t="s">
        <v>2559</v>
      </c>
      <c r="Y11" s="9" t="s">
        <v>2560</v>
      </c>
      <c r="Z11" s="9" t="s">
        <v>2575</v>
      </c>
      <c r="AA11" s="12" t="s">
        <v>2578</v>
      </c>
      <c r="AF11" s="9">
        <v>10</v>
      </c>
      <c r="AG11" s="9" t="s">
        <v>2563</v>
      </c>
      <c r="AH11" s="9">
        <v>1146</v>
      </c>
      <c r="AO11" s="9" t="s">
        <v>2577</v>
      </c>
      <c r="AP11" s="11">
        <v>46273</v>
      </c>
      <c r="AQ11" s="9" t="s">
        <v>2564</v>
      </c>
      <c r="AR11" s="9">
        <v>4</v>
      </c>
      <c r="AS11" s="9" t="s">
        <v>2565</v>
      </c>
      <c r="AU11" s="9" t="s">
        <v>2566</v>
      </c>
      <c r="AV11" s="9" t="s">
        <v>183</v>
      </c>
      <c r="AX11" s="9">
        <v>2610189</v>
      </c>
      <c r="AZ11" s="9">
        <v>306</v>
      </c>
      <c r="BA11" s="9">
        <v>426168</v>
      </c>
      <c r="BB11" s="11">
        <v>46273</v>
      </c>
      <c r="BC11" s="9">
        <v>1680</v>
      </c>
    </row>
    <row r="12" spans="1:56" ht="75" x14ac:dyDescent="0.25">
      <c r="A12" s="9" t="s">
        <v>2556</v>
      </c>
      <c r="B12" s="9">
        <v>1949</v>
      </c>
      <c r="C12" s="9" t="s">
        <v>2557</v>
      </c>
      <c r="D12" s="9">
        <v>1902</v>
      </c>
      <c r="E12" s="9">
        <v>2026</v>
      </c>
      <c r="F12" s="9" t="s">
        <v>812</v>
      </c>
      <c r="G12" s="9">
        <v>62052000</v>
      </c>
      <c r="H12" s="9">
        <v>110</v>
      </c>
      <c r="I12" s="9">
        <v>86</v>
      </c>
      <c r="J12" s="9" t="s">
        <v>2574</v>
      </c>
      <c r="K12" s="9">
        <v>0</v>
      </c>
      <c r="L12" s="9">
        <v>441.88</v>
      </c>
      <c r="M12" s="9">
        <v>441.88</v>
      </c>
      <c r="N12" s="9">
        <v>0</v>
      </c>
      <c r="O12" s="9">
        <v>0</v>
      </c>
      <c r="P12" s="9">
        <v>0</v>
      </c>
      <c r="R12" s="9">
        <v>441.88</v>
      </c>
      <c r="U12" s="9">
        <v>1</v>
      </c>
      <c r="V12" s="11">
        <v>46277</v>
      </c>
      <c r="W12" s="9">
        <v>260326210686920</v>
      </c>
      <c r="X12" s="9" t="s">
        <v>2559</v>
      </c>
      <c r="Y12" s="9" t="s">
        <v>2560</v>
      </c>
      <c r="Z12" s="9" t="s">
        <v>2575</v>
      </c>
      <c r="AA12" s="12" t="s">
        <v>2576</v>
      </c>
      <c r="AB12" s="9" t="s">
        <v>2570</v>
      </c>
      <c r="AC12" s="11">
        <v>46291</v>
      </c>
      <c r="AD12" s="9">
        <v>1949</v>
      </c>
      <c r="AF12" s="9">
        <v>10</v>
      </c>
      <c r="AG12" s="9" t="s">
        <v>2563</v>
      </c>
      <c r="AH12" s="9">
        <v>54</v>
      </c>
      <c r="AL12" s="9">
        <v>2610190</v>
      </c>
      <c r="AM12" s="11">
        <v>46273</v>
      </c>
      <c r="AO12" s="9" t="s">
        <v>2577</v>
      </c>
      <c r="AP12" s="11">
        <v>46273</v>
      </c>
      <c r="AQ12" s="9" t="s">
        <v>2564</v>
      </c>
      <c r="AR12" s="9">
        <v>4</v>
      </c>
      <c r="AS12" s="9" t="s">
        <v>2565</v>
      </c>
      <c r="AT12" s="9">
        <v>6</v>
      </c>
      <c r="AU12" s="9" t="s">
        <v>2566</v>
      </c>
      <c r="AV12" s="9" t="s">
        <v>190</v>
      </c>
      <c r="AW12" s="9" t="s">
        <v>2590</v>
      </c>
      <c r="AX12" s="9">
        <v>2610190</v>
      </c>
      <c r="AY12" s="11">
        <v>46277</v>
      </c>
      <c r="AZ12" s="9">
        <v>306</v>
      </c>
      <c r="BA12" s="9">
        <v>426174</v>
      </c>
      <c r="BB12" s="11">
        <v>46273</v>
      </c>
      <c r="BC12" s="9">
        <v>1680</v>
      </c>
    </row>
    <row r="13" spans="1:56" x14ac:dyDescent="0.25">
      <c r="A13" s="9" t="s">
        <v>2556</v>
      </c>
      <c r="B13" s="9">
        <v>1949</v>
      </c>
      <c r="C13" s="9" t="s">
        <v>2557</v>
      </c>
      <c r="D13" s="9">
        <v>1739</v>
      </c>
      <c r="E13" s="9">
        <v>2026</v>
      </c>
      <c r="F13" s="9" t="s">
        <v>2591</v>
      </c>
      <c r="G13" s="9">
        <v>62052000</v>
      </c>
      <c r="H13" s="9">
        <v>2016</v>
      </c>
      <c r="I13" s="9">
        <v>1</v>
      </c>
      <c r="J13" s="9" t="s">
        <v>2558</v>
      </c>
      <c r="K13" s="9">
        <v>0</v>
      </c>
      <c r="L13" s="10">
        <v>162838.78</v>
      </c>
      <c r="M13" s="10">
        <v>162838.78</v>
      </c>
      <c r="N13" s="9">
        <v>0</v>
      </c>
      <c r="O13" s="9">
        <v>0</v>
      </c>
      <c r="P13" s="9">
        <v>0</v>
      </c>
      <c r="R13" s="10">
        <v>162838.78</v>
      </c>
      <c r="U13" s="9">
        <v>1</v>
      </c>
      <c r="V13" s="11">
        <v>46277</v>
      </c>
      <c r="W13" s="9">
        <v>260326210686920</v>
      </c>
      <c r="X13" s="9" t="s">
        <v>2559</v>
      </c>
      <c r="Y13" s="9" t="s">
        <v>2560</v>
      </c>
      <c r="Z13" s="9" t="s">
        <v>2568</v>
      </c>
      <c r="AA13" s="9" t="s">
        <v>2569</v>
      </c>
      <c r="AB13" s="9" t="s">
        <v>2570</v>
      </c>
      <c r="AC13" s="11">
        <v>46295</v>
      </c>
      <c r="AD13" s="9">
        <v>1949</v>
      </c>
      <c r="AF13" s="9">
        <v>10</v>
      </c>
      <c r="AG13" s="9" t="s">
        <v>2563</v>
      </c>
      <c r="AH13" s="9">
        <v>42796</v>
      </c>
      <c r="AL13" s="9">
        <v>2609027</v>
      </c>
      <c r="AM13" s="11">
        <v>46269</v>
      </c>
      <c r="AO13" s="9" t="s">
        <v>2592</v>
      </c>
      <c r="AP13" s="11">
        <v>46238</v>
      </c>
      <c r="AQ13" s="9" t="s">
        <v>2564</v>
      </c>
      <c r="AR13" s="9">
        <v>4</v>
      </c>
      <c r="AS13" s="9" t="s">
        <v>2565</v>
      </c>
      <c r="AT13" s="9">
        <v>1</v>
      </c>
      <c r="AU13" s="9" t="s">
        <v>2566</v>
      </c>
      <c r="AV13" s="9" t="s">
        <v>183</v>
      </c>
      <c r="AW13" s="9" t="s">
        <v>2593</v>
      </c>
      <c r="AX13" s="9">
        <v>2609027</v>
      </c>
      <c r="AY13" s="11">
        <v>46277</v>
      </c>
      <c r="AZ13" s="9">
        <v>306</v>
      </c>
      <c r="BA13" s="9">
        <v>270279</v>
      </c>
      <c r="BB13" s="11">
        <v>46240</v>
      </c>
      <c r="BC13" s="9">
        <v>1680</v>
      </c>
    </row>
    <row r="14" spans="1:56" x14ac:dyDescent="0.25">
      <c r="A14" s="9" t="s">
        <v>2556</v>
      </c>
      <c r="B14" s="9">
        <v>1949</v>
      </c>
      <c r="C14" s="9" t="s">
        <v>2557</v>
      </c>
      <c r="D14" s="9">
        <v>1664</v>
      </c>
      <c r="E14" s="9">
        <v>2026</v>
      </c>
      <c r="F14" s="9" t="s">
        <v>2594</v>
      </c>
      <c r="G14" s="9">
        <v>62072100</v>
      </c>
      <c r="H14" s="9">
        <v>2016</v>
      </c>
      <c r="I14" s="9">
        <v>1</v>
      </c>
      <c r="J14" s="9" t="s">
        <v>2558</v>
      </c>
      <c r="L14" s="10">
        <v>10260.799999999999</v>
      </c>
      <c r="M14" s="10">
        <v>10260.799999999999</v>
      </c>
      <c r="N14" s="9">
        <v>0</v>
      </c>
      <c r="O14" s="9">
        <v>0</v>
      </c>
      <c r="P14" s="9">
        <v>0</v>
      </c>
      <c r="R14" s="10">
        <v>10260.799999999999</v>
      </c>
      <c r="S14" s="11">
        <v>46279</v>
      </c>
      <c r="T14" s="10">
        <v>10054.129999999999</v>
      </c>
      <c r="U14" s="9">
        <v>1</v>
      </c>
      <c r="V14" s="11">
        <v>46247</v>
      </c>
      <c r="W14" s="9">
        <v>260326210686920</v>
      </c>
      <c r="X14" s="9" t="s">
        <v>2559</v>
      </c>
      <c r="Y14" s="9" t="s">
        <v>2560</v>
      </c>
      <c r="Z14" s="9" t="s">
        <v>2568</v>
      </c>
      <c r="AA14" s="9" t="s">
        <v>2569</v>
      </c>
      <c r="AB14" s="9" t="s">
        <v>2570</v>
      </c>
      <c r="AC14" s="11">
        <v>46273</v>
      </c>
      <c r="AD14" s="9">
        <v>1949</v>
      </c>
      <c r="AE14" s="9" t="s">
        <v>2570</v>
      </c>
      <c r="AF14" s="9">
        <v>10</v>
      </c>
      <c r="AG14" s="9" t="s">
        <v>2563</v>
      </c>
      <c r="AH14" s="9">
        <v>2332</v>
      </c>
      <c r="AJ14" s="9" t="s">
        <v>2595</v>
      </c>
      <c r="AK14" s="11">
        <v>46278</v>
      </c>
      <c r="AL14" s="9">
        <v>2608809</v>
      </c>
      <c r="AM14" s="11">
        <v>46235</v>
      </c>
      <c r="AP14" s="11">
        <v>46236</v>
      </c>
      <c r="AQ14" s="9" t="s">
        <v>2564</v>
      </c>
      <c r="AR14" s="9">
        <v>4</v>
      </c>
      <c r="AT14" s="9">
        <v>1</v>
      </c>
      <c r="AU14" s="9" t="s">
        <v>2566</v>
      </c>
      <c r="AW14" s="9" t="s">
        <v>2596</v>
      </c>
      <c r="AY14" s="11">
        <v>46247</v>
      </c>
      <c r="AZ14" s="9">
        <v>306</v>
      </c>
      <c r="BA14" s="9">
        <v>251802</v>
      </c>
      <c r="BB14" s="11">
        <v>46237</v>
      </c>
      <c r="BC14" s="9">
        <v>1680</v>
      </c>
    </row>
    <row r="15" spans="1:56" x14ac:dyDescent="0.25">
      <c r="A15" s="9" t="s">
        <v>2556</v>
      </c>
      <c r="B15" s="9">
        <v>1949</v>
      </c>
      <c r="C15" s="9" t="s">
        <v>2557</v>
      </c>
      <c r="D15" s="9">
        <v>1752</v>
      </c>
      <c r="E15" s="9">
        <v>2026</v>
      </c>
      <c r="F15" s="9" t="s">
        <v>2597</v>
      </c>
      <c r="G15" s="9">
        <v>62052000</v>
      </c>
      <c r="H15" s="9">
        <v>2016</v>
      </c>
      <c r="I15" s="9">
        <v>1</v>
      </c>
      <c r="J15" s="9" t="s">
        <v>2558</v>
      </c>
      <c r="L15" s="10">
        <v>18665.439999999999</v>
      </c>
      <c r="M15" s="10">
        <v>18665.439999999999</v>
      </c>
      <c r="N15" s="9">
        <v>0</v>
      </c>
      <c r="O15" s="9">
        <v>0</v>
      </c>
      <c r="P15" s="9">
        <v>0</v>
      </c>
      <c r="R15" s="10">
        <v>18665.439999999999</v>
      </c>
      <c r="U15" s="9">
        <v>8</v>
      </c>
      <c r="W15" s="9">
        <v>260326210686920</v>
      </c>
      <c r="X15" s="9" t="s">
        <v>2559</v>
      </c>
      <c r="Y15" s="9" t="s">
        <v>2560</v>
      </c>
      <c r="Z15" s="9" t="s">
        <v>2579</v>
      </c>
      <c r="AA15" s="9" t="s">
        <v>2580</v>
      </c>
      <c r="AF15" s="9">
        <v>10</v>
      </c>
      <c r="AG15" s="9" t="s">
        <v>2563</v>
      </c>
      <c r="AH15" s="9">
        <v>2713</v>
      </c>
      <c r="AL15" s="9">
        <v>2609051</v>
      </c>
      <c r="AM15" s="11">
        <v>46243</v>
      </c>
      <c r="AO15" s="9" t="s">
        <v>2577</v>
      </c>
      <c r="AP15" s="11">
        <v>46244</v>
      </c>
      <c r="AQ15" s="9" t="s">
        <v>2564</v>
      </c>
      <c r="AR15" s="9">
        <v>4</v>
      </c>
      <c r="AS15" s="9" t="s">
        <v>2589</v>
      </c>
      <c r="AU15" s="9" t="s">
        <v>2566</v>
      </c>
      <c r="AW15" s="9">
        <v>52026228411</v>
      </c>
      <c r="AY15" s="11">
        <v>46250</v>
      </c>
      <c r="AZ15" s="9">
        <v>101</v>
      </c>
      <c r="BA15" s="9">
        <v>826063</v>
      </c>
      <c r="BB15" s="11">
        <v>46249</v>
      </c>
      <c r="BC15" s="9">
        <v>1680</v>
      </c>
    </row>
    <row r="16" spans="1:56" x14ac:dyDescent="0.25">
      <c r="A16" s="9" t="s">
        <v>2556</v>
      </c>
      <c r="B16" s="9">
        <v>1949</v>
      </c>
      <c r="C16" s="9" t="s">
        <v>2557</v>
      </c>
      <c r="D16" s="9">
        <v>1750</v>
      </c>
      <c r="E16" s="9">
        <v>2026</v>
      </c>
      <c r="F16" s="9" t="s">
        <v>2598</v>
      </c>
      <c r="G16" s="9">
        <v>62052000</v>
      </c>
      <c r="H16" s="9">
        <v>2016</v>
      </c>
      <c r="I16" s="9">
        <v>1</v>
      </c>
      <c r="J16" s="9" t="s">
        <v>2558</v>
      </c>
      <c r="L16" s="10">
        <v>32548.99</v>
      </c>
      <c r="M16" s="10">
        <v>32548.99</v>
      </c>
      <c r="N16" s="9">
        <v>0</v>
      </c>
      <c r="O16" s="9">
        <v>0</v>
      </c>
      <c r="P16" s="9">
        <v>0</v>
      </c>
      <c r="R16" s="10">
        <v>32548.99</v>
      </c>
      <c r="U16" s="9">
        <v>8</v>
      </c>
      <c r="V16" s="11">
        <v>46248</v>
      </c>
      <c r="W16" s="9">
        <v>260326210686920</v>
      </c>
      <c r="X16" s="9" t="s">
        <v>2559</v>
      </c>
      <c r="Y16" s="9" t="s">
        <v>2560</v>
      </c>
      <c r="Z16" s="9" t="s">
        <v>2579</v>
      </c>
      <c r="AA16" s="9" t="s">
        <v>2580</v>
      </c>
      <c r="AB16" s="9" t="s">
        <v>2570</v>
      </c>
      <c r="AC16" s="11">
        <v>46263</v>
      </c>
      <c r="AD16" s="9">
        <v>1949</v>
      </c>
      <c r="AF16" s="9">
        <v>10</v>
      </c>
      <c r="AG16" s="9" t="s">
        <v>2563</v>
      </c>
      <c r="AH16" s="9">
        <v>5892</v>
      </c>
      <c r="AL16" s="9">
        <v>2609049</v>
      </c>
      <c r="AM16" s="11">
        <v>46243</v>
      </c>
      <c r="AO16" s="9" t="s">
        <v>2571</v>
      </c>
      <c r="AP16" s="11">
        <v>46244</v>
      </c>
      <c r="AQ16" s="9" t="s">
        <v>2564</v>
      </c>
      <c r="AR16" s="9">
        <v>4</v>
      </c>
      <c r="AS16" s="9" t="s">
        <v>2599</v>
      </c>
      <c r="AT16" s="9">
        <v>7</v>
      </c>
      <c r="AU16" s="9" t="s">
        <v>2566</v>
      </c>
      <c r="AW16" s="9">
        <v>52026227825</v>
      </c>
      <c r="AY16" s="11">
        <v>46248</v>
      </c>
      <c r="AZ16" s="9">
        <v>101</v>
      </c>
      <c r="BA16" s="9">
        <v>820014</v>
      </c>
      <c r="BB16" s="11">
        <v>46246</v>
      </c>
      <c r="BC16" s="9">
        <v>1680</v>
      </c>
    </row>
    <row r="17" spans="1:56" x14ac:dyDescent="0.25">
      <c r="A17" s="9" t="s">
        <v>2556</v>
      </c>
      <c r="B17" s="9">
        <v>1949</v>
      </c>
      <c r="C17" s="9" t="s">
        <v>2557</v>
      </c>
      <c r="D17" s="9">
        <v>1751</v>
      </c>
      <c r="E17" s="9">
        <v>2026</v>
      </c>
      <c r="F17" s="9" t="s">
        <v>2600</v>
      </c>
      <c r="G17" s="9">
        <v>62052000</v>
      </c>
      <c r="H17" s="9">
        <v>2016</v>
      </c>
      <c r="I17" s="9">
        <v>1</v>
      </c>
      <c r="J17" s="9" t="s">
        <v>2558</v>
      </c>
      <c r="L17" s="10">
        <v>37860.639999999999</v>
      </c>
      <c r="M17" s="10">
        <v>37860.639999999999</v>
      </c>
      <c r="N17" s="9">
        <v>0</v>
      </c>
      <c r="O17" s="9">
        <v>0</v>
      </c>
      <c r="P17" s="9">
        <v>0</v>
      </c>
      <c r="R17" s="10">
        <v>37860.639999999999</v>
      </c>
      <c r="U17" s="9">
        <v>8</v>
      </c>
      <c r="V17" s="11">
        <v>46248</v>
      </c>
      <c r="W17" s="9">
        <v>260326210686920</v>
      </c>
      <c r="X17" s="9" t="s">
        <v>2559</v>
      </c>
      <c r="Y17" s="9" t="s">
        <v>2560</v>
      </c>
      <c r="Z17" s="9" t="s">
        <v>2579</v>
      </c>
      <c r="AA17" s="9" t="s">
        <v>2580</v>
      </c>
      <c r="AB17" s="9" t="s">
        <v>2570</v>
      </c>
      <c r="AC17" s="11">
        <v>46263</v>
      </c>
      <c r="AD17" s="9">
        <v>1949</v>
      </c>
      <c r="AF17" s="9">
        <v>10</v>
      </c>
      <c r="AG17" s="9" t="s">
        <v>2563</v>
      </c>
      <c r="AH17" s="9">
        <v>5503</v>
      </c>
      <c r="AL17" s="9">
        <v>2609050</v>
      </c>
      <c r="AM17" s="11">
        <v>46243</v>
      </c>
      <c r="AO17" s="9" t="s">
        <v>2571</v>
      </c>
      <c r="AP17" s="11">
        <v>46244</v>
      </c>
      <c r="AQ17" s="9" t="s">
        <v>2564</v>
      </c>
      <c r="AR17" s="9">
        <v>4</v>
      </c>
      <c r="AS17" s="9" t="s">
        <v>2599</v>
      </c>
      <c r="AT17" s="9">
        <v>7</v>
      </c>
      <c r="AU17" s="9" t="s">
        <v>2566</v>
      </c>
      <c r="AW17" s="9">
        <v>520262283645</v>
      </c>
      <c r="AY17" s="11">
        <v>46248</v>
      </c>
      <c r="AZ17" s="9">
        <v>101</v>
      </c>
      <c r="BA17" s="9">
        <v>820021</v>
      </c>
      <c r="BB17" s="11">
        <v>46246</v>
      </c>
      <c r="BC17" s="9">
        <v>1680</v>
      </c>
    </row>
    <row r="18" spans="1:56" x14ac:dyDescent="0.25">
      <c r="A18" s="9" t="s">
        <v>2556</v>
      </c>
      <c r="B18" s="9">
        <v>1949</v>
      </c>
      <c r="C18" s="9" t="s">
        <v>2557</v>
      </c>
      <c r="D18" s="9">
        <v>1973</v>
      </c>
      <c r="E18" s="9">
        <v>2026</v>
      </c>
      <c r="F18" s="9" t="s">
        <v>2005</v>
      </c>
      <c r="G18" s="9">
        <v>62052000</v>
      </c>
      <c r="H18" s="9">
        <v>2016</v>
      </c>
      <c r="I18" s="9">
        <v>1</v>
      </c>
      <c r="J18" s="9" t="s">
        <v>2558</v>
      </c>
      <c r="K18" s="9">
        <v>0</v>
      </c>
      <c r="L18" s="10">
        <v>10366.4</v>
      </c>
      <c r="M18" s="10">
        <v>10366.4</v>
      </c>
      <c r="N18" s="9">
        <v>0</v>
      </c>
      <c r="O18" s="9">
        <v>0</v>
      </c>
      <c r="P18" s="9">
        <v>0</v>
      </c>
      <c r="R18" s="10">
        <v>10366.4</v>
      </c>
      <c r="U18" s="9">
        <v>1</v>
      </c>
      <c r="W18" s="9">
        <v>260326210686920</v>
      </c>
      <c r="X18" s="9" t="s">
        <v>2559</v>
      </c>
      <c r="Y18" s="9" t="s">
        <v>2560</v>
      </c>
      <c r="Z18" s="9" t="s">
        <v>2561</v>
      </c>
      <c r="AA18" s="9" t="s">
        <v>2562</v>
      </c>
      <c r="AF18" s="9">
        <v>10</v>
      </c>
      <c r="AG18" s="9" t="s">
        <v>2563</v>
      </c>
      <c r="AH18" s="9">
        <v>2728</v>
      </c>
      <c r="AP18" s="11">
        <v>46287</v>
      </c>
      <c r="AQ18" s="9" t="s">
        <v>2564</v>
      </c>
      <c r="AR18" s="9">
        <v>4</v>
      </c>
      <c r="AS18" s="9" t="s">
        <v>2565</v>
      </c>
      <c r="AU18" s="9" t="s">
        <v>2566</v>
      </c>
      <c r="AV18" s="9" t="s">
        <v>183</v>
      </c>
      <c r="AX18" s="9">
        <v>2610669</v>
      </c>
      <c r="AZ18" s="9">
        <v>306</v>
      </c>
      <c r="BA18" s="9">
        <v>485971</v>
      </c>
      <c r="BB18" s="11">
        <v>46287</v>
      </c>
      <c r="BC18" s="9">
        <v>1680</v>
      </c>
    </row>
    <row r="19" spans="1:56" x14ac:dyDescent="0.25">
      <c r="A19" s="9" t="s">
        <v>2556</v>
      </c>
      <c r="B19" s="9">
        <v>1949</v>
      </c>
      <c r="C19" s="9" t="s">
        <v>2557</v>
      </c>
      <c r="D19" s="9">
        <v>1974</v>
      </c>
      <c r="E19" s="9">
        <v>2026</v>
      </c>
      <c r="F19" s="9" t="s">
        <v>2009</v>
      </c>
      <c r="G19" s="9">
        <v>62052000</v>
      </c>
      <c r="H19" s="9">
        <v>2016</v>
      </c>
      <c r="I19" s="9">
        <v>1</v>
      </c>
      <c r="J19" s="9" t="s">
        <v>2558</v>
      </c>
      <c r="K19" s="9">
        <v>0</v>
      </c>
      <c r="L19" s="10">
        <v>8532</v>
      </c>
      <c r="M19" s="10">
        <v>8532</v>
      </c>
      <c r="N19" s="9">
        <v>0</v>
      </c>
      <c r="O19" s="9">
        <v>0</v>
      </c>
      <c r="P19" s="9">
        <v>0</v>
      </c>
      <c r="R19" s="10">
        <v>8532</v>
      </c>
      <c r="U19" s="9">
        <v>1</v>
      </c>
      <c r="W19" s="9">
        <v>260326210686920</v>
      </c>
      <c r="X19" s="9" t="s">
        <v>2559</v>
      </c>
      <c r="Y19" s="9" t="s">
        <v>2560</v>
      </c>
      <c r="Z19" s="9" t="s">
        <v>2561</v>
      </c>
      <c r="AA19" s="9" t="s">
        <v>2562</v>
      </c>
      <c r="AF19" s="9">
        <v>10</v>
      </c>
      <c r="AG19" s="9" t="s">
        <v>2563</v>
      </c>
      <c r="AH19" s="9">
        <v>2160</v>
      </c>
      <c r="AP19" s="11">
        <v>46287</v>
      </c>
      <c r="AQ19" s="9" t="s">
        <v>2564</v>
      </c>
      <c r="AR19" s="9">
        <v>4</v>
      </c>
      <c r="AS19" s="9" t="s">
        <v>2565</v>
      </c>
      <c r="AU19" s="9" t="s">
        <v>2566</v>
      </c>
      <c r="AV19" s="9" t="s">
        <v>183</v>
      </c>
      <c r="AX19" s="9">
        <v>2610670</v>
      </c>
      <c r="AZ19" s="9">
        <v>306</v>
      </c>
      <c r="BA19" s="9">
        <v>485966</v>
      </c>
      <c r="BB19" s="11">
        <v>46287</v>
      </c>
      <c r="BC19" s="9">
        <v>1680</v>
      </c>
    </row>
    <row r="20" spans="1:56" x14ac:dyDescent="0.25">
      <c r="A20" s="9" t="s">
        <v>2556</v>
      </c>
      <c r="B20" s="9">
        <v>1949</v>
      </c>
      <c r="C20" s="9" t="s">
        <v>2557</v>
      </c>
      <c r="D20" s="9">
        <v>1975</v>
      </c>
      <c r="E20" s="9">
        <v>2026</v>
      </c>
      <c r="F20" s="9" t="s">
        <v>2012</v>
      </c>
      <c r="G20" s="9">
        <v>62052000</v>
      </c>
      <c r="H20" s="9">
        <v>2016</v>
      </c>
      <c r="I20" s="9">
        <v>1</v>
      </c>
      <c r="J20" s="9" t="s">
        <v>2558</v>
      </c>
      <c r="K20" s="9">
        <v>0</v>
      </c>
      <c r="L20" s="10">
        <v>21600</v>
      </c>
      <c r="M20" s="10">
        <v>21600</v>
      </c>
      <c r="N20" s="9">
        <v>0</v>
      </c>
      <c r="O20" s="9">
        <v>0</v>
      </c>
      <c r="P20" s="9">
        <v>0</v>
      </c>
      <c r="R20" s="10">
        <v>21600</v>
      </c>
      <c r="U20" s="9">
        <v>1</v>
      </c>
      <c r="W20" s="9">
        <v>260326210686920</v>
      </c>
      <c r="X20" s="9" t="s">
        <v>2559</v>
      </c>
      <c r="Y20" s="9" t="s">
        <v>2560</v>
      </c>
      <c r="Z20" s="9" t="s">
        <v>2561</v>
      </c>
      <c r="AA20" s="9" t="s">
        <v>2562</v>
      </c>
      <c r="AF20" s="9">
        <v>10</v>
      </c>
      <c r="AG20" s="9" t="s">
        <v>2563</v>
      </c>
      <c r="AH20" s="9">
        <v>4500</v>
      </c>
      <c r="AP20" s="11">
        <v>46287</v>
      </c>
      <c r="AQ20" s="9" t="s">
        <v>2564</v>
      </c>
      <c r="AR20" s="9">
        <v>4</v>
      </c>
      <c r="AS20" s="9" t="s">
        <v>2565</v>
      </c>
      <c r="AU20" s="9" t="s">
        <v>2566</v>
      </c>
      <c r="AV20" s="9" t="s">
        <v>183</v>
      </c>
      <c r="AX20" s="9">
        <v>2610671</v>
      </c>
      <c r="AZ20" s="9">
        <v>306</v>
      </c>
      <c r="BA20" s="9">
        <v>485969</v>
      </c>
      <c r="BB20" s="11">
        <v>46287</v>
      </c>
      <c r="BC20" s="9">
        <v>1680</v>
      </c>
    </row>
    <row r="21" spans="1:56" x14ac:dyDescent="0.25">
      <c r="A21" s="9" t="s">
        <v>2556</v>
      </c>
      <c r="B21" s="9">
        <v>1949</v>
      </c>
      <c r="C21" s="9" t="s">
        <v>2557</v>
      </c>
      <c r="D21" s="9">
        <v>1976</v>
      </c>
      <c r="E21" s="9">
        <v>2026</v>
      </c>
      <c r="F21" s="9" t="s">
        <v>2015</v>
      </c>
      <c r="G21" s="9">
        <v>62052000</v>
      </c>
      <c r="H21" s="9">
        <v>2016</v>
      </c>
      <c r="I21" s="9">
        <v>1</v>
      </c>
      <c r="J21" s="9" t="s">
        <v>2558</v>
      </c>
      <c r="K21" s="9">
        <v>0</v>
      </c>
      <c r="L21" s="10">
        <v>7809.6</v>
      </c>
      <c r="M21" s="10">
        <v>7809.6</v>
      </c>
      <c r="N21" s="9">
        <v>0</v>
      </c>
      <c r="O21" s="9">
        <v>0</v>
      </c>
      <c r="P21" s="9">
        <v>0</v>
      </c>
      <c r="R21" s="10">
        <v>7809.6</v>
      </c>
      <c r="U21" s="9">
        <v>1</v>
      </c>
      <c r="W21" s="9">
        <v>260326210686920</v>
      </c>
      <c r="X21" s="9" t="s">
        <v>2559</v>
      </c>
      <c r="Y21" s="9" t="s">
        <v>2560</v>
      </c>
      <c r="Z21" s="9" t="s">
        <v>2561</v>
      </c>
      <c r="AA21" s="9" t="s">
        <v>2562</v>
      </c>
      <c r="AF21" s="9">
        <v>10</v>
      </c>
      <c r="AG21" s="9" t="s">
        <v>2563</v>
      </c>
      <c r="AH21" s="9">
        <v>1627</v>
      </c>
      <c r="AP21" s="11">
        <v>46287</v>
      </c>
      <c r="AQ21" s="9" t="s">
        <v>2564</v>
      </c>
      <c r="AR21" s="9">
        <v>4</v>
      </c>
      <c r="AS21" s="9" t="s">
        <v>2565</v>
      </c>
      <c r="AU21" s="9" t="s">
        <v>2566</v>
      </c>
      <c r="AV21" s="9" t="s">
        <v>183</v>
      </c>
      <c r="AX21" s="9">
        <v>2610672</v>
      </c>
      <c r="AZ21" s="9">
        <v>306</v>
      </c>
      <c r="BA21" s="9">
        <v>485974</v>
      </c>
      <c r="BB21" s="11">
        <v>46287</v>
      </c>
      <c r="BC21" s="9">
        <v>1680</v>
      </c>
    </row>
    <row r="22" spans="1:56" x14ac:dyDescent="0.25">
      <c r="A22" s="9" t="s">
        <v>2556</v>
      </c>
      <c r="B22" s="9">
        <v>1949</v>
      </c>
      <c r="C22" s="9" t="s">
        <v>2557</v>
      </c>
      <c r="D22" s="9">
        <v>1771</v>
      </c>
      <c r="E22" s="9">
        <v>2026</v>
      </c>
      <c r="F22" s="9" t="s">
        <v>2601</v>
      </c>
      <c r="G22" s="9">
        <v>62052000</v>
      </c>
      <c r="H22" s="9">
        <v>2016</v>
      </c>
      <c r="I22" s="9">
        <v>1</v>
      </c>
      <c r="J22" s="9" t="s">
        <v>2558</v>
      </c>
      <c r="L22" s="10">
        <v>18715</v>
      </c>
      <c r="M22" s="10">
        <v>18715</v>
      </c>
      <c r="N22" s="9">
        <v>0</v>
      </c>
      <c r="O22" s="9">
        <v>0</v>
      </c>
      <c r="P22" s="9">
        <v>0</v>
      </c>
      <c r="R22" s="10">
        <v>18715</v>
      </c>
      <c r="S22" s="11">
        <v>46285</v>
      </c>
      <c r="T22" s="10">
        <v>18352.57</v>
      </c>
      <c r="U22" s="9">
        <v>1</v>
      </c>
      <c r="V22" s="11">
        <v>46255</v>
      </c>
      <c r="W22" s="9">
        <v>260326210686920</v>
      </c>
      <c r="X22" s="9" t="s">
        <v>2559</v>
      </c>
      <c r="Y22" s="9" t="s">
        <v>2560</v>
      </c>
      <c r="Z22" s="9" t="s">
        <v>2568</v>
      </c>
      <c r="AA22" s="9" t="s">
        <v>2569</v>
      </c>
      <c r="AB22" s="9" t="s">
        <v>2570</v>
      </c>
      <c r="AC22" s="11">
        <v>46284</v>
      </c>
      <c r="AD22" s="9">
        <v>1949</v>
      </c>
      <c r="AE22" s="9" t="s">
        <v>2570</v>
      </c>
      <c r="AF22" s="9">
        <v>10</v>
      </c>
      <c r="AG22" s="9" t="s">
        <v>2563</v>
      </c>
      <c r="AH22" s="9">
        <v>3940</v>
      </c>
      <c r="AJ22" s="9" t="s">
        <v>2602</v>
      </c>
      <c r="AK22" s="11">
        <v>46285</v>
      </c>
      <c r="AL22" s="9">
        <v>2609276</v>
      </c>
      <c r="AM22" s="11">
        <v>46247</v>
      </c>
      <c r="AO22" s="9" t="s">
        <v>2603</v>
      </c>
      <c r="AP22" s="11">
        <v>46248</v>
      </c>
      <c r="AQ22" s="9" t="s">
        <v>2564</v>
      </c>
      <c r="AR22" s="9">
        <v>4</v>
      </c>
      <c r="AT22" s="9">
        <v>1</v>
      </c>
      <c r="AU22" s="9" t="s">
        <v>2566</v>
      </c>
      <c r="AW22" s="9" t="s">
        <v>2604</v>
      </c>
      <c r="AY22" s="11">
        <v>46255</v>
      </c>
      <c r="AZ22" s="9">
        <v>306</v>
      </c>
      <c r="BA22" s="9">
        <v>310958</v>
      </c>
      <c r="BB22" s="11">
        <v>46248</v>
      </c>
      <c r="BC22" s="9">
        <v>1680</v>
      </c>
    </row>
    <row r="23" spans="1:56" x14ac:dyDescent="0.25">
      <c r="A23" s="9" t="s">
        <v>2556</v>
      </c>
      <c r="B23" s="9">
        <v>1949</v>
      </c>
      <c r="C23" s="9" t="s">
        <v>2557</v>
      </c>
      <c r="D23" s="9">
        <v>1770</v>
      </c>
      <c r="E23" s="9">
        <v>2026</v>
      </c>
      <c r="F23" s="9" t="s">
        <v>2605</v>
      </c>
      <c r="G23" s="9">
        <v>62063000</v>
      </c>
      <c r="H23" s="9">
        <v>1232</v>
      </c>
      <c r="I23" s="9">
        <v>1</v>
      </c>
      <c r="J23" s="9" t="s">
        <v>2558</v>
      </c>
      <c r="K23" s="10">
        <v>25973.3</v>
      </c>
      <c r="L23" s="10">
        <v>70512</v>
      </c>
      <c r="M23" s="10">
        <v>70512</v>
      </c>
      <c r="N23" s="9">
        <v>0</v>
      </c>
      <c r="O23" s="9">
        <v>0</v>
      </c>
      <c r="P23" s="9">
        <v>0</v>
      </c>
      <c r="Q23" s="9">
        <v>25973.3</v>
      </c>
      <c r="R23" s="10">
        <v>25973.3</v>
      </c>
      <c r="S23" s="11">
        <v>46258</v>
      </c>
      <c r="T23" s="10">
        <v>25973.3</v>
      </c>
      <c r="U23" s="9">
        <v>1</v>
      </c>
      <c r="V23" s="11">
        <v>46253</v>
      </c>
      <c r="W23" s="9">
        <v>260326210686920</v>
      </c>
      <c r="X23" s="9" t="s">
        <v>2559</v>
      </c>
      <c r="Y23" s="9" t="s">
        <v>2560</v>
      </c>
      <c r="Z23" s="9" t="s">
        <v>2584</v>
      </c>
      <c r="AA23" s="9" t="s">
        <v>2585</v>
      </c>
      <c r="AB23" s="9" t="s">
        <v>2570</v>
      </c>
      <c r="AC23" s="11">
        <v>46256</v>
      </c>
      <c r="AD23" s="9">
        <v>1949</v>
      </c>
      <c r="AE23" s="9" t="s">
        <v>2570</v>
      </c>
      <c r="AF23" s="9">
        <v>10</v>
      </c>
      <c r="AG23" s="9" t="s">
        <v>2563</v>
      </c>
      <c r="AH23" s="9">
        <v>10865</v>
      </c>
      <c r="AJ23" s="9" t="s">
        <v>2606</v>
      </c>
      <c r="AK23" s="11">
        <v>46257</v>
      </c>
      <c r="AL23" s="9">
        <v>2609261</v>
      </c>
      <c r="AM23" s="11">
        <v>46247</v>
      </c>
      <c r="AO23" s="9" t="s">
        <v>2577</v>
      </c>
      <c r="AP23" s="11">
        <v>46247</v>
      </c>
      <c r="AQ23" s="9" t="s">
        <v>2564</v>
      </c>
      <c r="AR23" s="9">
        <v>4</v>
      </c>
      <c r="AT23" s="9">
        <v>1</v>
      </c>
      <c r="AU23" s="9" t="s">
        <v>2566</v>
      </c>
      <c r="AW23" s="9" t="s">
        <v>2607</v>
      </c>
      <c r="AY23" s="11">
        <v>46253</v>
      </c>
      <c r="AZ23" s="9">
        <v>306</v>
      </c>
      <c r="BA23" s="9">
        <v>318443</v>
      </c>
      <c r="BB23" s="11">
        <v>46250</v>
      </c>
      <c r="BC23" s="9">
        <v>1680</v>
      </c>
      <c r="BD23" s="9">
        <v>1</v>
      </c>
    </row>
    <row r="24" spans="1:56" x14ac:dyDescent="0.25">
      <c r="A24" s="9" t="s">
        <v>2556</v>
      </c>
      <c r="B24" s="9">
        <v>1949</v>
      </c>
      <c r="C24" s="9" t="s">
        <v>2557</v>
      </c>
      <c r="D24" s="9">
        <v>1813</v>
      </c>
      <c r="E24" s="9">
        <v>2026</v>
      </c>
      <c r="F24" s="9" t="s">
        <v>2608</v>
      </c>
      <c r="G24" s="9">
        <v>62063000</v>
      </c>
      <c r="H24" s="9">
        <v>2016</v>
      </c>
      <c r="I24" s="9">
        <v>1</v>
      </c>
      <c r="J24" s="9" t="s">
        <v>2558</v>
      </c>
      <c r="L24" s="10">
        <v>2126.6999999999998</v>
      </c>
      <c r="M24" s="10">
        <v>2126.6999999999998</v>
      </c>
      <c r="N24" s="9">
        <v>272.60000000000002</v>
      </c>
      <c r="O24" s="9">
        <v>0</v>
      </c>
      <c r="R24" s="10">
        <v>2126.6999999999998</v>
      </c>
      <c r="U24" s="9">
        <v>8</v>
      </c>
      <c r="V24" s="11">
        <v>46260</v>
      </c>
      <c r="W24" s="9">
        <v>260326210686920</v>
      </c>
      <c r="X24" s="9" t="s">
        <v>2559</v>
      </c>
      <c r="Y24" s="9" t="s">
        <v>2560</v>
      </c>
      <c r="Z24" s="9" t="s">
        <v>2568</v>
      </c>
      <c r="AA24" s="9" t="s">
        <v>2569</v>
      </c>
      <c r="AB24" s="9" t="s">
        <v>2570</v>
      </c>
      <c r="AC24" s="11">
        <v>46271</v>
      </c>
      <c r="AD24" s="9">
        <v>1949</v>
      </c>
      <c r="AF24" s="9">
        <v>10</v>
      </c>
      <c r="AG24" s="9" t="s">
        <v>2563</v>
      </c>
      <c r="AH24" s="9">
        <v>834</v>
      </c>
      <c r="AL24" s="9">
        <v>2609453</v>
      </c>
      <c r="AM24" s="11">
        <v>46252</v>
      </c>
      <c r="AO24" s="9" t="s">
        <v>2577</v>
      </c>
      <c r="AP24" s="11">
        <v>46253</v>
      </c>
      <c r="AQ24" s="9" t="s">
        <v>2564</v>
      </c>
      <c r="AR24" s="9">
        <v>9</v>
      </c>
      <c r="AS24" s="9" t="s">
        <v>2572</v>
      </c>
      <c r="AT24" s="9">
        <v>7</v>
      </c>
      <c r="AU24" s="9" t="s">
        <v>2566</v>
      </c>
      <c r="AW24" s="9" t="s">
        <v>2609</v>
      </c>
      <c r="AY24" s="11">
        <v>46260</v>
      </c>
      <c r="AZ24" s="9">
        <v>101</v>
      </c>
      <c r="BA24" s="9">
        <v>871789</v>
      </c>
      <c r="BB24" s="11">
        <v>46259</v>
      </c>
      <c r="BC24" s="9">
        <v>1680</v>
      </c>
    </row>
    <row r="25" spans="1:56" x14ac:dyDescent="0.25">
      <c r="A25" s="9" t="s">
        <v>2556</v>
      </c>
      <c r="B25" s="9">
        <v>1949</v>
      </c>
      <c r="C25" s="9" t="s">
        <v>2557</v>
      </c>
      <c r="D25" s="9">
        <v>1815</v>
      </c>
      <c r="E25" s="9">
        <v>2026</v>
      </c>
      <c r="F25" s="9" t="s">
        <v>2610</v>
      </c>
      <c r="G25" s="9">
        <v>62046200</v>
      </c>
      <c r="H25" s="9">
        <v>2016</v>
      </c>
      <c r="I25" s="9">
        <v>1</v>
      </c>
      <c r="J25" s="9" t="s">
        <v>2558</v>
      </c>
      <c r="L25" s="10">
        <v>6200.04</v>
      </c>
      <c r="M25" s="10">
        <v>6200.04</v>
      </c>
      <c r="N25" s="9">
        <v>2798.85</v>
      </c>
      <c r="O25" s="9">
        <v>0</v>
      </c>
      <c r="R25" s="10">
        <v>6200.04</v>
      </c>
      <c r="U25" s="9">
        <v>8</v>
      </c>
      <c r="V25" s="11">
        <v>46260</v>
      </c>
      <c r="W25" s="9">
        <v>260326210686920</v>
      </c>
      <c r="X25" s="9" t="s">
        <v>2559</v>
      </c>
      <c r="Y25" s="9" t="s">
        <v>2560</v>
      </c>
      <c r="Z25" s="9" t="s">
        <v>2568</v>
      </c>
      <c r="AA25" s="9" t="s">
        <v>2569</v>
      </c>
      <c r="AB25" s="9" t="s">
        <v>2570</v>
      </c>
      <c r="AC25" s="11">
        <v>46271</v>
      </c>
      <c r="AD25" s="9">
        <v>1949</v>
      </c>
      <c r="AF25" s="9">
        <v>10</v>
      </c>
      <c r="AG25" s="9" t="s">
        <v>2563</v>
      </c>
      <c r="AH25" s="9">
        <v>1452</v>
      </c>
      <c r="AL25" s="9">
        <v>2609455</v>
      </c>
      <c r="AM25" s="11">
        <v>46252</v>
      </c>
      <c r="AO25" s="9" t="s">
        <v>2571</v>
      </c>
      <c r="AP25" s="11">
        <v>46253</v>
      </c>
      <c r="AQ25" s="9" t="s">
        <v>2564</v>
      </c>
      <c r="AR25" s="9">
        <v>9</v>
      </c>
      <c r="AS25" s="9" t="s">
        <v>2572</v>
      </c>
      <c r="AT25" s="9">
        <v>7</v>
      </c>
      <c r="AU25" s="9" t="s">
        <v>2566</v>
      </c>
      <c r="AW25" s="9" t="s">
        <v>2611</v>
      </c>
      <c r="AY25" s="11">
        <v>46259</v>
      </c>
      <c r="AZ25" s="9">
        <v>101</v>
      </c>
      <c r="BA25" s="9">
        <v>871945</v>
      </c>
      <c r="BB25" s="11">
        <v>46259</v>
      </c>
      <c r="BC25" s="9">
        <v>1680</v>
      </c>
    </row>
    <row r="26" spans="1:56" x14ac:dyDescent="0.25">
      <c r="A26" s="9" t="s">
        <v>2556</v>
      </c>
      <c r="B26" s="9">
        <v>1949</v>
      </c>
      <c r="C26" s="9" t="s">
        <v>2557</v>
      </c>
      <c r="D26" s="9">
        <v>1853</v>
      </c>
      <c r="E26" s="9">
        <v>2026</v>
      </c>
      <c r="F26" s="9" t="s">
        <v>2612</v>
      </c>
      <c r="G26" s="9">
        <v>62063000</v>
      </c>
      <c r="H26" s="9">
        <v>1232</v>
      </c>
      <c r="I26" s="9">
        <v>1</v>
      </c>
      <c r="J26" s="9" t="s">
        <v>2558</v>
      </c>
      <c r="K26" s="10">
        <v>6629.3</v>
      </c>
      <c r="L26" s="10">
        <v>18775</v>
      </c>
      <c r="M26" s="10">
        <v>18775</v>
      </c>
      <c r="N26" s="9">
        <v>0</v>
      </c>
      <c r="O26" s="9">
        <v>0</v>
      </c>
      <c r="P26" s="9">
        <v>0</v>
      </c>
      <c r="Q26" s="9">
        <v>6629.3</v>
      </c>
      <c r="R26" s="10">
        <v>6629.3</v>
      </c>
      <c r="S26" s="11">
        <v>46279</v>
      </c>
      <c r="T26" s="10">
        <v>6609.3</v>
      </c>
      <c r="U26" s="9">
        <v>1</v>
      </c>
      <c r="V26" s="11">
        <v>46265</v>
      </c>
      <c r="W26" s="9">
        <v>260326210686920</v>
      </c>
      <c r="X26" s="9" t="s">
        <v>2559</v>
      </c>
      <c r="Y26" s="9" t="s">
        <v>2560</v>
      </c>
      <c r="Z26" s="9" t="s">
        <v>2584</v>
      </c>
      <c r="AA26" s="9" t="s">
        <v>2585</v>
      </c>
      <c r="AB26" s="9" t="s">
        <v>2570</v>
      </c>
      <c r="AC26" s="11">
        <v>46275</v>
      </c>
      <c r="AD26" s="9">
        <v>1949</v>
      </c>
      <c r="AE26" s="9" t="s">
        <v>2570</v>
      </c>
      <c r="AF26" s="9">
        <v>10</v>
      </c>
      <c r="AG26" s="9" t="s">
        <v>2563</v>
      </c>
      <c r="AH26" s="9">
        <v>2968</v>
      </c>
      <c r="AJ26" s="9" t="s">
        <v>2613</v>
      </c>
      <c r="AK26" s="11">
        <v>46278</v>
      </c>
      <c r="AL26" s="9">
        <v>2609767</v>
      </c>
      <c r="AM26" s="11">
        <v>46261</v>
      </c>
      <c r="AO26" s="9" t="s">
        <v>2614</v>
      </c>
      <c r="AP26" s="11">
        <v>46261</v>
      </c>
      <c r="AQ26" s="9" t="s">
        <v>2564</v>
      </c>
      <c r="AR26" s="9">
        <v>4</v>
      </c>
      <c r="AT26" s="9">
        <v>1</v>
      </c>
      <c r="AU26" s="9" t="s">
        <v>2566</v>
      </c>
      <c r="AW26" s="9" t="s">
        <v>2615</v>
      </c>
      <c r="AY26" s="11">
        <v>46265</v>
      </c>
      <c r="AZ26" s="9">
        <v>306</v>
      </c>
      <c r="BA26" s="9">
        <v>377118</v>
      </c>
      <c r="BB26" s="11">
        <v>46262</v>
      </c>
      <c r="BC26" s="9">
        <v>1680</v>
      </c>
    </row>
    <row r="27" spans="1:56" x14ac:dyDescent="0.25">
      <c r="A27" s="9" t="s">
        <v>2556</v>
      </c>
      <c r="B27" s="9">
        <v>1949</v>
      </c>
      <c r="C27" s="9" t="s">
        <v>2557</v>
      </c>
      <c r="D27" s="9">
        <v>1841</v>
      </c>
      <c r="E27" s="9">
        <v>2026</v>
      </c>
      <c r="F27" s="9" t="s">
        <v>2616</v>
      </c>
      <c r="G27" s="9">
        <v>61091000</v>
      </c>
      <c r="H27" s="9">
        <v>2016</v>
      </c>
      <c r="I27" s="9">
        <v>1</v>
      </c>
      <c r="J27" s="9" t="s">
        <v>2558</v>
      </c>
      <c r="L27" s="10">
        <v>6882</v>
      </c>
      <c r="M27" s="10">
        <v>6882</v>
      </c>
      <c r="N27" s="9">
        <v>2858.44</v>
      </c>
      <c r="O27" s="9">
        <v>0</v>
      </c>
      <c r="R27" s="10">
        <v>6882</v>
      </c>
      <c r="U27" s="9">
        <v>8</v>
      </c>
      <c r="V27" s="11">
        <v>46260</v>
      </c>
      <c r="W27" s="9">
        <v>260326210686920</v>
      </c>
      <c r="X27" s="9" t="s">
        <v>2559</v>
      </c>
      <c r="Y27" s="9" t="s">
        <v>2560</v>
      </c>
      <c r="Z27" s="9" t="s">
        <v>2568</v>
      </c>
      <c r="AA27" s="9" t="s">
        <v>2569</v>
      </c>
      <c r="AB27" s="9" t="s">
        <v>2570</v>
      </c>
      <c r="AC27" s="11">
        <v>46271</v>
      </c>
      <c r="AD27" s="9">
        <v>1949</v>
      </c>
      <c r="AF27" s="9">
        <v>10</v>
      </c>
      <c r="AG27" s="9" t="s">
        <v>2563</v>
      </c>
      <c r="AH27" s="9">
        <v>1776</v>
      </c>
      <c r="AL27" s="9">
        <v>2609642</v>
      </c>
      <c r="AM27" s="11">
        <v>46256</v>
      </c>
      <c r="AO27" s="9" t="s">
        <v>2571</v>
      </c>
      <c r="AP27" s="11">
        <v>46258</v>
      </c>
      <c r="AQ27" s="9" t="s">
        <v>2564</v>
      </c>
      <c r="AR27" s="9">
        <v>9</v>
      </c>
      <c r="AS27" s="9" t="s">
        <v>2572</v>
      </c>
      <c r="AT27" s="9">
        <v>7</v>
      </c>
      <c r="AU27" s="9" t="s">
        <v>2566</v>
      </c>
      <c r="AW27" s="9" t="s">
        <v>2617</v>
      </c>
      <c r="AY27" s="11">
        <v>46260</v>
      </c>
      <c r="AZ27" s="9">
        <v>101</v>
      </c>
      <c r="BA27" s="9">
        <v>872004</v>
      </c>
      <c r="BB27" s="11">
        <v>46259</v>
      </c>
      <c r="BC27" s="9">
        <v>1680</v>
      </c>
    </row>
    <row r="28" spans="1:56" x14ac:dyDescent="0.25">
      <c r="A28" s="9" t="s">
        <v>2556</v>
      </c>
      <c r="B28" s="9">
        <v>1949</v>
      </c>
      <c r="C28" s="9" t="s">
        <v>2557</v>
      </c>
      <c r="D28" s="9">
        <v>1820</v>
      </c>
      <c r="E28" s="9">
        <v>2026</v>
      </c>
      <c r="F28" s="9" t="s">
        <v>2618</v>
      </c>
      <c r="G28" s="9">
        <v>62052000</v>
      </c>
      <c r="H28" s="9">
        <v>1232</v>
      </c>
      <c r="I28" s="9">
        <v>1</v>
      </c>
      <c r="J28" s="9" t="s">
        <v>2558</v>
      </c>
      <c r="K28" s="10">
        <v>14716.1</v>
      </c>
      <c r="L28" s="10">
        <v>36900</v>
      </c>
      <c r="M28" s="10">
        <v>36900</v>
      </c>
      <c r="N28" s="9">
        <v>0</v>
      </c>
      <c r="O28" s="9">
        <v>0</v>
      </c>
      <c r="P28" s="9">
        <v>0</v>
      </c>
      <c r="Q28" s="9">
        <v>14716.1</v>
      </c>
      <c r="R28" s="10">
        <v>14716.1</v>
      </c>
      <c r="S28" s="11">
        <v>46265</v>
      </c>
      <c r="T28" s="10">
        <v>14696.1</v>
      </c>
      <c r="U28" s="9">
        <v>1</v>
      </c>
      <c r="V28" s="11">
        <v>46256</v>
      </c>
      <c r="W28" s="9">
        <v>260326210686920</v>
      </c>
      <c r="X28" s="9" t="s">
        <v>2559</v>
      </c>
      <c r="Y28" s="9" t="s">
        <v>2560</v>
      </c>
      <c r="Z28" s="9" t="s">
        <v>2584</v>
      </c>
      <c r="AA28" s="9" t="s">
        <v>2585</v>
      </c>
      <c r="AB28" s="9" t="s">
        <v>2570</v>
      </c>
      <c r="AC28" s="11">
        <v>46264</v>
      </c>
      <c r="AD28" s="9">
        <v>1949</v>
      </c>
      <c r="AE28" s="9" t="s">
        <v>2570</v>
      </c>
      <c r="AF28" s="9">
        <v>10</v>
      </c>
      <c r="AG28" s="9" t="s">
        <v>2563</v>
      </c>
      <c r="AH28" s="9">
        <v>6281</v>
      </c>
      <c r="AJ28" s="9" t="s">
        <v>2619</v>
      </c>
      <c r="AK28" s="11">
        <v>46264</v>
      </c>
      <c r="AL28" s="9">
        <v>2609439</v>
      </c>
      <c r="AM28" s="11">
        <v>46252</v>
      </c>
      <c r="AP28" s="11">
        <v>46254</v>
      </c>
      <c r="AQ28" s="9" t="s">
        <v>2564</v>
      </c>
      <c r="AR28" s="9">
        <v>4</v>
      </c>
      <c r="AT28" s="9">
        <v>1</v>
      </c>
      <c r="AU28" s="9" t="s">
        <v>2566</v>
      </c>
      <c r="AW28" s="9" t="s">
        <v>2620</v>
      </c>
      <c r="AY28" s="11">
        <v>46256</v>
      </c>
      <c r="AZ28" s="9">
        <v>306</v>
      </c>
      <c r="BA28" s="9">
        <v>336990</v>
      </c>
      <c r="BB28" s="11">
        <v>46254</v>
      </c>
      <c r="BC28" s="9">
        <v>1680</v>
      </c>
      <c r="BD28" s="9">
        <v>1</v>
      </c>
    </row>
    <row r="29" spans="1:56" x14ac:dyDescent="0.25">
      <c r="A29" s="9" t="s">
        <v>2556</v>
      </c>
      <c r="B29" s="9">
        <v>1949</v>
      </c>
      <c r="C29" s="9" t="s">
        <v>2557</v>
      </c>
      <c r="D29" s="9">
        <v>1907</v>
      </c>
      <c r="E29" s="9">
        <v>2026</v>
      </c>
      <c r="F29" s="9" t="s">
        <v>839</v>
      </c>
      <c r="G29" s="9">
        <v>62063000</v>
      </c>
      <c r="H29" s="9">
        <v>2016</v>
      </c>
      <c r="I29" s="9">
        <v>1</v>
      </c>
      <c r="J29" s="9" t="s">
        <v>2558</v>
      </c>
      <c r="K29" s="9">
        <v>0</v>
      </c>
      <c r="L29" s="10">
        <v>32616</v>
      </c>
      <c r="M29" s="10">
        <v>32616</v>
      </c>
      <c r="N29" s="9">
        <v>0</v>
      </c>
      <c r="O29" s="9">
        <v>0</v>
      </c>
      <c r="P29" s="9">
        <v>0</v>
      </c>
      <c r="R29" s="10">
        <v>32616</v>
      </c>
      <c r="U29" s="9">
        <v>1</v>
      </c>
      <c r="W29" s="9">
        <v>260326210686920</v>
      </c>
      <c r="X29" s="9" t="s">
        <v>2559</v>
      </c>
      <c r="Y29" s="9" t="s">
        <v>2560</v>
      </c>
      <c r="Z29" s="9" t="s">
        <v>2621</v>
      </c>
      <c r="AA29" s="9" t="s">
        <v>2569</v>
      </c>
      <c r="AF29" s="9">
        <v>10</v>
      </c>
      <c r="AG29" s="9" t="s">
        <v>2563</v>
      </c>
      <c r="AH29" s="9">
        <v>6795</v>
      </c>
      <c r="AP29" s="11">
        <v>46275</v>
      </c>
      <c r="AQ29" s="9" t="s">
        <v>2564</v>
      </c>
      <c r="AR29" s="9">
        <v>4</v>
      </c>
      <c r="AS29" s="9" t="s">
        <v>2565</v>
      </c>
      <c r="AU29" s="9" t="s">
        <v>2566</v>
      </c>
      <c r="AV29" s="9" t="s">
        <v>183</v>
      </c>
      <c r="AX29" s="9">
        <v>2610199</v>
      </c>
      <c r="AZ29" s="9">
        <v>306</v>
      </c>
      <c r="BA29" s="9">
        <v>432099</v>
      </c>
      <c r="BB29" s="11">
        <v>46275</v>
      </c>
      <c r="BC29" s="9">
        <v>1680</v>
      </c>
    </row>
    <row r="30" spans="1:56" x14ac:dyDescent="0.25">
      <c r="A30" s="9" t="s">
        <v>2556</v>
      </c>
      <c r="B30" s="9">
        <v>1949</v>
      </c>
      <c r="C30" s="9" t="s">
        <v>2557</v>
      </c>
      <c r="D30" s="9">
        <v>1814</v>
      </c>
      <c r="E30" s="9">
        <v>2026</v>
      </c>
      <c r="F30" s="9" t="s">
        <v>2622</v>
      </c>
      <c r="G30" s="9">
        <v>62063000</v>
      </c>
      <c r="H30" s="9">
        <v>2016</v>
      </c>
      <c r="I30" s="9">
        <v>1</v>
      </c>
      <c r="J30" s="9" t="s">
        <v>2558</v>
      </c>
      <c r="L30" s="9">
        <v>912.9</v>
      </c>
      <c r="M30" s="9">
        <v>912.9</v>
      </c>
      <c r="N30" s="9">
        <v>122.2</v>
      </c>
      <c r="O30" s="9">
        <v>0</v>
      </c>
      <c r="R30" s="9">
        <v>912.9</v>
      </c>
      <c r="U30" s="9">
        <v>8</v>
      </c>
      <c r="V30" s="11">
        <v>46260</v>
      </c>
      <c r="W30" s="9">
        <v>260326210686920</v>
      </c>
      <c r="X30" s="9" t="s">
        <v>2559</v>
      </c>
      <c r="Y30" s="9" t="s">
        <v>2560</v>
      </c>
      <c r="Z30" s="9" t="s">
        <v>2568</v>
      </c>
      <c r="AA30" s="9" t="s">
        <v>2569</v>
      </c>
      <c r="AB30" s="9" t="s">
        <v>2570</v>
      </c>
      <c r="AC30" s="11">
        <v>46271</v>
      </c>
      <c r="AD30" s="9">
        <v>1949</v>
      </c>
      <c r="AF30" s="9">
        <v>10</v>
      </c>
      <c r="AG30" s="9" t="s">
        <v>2563</v>
      </c>
      <c r="AH30" s="9">
        <v>358</v>
      </c>
      <c r="AL30" s="9">
        <v>2609454</v>
      </c>
      <c r="AM30" s="11">
        <v>46252</v>
      </c>
      <c r="AO30" s="9" t="s">
        <v>2571</v>
      </c>
      <c r="AP30" s="11">
        <v>46253</v>
      </c>
      <c r="AQ30" s="9" t="s">
        <v>2564</v>
      </c>
      <c r="AR30" s="9">
        <v>9</v>
      </c>
      <c r="AS30" s="9" t="s">
        <v>2572</v>
      </c>
      <c r="AT30" s="9">
        <v>7</v>
      </c>
      <c r="AU30" s="9" t="s">
        <v>2566</v>
      </c>
      <c r="AW30" s="9" t="s">
        <v>2623</v>
      </c>
      <c r="AY30" s="11">
        <v>46260</v>
      </c>
      <c r="AZ30" s="9">
        <v>101</v>
      </c>
      <c r="BA30" s="9">
        <v>871775</v>
      </c>
      <c r="BB30" s="11">
        <v>46259</v>
      </c>
      <c r="BC30" s="9">
        <v>1680</v>
      </c>
    </row>
    <row r="31" spans="1:56" x14ac:dyDescent="0.25">
      <c r="A31" s="9" t="s">
        <v>2556</v>
      </c>
      <c r="B31" s="9">
        <v>1949</v>
      </c>
      <c r="C31" s="9" t="s">
        <v>2557</v>
      </c>
      <c r="D31" s="9">
        <v>1823</v>
      </c>
      <c r="E31" s="9">
        <v>2026</v>
      </c>
      <c r="F31" s="9" t="s">
        <v>2624</v>
      </c>
      <c r="G31" s="9">
        <v>62072100</v>
      </c>
      <c r="H31" s="9">
        <v>2016</v>
      </c>
      <c r="I31" s="9">
        <v>1</v>
      </c>
      <c r="J31" s="9" t="s">
        <v>2558</v>
      </c>
      <c r="L31" s="10">
        <v>11338.25</v>
      </c>
      <c r="M31" s="10">
        <v>11338.25</v>
      </c>
      <c r="N31" s="9">
        <v>0</v>
      </c>
      <c r="O31" s="9">
        <v>0</v>
      </c>
      <c r="P31" s="9">
        <v>0</v>
      </c>
      <c r="R31" s="10">
        <v>11338.25</v>
      </c>
      <c r="S31" s="11">
        <v>46287</v>
      </c>
      <c r="T31" s="10">
        <v>11058.37</v>
      </c>
      <c r="U31" s="9">
        <v>1</v>
      </c>
      <c r="V31" s="11">
        <v>46263</v>
      </c>
      <c r="W31" s="9">
        <v>260326210686920</v>
      </c>
      <c r="X31" s="9" t="s">
        <v>2559</v>
      </c>
      <c r="Y31" s="9" t="s">
        <v>2560</v>
      </c>
      <c r="Z31" s="9" t="s">
        <v>2568</v>
      </c>
      <c r="AA31" s="9" t="s">
        <v>2569</v>
      </c>
      <c r="AB31" s="9" t="s">
        <v>2570</v>
      </c>
      <c r="AC31" s="11">
        <v>46272</v>
      </c>
      <c r="AD31" s="9">
        <v>1949</v>
      </c>
      <c r="AE31" s="9" t="s">
        <v>2570</v>
      </c>
      <c r="AF31" s="9">
        <v>10</v>
      </c>
      <c r="AG31" s="9" t="s">
        <v>2563</v>
      </c>
      <c r="AH31" s="9">
        <v>2926</v>
      </c>
      <c r="AJ31" s="9" t="s">
        <v>2625</v>
      </c>
      <c r="AK31" s="11">
        <v>46286</v>
      </c>
      <c r="AL31" s="9">
        <v>2609467</v>
      </c>
      <c r="AM31" s="11">
        <v>46254</v>
      </c>
      <c r="AO31" s="9" t="s">
        <v>2571</v>
      </c>
      <c r="AP31" s="11">
        <v>46255</v>
      </c>
      <c r="AQ31" s="9" t="s">
        <v>2564</v>
      </c>
      <c r="AR31" s="9">
        <v>4</v>
      </c>
      <c r="AS31" s="9" t="s">
        <v>2626</v>
      </c>
      <c r="AT31" s="9">
        <v>1</v>
      </c>
      <c r="AU31" s="9" t="s">
        <v>2566</v>
      </c>
      <c r="AW31" s="9" t="s">
        <v>2627</v>
      </c>
      <c r="AY31" s="11">
        <v>46263</v>
      </c>
      <c r="AZ31" s="9">
        <v>306</v>
      </c>
      <c r="BA31" s="9">
        <v>347894</v>
      </c>
      <c r="BB31" s="11">
        <v>46256</v>
      </c>
      <c r="BC31" s="9">
        <v>1680</v>
      </c>
    </row>
    <row r="32" spans="1:56" x14ac:dyDescent="0.25">
      <c r="A32" s="9" t="s">
        <v>2556</v>
      </c>
      <c r="B32" s="9">
        <v>1949</v>
      </c>
      <c r="C32" s="9" t="s">
        <v>2557</v>
      </c>
      <c r="D32" s="9">
        <v>1842</v>
      </c>
      <c r="E32" s="9">
        <v>2026</v>
      </c>
      <c r="F32" s="9" t="s">
        <v>2628</v>
      </c>
      <c r="G32" s="9">
        <v>62063000</v>
      </c>
      <c r="H32" s="9">
        <v>1232</v>
      </c>
      <c r="I32" s="9">
        <v>1</v>
      </c>
      <c r="J32" s="9" t="s">
        <v>2558</v>
      </c>
      <c r="K32" s="9">
        <v>829.5</v>
      </c>
      <c r="L32" s="10">
        <v>2073.75</v>
      </c>
      <c r="M32" s="10">
        <v>2073.75</v>
      </c>
      <c r="N32" s="9">
        <v>0</v>
      </c>
      <c r="O32" s="9">
        <v>0</v>
      </c>
      <c r="P32" s="9">
        <v>0</v>
      </c>
      <c r="Q32" s="9">
        <v>829.5</v>
      </c>
      <c r="R32" s="9">
        <v>829.5</v>
      </c>
      <c r="S32" s="11">
        <v>46264</v>
      </c>
      <c r="T32" s="9">
        <v>809.5</v>
      </c>
      <c r="U32" s="9">
        <v>8</v>
      </c>
      <c r="V32" s="11">
        <v>46258</v>
      </c>
      <c r="W32" s="9">
        <v>260326210686920</v>
      </c>
      <c r="X32" s="9" t="s">
        <v>2559</v>
      </c>
      <c r="Y32" s="9" t="s">
        <v>2560</v>
      </c>
      <c r="Z32" s="9" t="s">
        <v>2584</v>
      </c>
      <c r="AA32" s="9" t="s">
        <v>2585</v>
      </c>
      <c r="AB32" s="9" t="s">
        <v>2570</v>
      </c>
      <c r="AC32" s="11">
        <v>46259</v>
      </c>
      <c r="AD32" s="9">
        <v>1949</v>
      </c>
      <c r="AE32" s="9" t="s">
        <v>2570</v>
      </c>
      <c r="AF32" s="9">
        <v>10</v>
      </c>
      <c r="AG32" s="9" t="s">
        <v>2563</v>
      </c>
      <c r="AH32" s="9">
        <v>358</v>
      </c>
      <c r="AJ32" s="9" t="s">
        <v>2629</v>
      </c>
      <c r="AK32" s="11">
        <v>46261</v>
      </c>
      <c r="AL32" s="9">
        <v>2609730</v>
      </c>
      <c r="AM32" s="11">
        <v>46257</v>
      </c>
      <c r="AO32" s="9" t="s">
        <v>2577</v>
      </c>
      <c r="AP32" s="11">
        <v>46258</v>
      </c>
      <c r="AQ32" s="9" t="s">
        <v>2564</v>
      </c>
      <c r="AR32" s="9">
        <v>4</v>
      </c>
      <c r="AT32" s="9">
        <v>7</v>
      </c>
      <c r="AU32" s="9" t="s">
        <v>2566</v>
      </c>
      <c r="AW32" s="9" t="s">
        <v>2630</v>
      </c>
      <c r="AY32" s="11">
        <v>46258</v>
      </c>
      <c r="AZ32" s="9">
        <v>101</v>
      </c>
      <c r="BA32" s="9">
        <v>868671</v>
      </c>
      <c r="BB32" s="11">
        <v>46258</v>
      </c>
      <c r="BC32" s="9">
        <v>1680</v>
      </c>
      <c r="BD32" s="9">
        <v>1</v>
      </c>
    </row>
    <row r="33" spans="1:55" x14ac:dyDescent="0.25">
      <c r="A33" s="9" t="s">
        <v>2556</v>
      </c>
      <c r="B33" s="9">
        <v>1949</v>
      </c>
      <c r="C33" s="9" t="s">
        <v>2557</v>
      </c>
      <c r="D33" s="9">
        <v>1908</v>
      </c>
      <c r="E33" s="9">
        <v>2026</v>
      </c>
      <c r="F33" s="9" t="s">
        <v>842</v>
      </c>
      <c r="G33" s="9">
        <v>62063000</v>
      </c>
      <c r="H33" s="9">
        <v>2016</v>
      </c>
      <c r="I33" s="9">
        <v>1</v>
      </c>
      <c r="J33" s="9" t="s">
        <v>2558</v>
      </c>
      <c r="K33" s="9">
        <v>0</v>
      </c>
      <c r="L33" s="10">
        <v>11486.4</v>
      </c>
      <c r="M33" s="10">
        <v>11486.4</v>
      </c>
      <c r="N33" s="9">
        <v>0</v>
      </c>
      <c r="O33" s="9">
        <v>0</v>
      </c>
      <c r="P33" s="9">
        <v>0</v>
      </c>
      <c r="R33" s="10">
        <v>11486.4</v>
      </c>
      <c r="U33" s="9">
        <v>1</v>
      </c>
      <c r="W33" s="9">
        <v>260326210686920</v>
      </c>
      <c r="X33" s="9" t="s">
        <v>2559</v>
      </c>
      <c r="Y33" s="9" t="s">
        <v>2560</v>
      </c>
      <c r="Z33" s="9" t="s">
        <v>2621</v>
      </c>
      <c r="AA33" s="9" t="s">
        <v>2569</v>
      </c>
      <c r="AF33" s="9">
        <v>10</v>
      </c>
      <c r="AG33" s="9" t="s">
        <v>2563</v>
      </c>
      <c r="AH33" s="9">
        <v>2393</v>
      </c>
      <c r="AP33" s="11">
        <v>46275</v>
      </c>
      <c r="AQ33" s="9" t="s">
        <v>2564</v>
      </c>
      <c r="AR33" s="9">
        <v>4</v>
      </c>
      <c r="AS33" s="9" t="s">
        <v>2565</v>
      </c>
      <c r="AU33" s="9" t="s">
        <v>2566</v>
      </c>
      <c r="AV33" s="9" t="s">
        <v>206</v>
      </c>
      <c r="AX33" s="9">
        <v>2610200</v>
      </c>
      <c r="AZ33" s="9">
        <v>306</v>
      </c>
      <c r="BA33" s="9">
        <v>432091</v>
      </c>
      <c r="BB33" s="11">
        <v>46275</v>
      </c>
      <c r="BC33" s="9">
        <v>1680</v>
      </c>
    </row>
    <row r="34" spans="1:55" x14ac:dyDescent="0.25">
      <c r="A34" s="9" t="s">
        <v>2556</v>
      </c>
      <c r="B34" s="9">
        <v>1949</v>
      </c>
      <c r="C34" s="9" t="s">
        <v>2557</v>
      </c>
      <c r="D34" s="9">
        <v>1909</v>
      </c>
      <c r="E34" s="9">
        <v>2026</v>
      </c>
      <c r="F34" s="9" t="s">
        <v>845</v>
      </c>
      <c r="G34" s="9">
        <v>62063000</v>
      </c>
      <c r="H34" s="9">
        <v>2016</v>
      </c>
      <c r="I34" s="9">
        <v>1</v>
      </c>
      <c r="J34" s="9" t="s">
        <v>2558</v>
      </c>
      <c r="K34" s="9">
        <v>0</v>
      </c>
      <c r="L34" s="10">
        <v>36998.400000000001</v>
      </c>
      <c r="M34" s="10">
        <v>36998.400000000001</v>
      </c>
      <c r="N34" s="9">
        <v>0</v>
      </c>
      <c r="O34" s="9">
        <v>0</v>
      </c>
      <c r="P34" s="9">
        <v>0</v>
      </c>
      <c r="R34" s="10">
        <v>36998.400000000001</v>
      </c>
      <c r="U34" s="9">
        <v>1</v>
      </c>
      <c r="W34" s="9">
        <v>260326210686920</v>
      </c>
      <c r="X34" s="9" t="s">
        <v>2559</v>
      </c>
      <c r="Y34" s="9" t="s">
        <v>2560</v>
      </c>
      <c r="Z34" s="9" t="s">
        <v>2621</v>
      </c>
      <c r="AA34" s="9" t="s">
        <v>2569</v>
      </c>
      <c r="AF34" s="9">
        <v>10</v>
      </c>
      <c r="AG34" s="9" t="s">
        <v>2563</v>
      </c>
      <c r="AH34" s="9">
        <v>7708</v>
      </c>
      <c r="AP34" s="11">
        <v>46275</v>
      </c>
      <c r="AQ34" s="9" t="s">
        <v>2564</v>
      </c>
      <c r="AR34" s="9">
        <v>4</v>
      </c>
      <c r="AS34" s="9" t="s">
        <v>2565</v>
      </c>
      <c r="AU34" s="9" t="s">
        <v>2566</v>
      </c>
      <c r="AV34" s="9" t="s">
        <v>183</v>
      </c>
      <c r="AX34" s="9">
        <v>2610201</v>
      </c>
      <c r="AZ34" s="9">
        <v>306</v>
      </c>
      <c r="BA34" s="9">
        <v>432076</v>
      </c>
      <c r="BB34" s="11">
        <v>46275</v>
      </c>
      <c r="BC34" s="9">
        <v>1680</v>
      </c>
    </row>
    <row r="35" spans="1:55" x14ac:dyDescent="0.25">
      <c r="A35" s="9" t="s">
        <v>2556</v>
      </c>
      <c r="B35" s="9">
        <v>1949</v>
      </c>
      <c r="C35" s="9" t="s">
        <v>2557</v>
      </c>
      <c r="D35" s="9">
        <v>1910</v>
      </c>
      <c r="E35" s="9">
        <v>2026</v>
      </c>
      <c r="F35" s="9" t="s">
        <v>848</v>
      </c>
      <c r="G35" s="9">
        <v>62063000</v>
      </c>
      <c r="H35" s="9">
        <v>2016</v>
      </c>
      <c r="I35" s="9">
        <v>1</v>
      </c>
      <c r="J35" s="9" t="s">
        <v>2558</v>
      </c>
      <c r="K35" s="9">
        <v>0</v>
      </c>
      <c r="L35" s="10">
        <v>12979.2</v>
      </c>
      <c r="M35" s="10">
        <v>12979.2</v>
      </c>
      <c r="N35" s="9">
        <v>0</v>
      </c>
      <c r="O35" s="9">
        <v>0</v>
      </c>
      <c r="P35" s="9">
        <v>0</v>
      </c>
      <c r="R35" s="10">
        <v>12979.2</v>
      </c>
      <c r="U35" s="9">
        <v>1</v>
      </c>
      <c r="W35" s="9">
        <v>260326210686920</v>
      </c>
      <c r="X35" s="9" t="s">
        <v>2559</v>
      </c>
      <c r="Y35" s="9" t="s">
        <v>2560</v>
      </c>
      <c r="Z35" s="9" t="s">
        <v>2621</v>
      </c>
      <c r="AA35" s="9" t="s">
        <v>2569</v>
      </c>
      <c r="AF35" s="9">
        <v>10</v>
      </c>
      <c r="AG35" s="9" t="s">
        <v>2563</v>
      </c>
      <c r="AH35" s="9">
        <v>2704</v>
      </c>
      <c r="AP35" s="11">
        <v>46275</v>
      </c>
      <c r="AQ35" s="9" t="s">
        <v>2564</v>
      </c>
      <c r="AR35" s="9">
        <v>4</v>
      </c>
      <c r="AS35" s="9" t="s">
        <v>2565</v>
      </c>
      <c r="AU35" s="9" t="s">
        <v>2566</v>
      </c>
      <c r="AV35" s="9" t="s">
        <v>206</v>
      </c>
      <c r="AX35" s="9">
        <v>2610202</v>
      </c>
      <c r="AZ35" s="9">
        <v>306</v>
      </c>
      <c r="BA35" s="9">
        <v>432087</v>
      </c>
      <c r="BB35" s="11">
        <v>46275</v>
      </c>
      <c r="BC35" s="9">
        <v>1680</v>
      </c>
    </row>
    <row r="36" spans="1:55" x14ac:dyDescent="0.25">
      <c r="A36" s="9" t="s">
        <v>2556</v>
      </c>
      <c r="B36" s="9">
        <v>1949</v>
      </c>
      <c r="C36" s="9" t="s">
        <v>2557</v>
      </c>
      <c r="D36" s="9">
        <v>1809</v>
      </c>
      <c r="E36" s="9">
        <v>2026</v>
      </c>
      <c r="F36" s="9" t="s">
        <v>2631</v>
      </c>
      <c r="G36" s="9">
        <v>62063000</v>
      </c>
      <c r="H36" s="9">
        <v>2016</v>
      </c>
      <c r="I36" s="9">
        <v>1</v>
      </c>
      <c r="J36" s="9" t="s">
        <v>2558</v>
      </c>
      <c r="K36" s="9">
        <v>0</v>
      </c>
      <c r="L36" s="10">
        <v>1473.9</v>
      </c>
      <c r="M36" s="10">
        <v>1473.9</v>
      </c>
      <c r="N36" s="9">
        <v>0</v>
      </c>
      <c r="O36" s="9">
        <v>0</v>
      </c>
      <c r="P36" s="9">
        <v>0</v>
      </c>
      <c r="R36" s="10">
        <v>1473.9</v>
      </c>
      <c r="S36" s="11">
        <v>46287</v>
      </c>
      <c r="T36" s="10">
        <v>1437.52</v>
      </c>
      <c r="U36" s="9">
        <v>1</v>
      </c>
      <c r="V36" s="11">
        <v>46262</v>
      </c>
      <c r="W36" s="9">
        <v>260326210686920</v>
      </c>
      <c r="X36" s="9" t="s">
        <v>2559</v>
      </c>
      <c r="Y36" s="9" t="s">
        <v>2560</v>
      </c>
      <c r="Z36" s="9" t="s">
        <v>2568</v>
      </c>
      <c r="AA36" s="9" t="s">
        <v>2569</v>
      </c>
      <c r="AB36" s="9" t="s">
        <v>2570</v>
      </c>
      <c r="AC36" s="11">
        <v>46272</v>
      </c>
      <c r="AD36" s="9">
        <v>1949</v>
      </c>
      <c r="AE36" s="9" t="s">
        <v>2570</v>
      </c>
      <c r="AF36" s="9">
        <v>10</v>
      </c>
      <c r="AG36" s="9" t="s">
        <v>2563</v>
      </c>
      <c r="AH36" s="9">
        <v>578</v>
      </c>
      <c r="AJ36" s="9" t="s">
        <v>2625</v>
      </c>
      <c r="AK36" s="11">
        <v>46286</v>
      </c>
      <c r="AL36" s="9">
        <v>2609429</v>
      </c>
      <c r="AM36" s="11">
        <v>46252</v>
      </c>
      <c r="AO36" s="9" t="s">
        <v>2571</v>
      </c>
      <c r="AP36" s="11">
        <v>46252</v>
      </c>
      <c r="AQ36" s="9" t="s">
        <v>2564</v>
      </c>
      <c r="AR36" s="9">
        <v>4</v>
      </c>
      <c r="AS36" s="9" t="s">
        <v>2632</v>
      </c>
      <c r="AT36" s="9">
        <v>1</v>
      </c>
      <c r="AU36" s="9" t="s">
        <v>2566</v>
      </c>
      <c r="AV36" s="9" t="s">
        <v>183</v>
      </c>
      <c r="AW36" s="9" t="s">
        <v>2633</v>
      </c>
      <c r="AX36" s="9">
        <v>2609429</v>
      </c>
      <c r="AY36" s="11">
        <v>46262</v>
      </c>
      <c r="AZ36" s="9">
        <v>306</v>
      </c>
      <c r="BA36" s="9">
        <v>330851</v>
      </c>
      <c r="BB36" s="11">
        <v>46252</v>
      </c>
      <c r="BC36" s="9">
        <v>1680</v>
      </c>
    </row>
    <row r="37" spans="1:55" x14ac:dyDescent="0.25">
      <c r="A37" s="9" t="s">
        <v>2556</v>
      </c>
      <c r="B37" s="9">
        <v>1949</v>
      </c>
      <c r="C37" s="9" t="s">
        <v>2557</v>
      </c>
      <c r="D37" s="9">
        <v>1810</v>
      </c>
      <c r="E37" s="9">
        <v>2026</v>
      </c>
      <c r="F37" s="9" t="s">
        <v>2634</v>
      </c>
      <c r="G37" s="9">
        <v>62082100</v>
      </c>
      <c r="H37" s="9">
        <v>2016</v>
      </c>
      <c r="I37" s="9">
        <v>1</v>
      </c>
      <c r="J37" s="9" t="s">
        <v>2558</v>
      </c>
      <c r="K37" s="9">
        <v>0</v>
      </c>
      <c r="L37" s="10">
        <v>6998.53</v>
      </c>
      <c r="M37" s="10">
        <v>6998.53</v>
      </c>
      <c r="N37" s="9">
        <v>0</v>
      </c>
      <c r="O37" s="9">
        <v>0</v>
      </c>
      <c r="P37" s="9">
        <v>0</v>
      </c>
      <c r="R37" s="10">
        <v>6998.53</v>
      </c>
      <c r="S37" s="11">
        <v>46287</v>
      </c>
      <c r="T37" s="10">
        <v>6825.77</v>
      </c>
      <c r="U37" s="9">
        <v>1</v>
      </c>
      <c r="V37" s="11">
        <v>46262</v>
      </c>
      <c r="W37" s="9">
        <v>260326210686920</v>
      </c>
      <c r="X37" s="9" t="s">
        <v>2559</v>
      </c>
      <c r="Y37" s="9" t="s">
        <v>2560</v>
      </c>
      <c r="Z37" s="9" t="s">
        <v>2568</v>
      </c>
      <c r="AA37" s="9" t="s">
        <v>2569</v>
      </c>
      <c r="AB37" s="9" t="s">
        <v>2570</v>
      </c>
      <c r="AC37" s="11">
        <v>46272</v>
      </c>
      <c r="AD37" s="9">
        <v>1949</v>
      </c>
      <c r="AE37" s="9" t="s">
        <v>2570</v>
      </c>
      <c r="AF37" s="9">
        <v>10</v>
      </c>
      <c r="AG37" s="9" t="s">
        <v>2563</v>
      </c>
      <c r="AH37" s="9">
        <v>1639</v>
      </c>
      <c r="AJ37" s="9" t="s">
        <v>2625</v>
      </c>
      <c r="AK37" s="11">
        <v>46286</v>
      </c>
      <c r="AL37" s="9">
        <v>2609431</v>
      </c>
      <c r="AM37" s="11">
        <v>46252</v>
      </c>
      <c r="AO37" s="9" t="s">
        <v>2577</v>
      </c>
      <c r="AP37" s="11">
        <v>46252</v>
      </c>
      <c r="AQ37" s="9" t="s">
        <v>2564</v>
      </c>
      <c r="AR37" s="9">
        <v>4</v>
      </c>
      <c r="AS37" s="9" t="s">
        <v>2632</v>
      </c>
      <c r="AT37" s="9">
        <v>1</v>
      </c>
      <c r="AU37" s="9" t="s">
        <v>2566</v>
      </c>
      <c r="AV37" s="9" t="s">
        <v>183</v>
      </c>
      <c r="AW37" s="9" t="s">
        <v>2635</v>
      </c>
      <c r="AX37" s="9">
        <v>2609431</v>
      </c>
      <c r="AY37" s="11">
        <v>46262</v>
      </c>
      <c r="AZ37" s="9">
        <v>306</v>
      </c>
      <c r="BA37" s="9">
        <v>330847</v>
      </c>
      <c r="BB37" s="11">
        <v>46252</v>
      </c>
      <c r="BC37" s="9">
        <v>1680</v>
      </c>
    </row>
    <row r="38" spans="1:55" x14ac:dyDescent="0.25">
      <c r="A38" s="9" t="s">
        <v>2556</v>
      </c>
      <c r="B38" s="9">
        <v>1949</v>
      </c>
      <c r="C38" s="9" t="s">
        <v>2557</v>
      </c>
      <c r="D38" s="9">
        <v>1811</v>
      </c>
      <c r="E38" s="9">
        <v>2026</v>
      </c>
      <c r="F38" s="9" t="s">
        <v>2636</v>
      </c>
      <c r="G38" s="9">
        <v>62063000</v>
      </c>
      <c r="H38" s="9">
        <v>2016</v>
      </c>
      <c r="I38" s="9">
        <v>1</v>
      </c>
      <c r="J38" s="9" t="s">
        <v>2558</v>
      </c>
      <c r="K38" s="9">
        <v>0</v>
      </c>
      <c r="L38" s="10">
        <v>1208.7</v>
      </c>
      <c r="M38" s="10">
        <v>1208.7</v>
      </c>
      <c r="N38" s="9">
        <v>0</v>
      </c>
      <c r="O38" s="9">
        <v>0</v>
      </c>
      <c r="P38" s="9">
        <v>0</v>
      </c>
      <c r="R38" s="10">
        <v>1208.7</v>
      </c>
      <c r="S38" s="11">
        <v>46287</v>
      </c>
      <c r="T38" s="10">
        <v>1178.8599999999999</v>
      </c>
      <c r="U38" s="9">
        <v>1</v>
      </c>
      <c r="V38" s="11">
        <v>46262</v>
      </c>
      <c r="W38" s="9">
        <v>260326210686920</v>
      </c>
      <c r="X38" s="9" t="s">
        <v>2559</v>
      </c>
      <c r="Y38" s="9" t="s">
        <v>2560</v>
      </c>
      <c r="Z38" s="9" t="s">
        <v>2568</v>
      </c>
      <c r="AA38" s="9" t="s">
        <v>2569</v>
      </c>
      <c r="AB38" s="9" t="s">
        <v>2570</v>
      </c>
      <c r="AC38" s="11">
        <v>46272</v>
      </c>
      <c r="AD38" s="9">
        <v>1949</v>
      </c>
      <c r="AE38" s="9" t="s">
        <v>2570</v>
      </c>
      <c r="AF38" s="9">
        <v>10</v>
      </c>
      <c r="AG38" s="9" t="s">
        <v>2563</v>
      </c>
      <c r="AH38" s="9">
        <v>474</v>
      </c>
      <c r="AJ38" s="9" t="s">
        <v>2625</v>
      </c>
      <c r="AK38" s="11">
        <v>46286</v>
      </c>
      <c r="AL38" s="9">
        <v>2609437</v>
      </c>
      <c r="AM38" s="11">
        <v>46252</v>
      </c>
      <c r="AO38" s="9" t="s">
        <v>2571</v>
      </c>
      <c r="AP38" s="11">
        <v>46252</v>
      </c>
      <c r="AQ38" s="9" t="s">
        <v>2564</v>
      </c>
      <c r="AR38" s="9">
        <v>4</v>
      </c>
      <c r="AS38" s="9" t="s">
        <v>2637</v>
      </c>
      <c r="AT38" s="9">
        <v>1</v>
      </c>
      <c r="AU38" s="9" t="s">
        <v>2566</v>
      </c>
      <c r="AV38" s="9" t="s">
        <v>183</v>
      </c>
      <c r="AW38" s="9" t="s">
        <v>2638</v>
      </c>
      <c r="AX38" s="9">
        <v>2609437</v>
      </c>
      <c r="AY38" s="11">
        <v>46262</v>
      </c>
      <c r="AZ38" s="9">
        <v>306</v>
      </c>
      <c r="BA38" s="9">
        <v>330855</v>
      </c>
      <c r="BB38" s="11">
        <v>46252</v>
      </c>
      <c r="BC38" s="9">
        <v>1680</v>
      </c>
    </row>
    <row r="39" spans="1:55" x14ac:dyDescent="0.25">
      <c r="A39" s="9" t="s">
        <v>2556</v>
      </c>
      <c r="B39" s="9">
        <v>1949</v>
      </c>
      <c r="C39" s="9" t="s">
        <v>2557</v>
      </c>
      <c r="D39" s="9">
        <v>1970</v>
      </c>
      <c r="E39" s="9">
        <v>2026</v>
      </c>
      <c r="F39" s="9" t="s">
        <v>1897</v>
      </c>
      <c r="G39" s="9">
        <v>62052000</v>
      </c>
      <c r="H39" s="9">
        <v>2016</v>
      </c>
      <c r="I39" s="9">
        <v>1</v>
      </c>
      <c r="J39" s="9" t="s">
        <v>2558</v>
      </c>
      <c r="K39" s="9">
        <v>0</v>
      </c>
      <c r="L39" s="10">
        <v>18200.849999999999</v>
      </c>
      <c r="M39" s="10">
        <v>18200.849999999999</v>
      </c>
      <c r="N39" s="9">
        <v>0</v>
      </c>
      <c r="O39" s="9">
        <v>0</v>
      </c>
      <c r="P39" s="9">
        <v>0</v>
      </c>
      <c r="R39" s="10">
        <v>18200.849999999999</v>
      </c>
      <c r="U39" s="9">
        <v>1</v>
      </c>
      <c r="W39" s="9">
        <v>260326210686920</v>
      </c>
      <c r="X39" s="9" t="s">
        <v>2559</v>
      </c>
      <c r="Y39" s="9" t="s">
        <v>2560</v>
      </c>
      <c r="Z39" s="9" t="s">
        <v>2561</v>
      </c>
      <c r="AA39" s="9" t="s">
        <v>2562</v>
      </c>
      <c r="AF39" s="9">
        <v>10</v>
      </c>
      <c r="AG39" s="9" t="s">
        <v>2563</v>
      </c>
      <c r="AH39" s="9">
        <v>2924</v>
      </c>
      <c r="AP39" s="11">
        <v>46285</v>
      </c>
      <c r="AQ39" s="9" t="s">
        <v>2564</v>
      </c>
      <c r="AR39" s="9">
        <v>4</v>
      </c>
      <c r="AS39" s="9" t="s">
        <v>2565</v>
      </c>
      <c r="AU39" s="9" t="s">
        <v>2566</v>
      </c>
      <c r="AV39" s="9" t="s">
        <v>183</v>
      </c>
      <c r="AX39" s="9">
        <v>2610615</v>
      </c>
      <c r="AZ39" s="9">
        <v>306</v>
      </c>
      <c r="BA39" s="9">
        <v>474478</v>
      </c>
      <c r="BB39" s="11">
        <v>46285</v>
      </c>
      <c r="BC39" s="9">
        <v>1680</v>
      </c>
    </row>
    <row r="40" spans="1:55" x14ac:dyDescent="0.25">
      <c r="A40" s="9" t="s">
        <v>2556</v>
      </c>
      <c r="B40" s="9">
        <v>1949</v>
      </c>
      <c r="C40" s="9" t="s">
        <v>2557</v>
      </c>
      <c r="D40" s="9">
        <v>1971</v>
      </c>
      <c r="E40" s="9">
        <v>2026</v>
      </c>
      <c r="F40" s="9" t="s">
        <v>1900</v>
      </c>
      <c r="G40" s="9">
        <v>62052000</v>
      </c>
      <c r="H40" s="9">
        <v>2016</v>
      </c>
      <c r="I40" s="9">
        <v>1</v>
      </c>
      <c r="J40" s="9" t="s">
        <v>2558</v>
      </c>
      <c r="K40" s="9">
        <v>0</v>
      </c>
      <c r="L40" s="10">
        <v>14310.6</v>
      </c>
      <c r="M40" s="10">
        <v>14310.6</v>
      </c>
      <c r="N40" s="9">
        <v>0</v>
      </c>
      <c r="O40" s="9">
        <v>0</v>
      </c>
      <c r="P40" s="9">
        <v>0</v>
      </c>
      <c r="R40" s="10">
        <v>14310.6</v>
      </c>
      <c r="U40" s="9">
        <v>1</v>
      </c>
      <c r="W40" s="9">
        <v>260326210686920</v>
      </c>
      <c r="X40" s="9" t="s">
        <v>2559</v>
      </c>
      <c r="Y40" s="9" t="s">
        <v>2560</v>
      </c>
      <c r="Z40" s="9" t="s">
        <v>2561</v>
      </c>
      <c r="AA40" s="9" t="s">
        <v>2562</v>
      </c>
      <c r="AF40" s="9">
        <v>10</v>
      </c>
      <c r="AG40" s="9" t="s">
        <v>2563</v>
      </c>
      <c r="AH40" s="9">
        <v>2346</v>
      </c>
      <c r="AP40" s="11">
        <v>46285</v>
      </c>
      <c r="AQ40" s="9" t="s">
        <v>2564</v>
      </c>
      <c r="AR40" s="9">
        <v>4</v>
      </c>
      <c r="AS40" s="9" t="s">
        <v>2565</v>
      </c>
      <c r="AU40" s="9" t="s">
        <v>2566</v>
      </c>
      <c r="AV40" s="9" t="s">
        <v>183</v>
      </c>
      <c r="AX40" s="9">
        <v>2610616</v>
      </c>
      <c r="AZ40" s="9">
        <v>306</v>
      </c>
      <c r="BA40" s="9">
        <v>474469</v>
      </c>
      <c r="BB40" s="11">
        <v>46285</v>
      </c>
      <c r="BC40" s="9">
        <v>1680</v>
      </c>
    </row>
    <row r="41" spans="1:55" x14ac:dyDescent="0.25">
      <c r="A41" s="9" t="s">
        <v>2556</v>
      </c>
      <c r="B41" s="9">
        <v>1949</v>
      </c>
      <c r="C41" s="9" t="s">
        <v>2557</v>
      </c>
      <c r="D41" s="9">
        <v>1914</v>
      </c>
      <c r="E41" s="9">
        <v>2026</v>
      </c>
      <c r="F41" s="9" t="s">
        <v>865</v>
      </c>
      <c r="G41" s="9">
        <v>62063000</v>
      </c>
      <c r="H41" s="9">
        <v>2016</v>
      </c>
      <c r="I41" s="9">
        <v>1</v>
      </c>
      <c r="J41" s="9" t="s">
        <v>2558</v>
      </c>
      <c r="L41" s="10">
        <v>15600</v>
      </c>
      <c r="M41" s="10">
        <v>15600</v>
      </c>
      <c r="N41" s="9">
        <v>0</v>
      </c>
      <c r="O41" s="9">
        <v>0</v>
      </c>
      <c r="P41" s="9">
        <v>0</v>
      </c>
      <c r="R41" s="10">
        <v>15600</v>
      </c>
      <c r="U41" s="9">
        <v>1</v>
      </c>
      <c r="W41" s="9">
        <v>260326210686920</v>
      </c>
      <c r="X41" s="9" t="s">
        <v>2559</v>
      </c>
      <c r="Y41" s="9" t="s">
        <v>2560</v>
      </c>
      <c r="Z41" s="9" t="s">
        <v>2561</v>
      </c>
      <c r="AA41" s="9" t="s">
        <v>2562</v>
      </c>
      <c r="AF41" s="9">
        <v>10</v>
      </c>
      <c r="AG41" s="9" t="s">
        <v>2563</v>
      </c>
      <c r="AH41" s="9">
        <v>2600</v>
      </c>
      <c r="AL41" s="9">
        <v>2610206</v>
      </c>
      <c r="AM41" s="11">
        <v>46274</v>
      </c>
      <c r="AP41" s="11">
        <v>46275</v>
      </c>
      <c r="AQ41" s="9" t="s">
        <v>2564</v>
      </c>
      <c r="AR41" s="9">
        <v>4</v>
      </c>
      <c r="AU41" s="9" t="s">
        <v>2566</v>
      </c>
      <c r="AZ41" s="9">
        <v>306</v>
      </c>
      <c r="BA41" s="9">
        <v>436414</v>
      </c>
      <c r="BB41" s="11">
        <v>46276</v>
      </c>
      <c r="BC41" s="9">
        <v>1680</v>
      </c>
    </row>
    <row r="42" spans="1:55" x14ac:dyDescent="0.25">
      <c r="A42" s="9" t="s">
        <v>2556</v>
      </c>
      <c r="B42" s="9">
        <v>1949</v>
      </c>
      <c r="C42" s="9" t="s">
        <v>2557</v>
      </c>
      <c r="D42" s="9">
        <v>1913</v>
      </c>
      <c r="E42" s="9">
        <v>2026</v>
      </c>
      <c r="F42" s="9" t="s">
        <v>861</v>
      </c>
      <c r="G42" s="9">
        <v>62063000</v>
      </c>
      <c r="H42" s="9">
        <v>2016</v>
      </c>
      <c r="I42" s="9">
        <v>1</v>
      </c>
      <c r="J42" s="9" t="s">
        <v>2558</v>
      </c>
      <c r="L42" s="10">
        <v>41436</v>
      </c>
      <c r="M42" s="10">
        <v>41436</v>
      </c>
      <c r="N42" s="9">
        <v>0</v>
      </c>
      <c r="O42" s="9">
        <v>0</v>
      </c>
      <c r="P42" s="9">
        <v>0</v>
      </c>
      <c r="R42" s="10">
        <v>41436</v>
      </c>
      <c r="U42" s="9">
        <v>1</v>
      </c>
      <c r="W42" s="9">
        <v>260326210686920</v>
      </c>
      <c r="X42" s="9" t="s">
        <v>2559</v>
      </c>
      <c r="Y42" s="9" t="s">
        <v>2560</v>
      </c>
      <c r="Z42" s="9" t="s">
        <v>2561</v>
      </c>
      <c r="AA42" s="9" t="s">
        <v>2562</v>
      </c>
      <c r="AF42" s="9">
        <v>10</v>
      </c>
      <c r="AG42" s="9" t="s">
        <v>2563</v>
      </c>
      <c r="AH42" s="9">
        <v>6906</v>
      </c>
      <c r="AL42" s="9">
        <v>2610205</v>
      </c>
      <c r="AM42" s="11">
        <v>46274</v>
      </c>
      <c r="AP42" s="11">
        <v>46275</v>
      </c>
      <c r="AQ42" s="9" t="s">
        <v>2564</v>
      </c>
      <c r="AR42" s="9">
        <v>4</v>
      </c>
      <c r="AU42" s="9" t="s">
        <v>2566</v>
      </c>
      <c r="AZ42" s="9">
        <v>306</v>
      </c>
      <c r="BA42" s="9">
        <v>436452</v>
      </c>
      <c r="BB42" s="11">
        <v>46276</v>
      </c>
      <c r="BC42" s="9">
        <v>1680</v>
      </c>
    </row>
    <row r="43" spans="1:55" x14ac:dyDescent="0.25">
      <c r="A43" s="9" t="s">
        <v>2556</v>
      </c>
      <c r="B43" s="9">
        <v>1949</v>
      </c>
      <c r="C43" s="9" t="s">
        <v>2557</v>
      </c>
      <c r="D43" s="9">
        <v>1983</v>
      </c>
      <c r="E43" s="9">
        <v>2026</v>
      </c>
      <c r="F43" s="9" t="s">
        <v>2066</v>
      </c>
      <c r="G43" s="9">
        <v>62052000</v>
      </c>
      <c r="H43" s="9">
        <v>2016</v>
      </c>
      <c r="I43" s="9">
        <v>1</v>
      </c>
      <c r="J43" s="9" t="s">
        <v>2558</v>
      </c>
      <c r="L43" s="10">
        <v>4560</v>
      </c>
      <c r="M43" s="10">
        <v>4560</v>
      </c>
      <c r="N43" s="9">
        <v>0</v>
      </c>
      <c r="O43" s="9">
        <v>0</v>
      </c>
      <c r="P43" s="9">
        <v>0</v>
      </c>
      <c r="R43" s="10">
        <v>4560</v>
      </c>
      <c r="U43" s="9">
        <v>1</v>
      </c>
      <c r="W43" s="9">
        <v>260326210686920</v>
      </c>
      <c r="X43" s="9" t="s">
        <v>2559</v>
      </c>
      <c r="Y43" s="9" t="s">
        <v>2560</v>
      </c>
      <c r="Z43" s="9" t="s">
        <v>2561</v>
      </c>
      <c r="AA43" s="9" t="s">
        <v>2562</v>
      </c>
      <c r="AF43" s="9">
        <v>10</v>
      </c>
      <c r="AG43" s="9" t="s">
        <v>2563</v>
      </c>
      <c r="AH43" s="9">
        <v>1200</v>
      </c>
      <c r="AP43" s="11">
        <v>46289</v>
      </c>
      <c r="AQ43" s="9" t="s">
        <v>2564</v>
      </c>
      <c r="AR43" s="9">
        <v>4</v>
      </c>
      <c r="AU43" s="9" t="s">
        <v>2566</v>
      </c>
      <c r="AZ43" s="9">
        <v>306</v>
      </c>
      <c r="BA43" s="9">
        <v>494020</v>
      </c>
      <c r="BB43" s="11">
        <v>46289</v>
      </c>
      <c r="BC43" s="9">
        <v>1680</v>
      </c>
    </row>
    <row r="44" spans="1:55" x14ac:dyDescent="0.25">
      <c r="A44" s="9" t="s">
        <v>2556</v>
      </c>
      <c r="B44" s="9">
        <v>1949</v>
      </c>
      <c r="C44" s="9" t="s">
        <v>2557</v>
      </c>
      <c r="D44" s="9">
        <v>1982</v>
      </c>
      <c r="E44" s="9">
        <v>2026</v>
      </c>
      <c r="F44" s="9" t="s">
        <v>2063</v>
      </c>
      <c r="G44" s="9">
        <v>62052000</v>
      </c>
      <c r="H44" s="9">
        <v>2016</v>
      </c>
      <c r="I44" s="9">
        <v>1</v>
      </c>
      <c r="J44" s="9" t="s">
        <v>2558</v>
      </c>
      <c r="L44" s="10">
        <v>20228.5</v>
      </c>
      <c r="M44" s="10">
        <v>20228.5</v>
      </c>
      <c r="N44" s="9">
        <v>0</v>
      </c>
      <c r="O44" s="9">
        <v>0</v>
      </c>
      <c r="P44" s="9">
        <v>0</v>
      </c>
      <c r="R44" s="10">
        <v>20228.5</v>
      </c>
      <c r="U44" s="9">
        <v>1</v>
      </c>
      <c r="W44" s="9">
        <v>260326210686920</v>
      </c>
      <c r="X44" s="9" t="s">
        <v>2559</v>
      </c>
      <c r="Y44" s="9" t="s">
        <v>2560</v>
      </c>
      <c r="Z44" s="9" t="s">
        <v>2561</v>
      </c>
      <c r="AA44" s="9" t="s">
        <v>2562</v>
      </c>
      <c r="AF44" s="9">
        <v>10</v>
      </c>
      <c r="AG44" s="9" t="s">
        <v>2563</v>
      </c>
      <c r="AH44" s="9">
        <v>3518</v>
      </c>
      <c r="AP44" s="11">
        <v>46289</v>
      </c>
      <c r="AQ44" s="9" t="s">
        <v>2564</v>
      </c>
      <c r="AR44" s="9">
        <v>4</v>
      </c>
      <c r="AU44" s="9" t="s">
        <v>2566</v>
      </c>
      <c r="AZ44" s="9">
        <v>306</v>
      </c>
      <c r="BA44" s="9">
        <v>494012</v>
      </c>
      <c r="BB44" s="11">
        <v>46289</v>
      </c>
      <c r="BC44" s="9">
        <v>1680</v>
      </c>
    </row>
    <row r="45" spans="1:55" x14ac:dyDescent="0.25">
      <c r="A45" s="9" t="s">
        <v>2556</v>
      </c>
      <c r="B45" s="9">
        <v>1949</v>
      </c>
      <c r="C45" s="9" t="s">
        <v>2557</v>
      </c>
      <c r="D45" s="9">
        <v>1911</v>
      </c>
      <c r="E45" s="9">
        <v>2026</v>
      </c>
      <c r="F45" s="9" t="s">
        <v>853</v>
      </c>
      <c r="G45" s="9">
        <v>62063000</v>
      </c>
      <c r="H45" s="9">
        <v>2016</v>
      </c>
      <c r="I45" s="9">
        <v>1</v>
      </c>
      <c r="J45" s="9" t="s">
        <v>2558</v>
      </c>
      <c r="L45" s="10">
        <v>23280</v>
      </c>
      <c r="M45" s="10">
        <v>23280</v>
      </c>
      <c r="N45" s="9">
        <v>0</v>
      </c>
      <c r="O45" s="9">
        <v>0</v>
      </c>
      <c r="P45" s="9">
        <v>0</v>
      </c>
      <c r="R45" s="10">
        <v>23280</v>
      </c>
      <c r="U45" s="9">
        <v>1</v>
      </c>
      <c r="W45" s="9">
        <v>260326210686920</v>
      </c>
      <c r="X45" s="9" t="s">
        <v>2559</v>
      </c>
      <c r="Y45" s="9" t="s">
        <v>2560</v>
      </c>
      <c r="Z45" s="9" t="s">
        <v>2561</v>
      </c>
      <c r="AA45" s="9" t="s">
        <v>2562</v>
      </c>
      <c r="AF45" s="9">
        <v>10</v>
      </c>
      <c r="AG45" s="9" t="s">
        <v>2563</v>
      </c>
      <c r="AH45" s="9">
        <v>3880</v>
      </c>
      <c r="AL45" s="9">
        <v>2610203</v>
      </c>
      <c r="AM45" s="11">
        <v>46274</v>
      </c>
      <c r="AP45" s="11">
        <v>46275</v>
      </c>
      <c r="AQ45" s="9" t="s">
        <v>2564</v>
      </c>
      <c r="AR45" s="9">
        <v>4</v>
      </c>
      <c r="AU45" s="9" t="s">
        <v>2566</v>
      </c>
      <c r="AZ45" s="9">
        <v>306</v>
      </c>
      <c r="BA45" s="9">
        <v>436400</v>
      </c>
      <c r="BB45" s="11">
        <v>46276</v>
      </c>
      <c r="BC45" s="9">
        <v>1680</v>
      </c>
    </row>
    <row r="46" spans="1:55" x14ac:dyDescent="0.25">
      <c r="A46" s="9" t="s">
        <v>2556</v>
      </c>
      <c r="B46" s="9">
        <v>1949</v>
      </c>
      <c r="C46" s="9" t="s">
        <v>2557</v>
      </c>
      <c r="D46" s="9">
        <v>1993</v>
      </c>
      <c r="E46" s="9">
        <v>2026</v>
      </c>
      <c r="F46" s="9" t="s">
        <v>2294</v>
      </c>
      <c r="G46" s="9">
        <v>62052000</v>
      </c>
      <c r="H46" s="9">
        <v>2016</v>
      </c>
      <c r="I46" s="9">
        <v>1</v>
      </c>
      <c r="J46" s="9" t="s">
        <v>2558</v>
      </c>
      <c r="L46" s="10">
        <v>12668.8</v>
      </c>
      <c r="M46" s="10">
        <v>12668.8</v>
      </c>
      <c r="N46" s="9">
        <v>0</v>
      </c>
      <c r="O46" s="9">
        <v>0</v>
      </c>
      <c r="P46" s="9">
        <v>0</v>
      </c>
      <c r="R46" s="10">
        <v>12668.8</v>
      </c>
      <c r="U46" s="9">
        <v>1</v>
      </c>
      <c r="W46" s="9">
        <v>260326210686920</v>
      </c>
      <c r="X46" s="9" t="s">
        <v>2559</v>
      </c>
      <c r="Y46" s="9" t="s">
        <v>2560</v>
      </c>
      <c r="Z46" s="9" t="s">
        <v>2561</v>
      </c>
      <c r="AA46" s="9" t="s">
        <v>2562</v>
      </c>
      <c r="AF46" s="9">
        <v>10</v>
      </c>
      <c r="AG46" s="9" t="s">
        <v>2563</v>
      </c>
      <c r="AH46" s="9">
        <v>2368</v>
      </c>
      <c r="AO46" s="9" t="s">
        <v>2577</v>
      </c>
      <c r="AP46" s="11">
        <v>46292</v>
      </c>
      <c r="AQ46" s="9" t="s">
        <v>2564</v>
      </c>
      <c r="AR46" s="9">
        <v>4</v>
      </c>
      <c r="AU46" s="9" t="s">
        <v>2566</v>
      </c>
      <c r="AZ46" s="9">
        <v>306</v>
      </c>
      <c r="BA46" s="9">
        <v>508048</v>
      </c>
      <c r="BB46" s="11">
        <v>46292</v>
      </c>
      <c r="BC46" s="9">
        <v>1680</v>
      </c>
    </row>
    <row r="47" spans="1:55" x14ac:dyDescent="0.25">
      <c r="A47" s="9" t="s">
        <v>2556</v>
      </c>
      <c r="B47" s="9">
        <v>1949</v>
      </c>
      <c r="C47" s="9" t="s">
        <v>2557</v>
      </c>
      <c r="D47" s="9">
        <v>2000</v>
      </c>
      <c r="E47" s="9">
        <v>2026</v>
      </c>
      <c r="F47" s="9" t="s">
        <v>2070</v>
      </c>
      <c r="G47" s="9">
        <v>62052000</v>
      </c>
      <c r="H47" s="9">
        <v>2016</v>
      </c>
      <c r="I47" s="9">
        <v>1</v>
      </c>
      <c r="J47" s="9" t="s">
        <v>2558</v>
      </c>
      <c r="K47" s="9">
        <v>0</v>
      </c>
      <c r="L47" s="10">
        <v>16203.85</v>
      </c>
      <c r="M47" s="10">
        <v>16203.85</v>
      </c>
      <c r="N47" s="9">
        <v>0</v>
      </c>
      <c r="O47" s="9">
        <v>0</v>
      </c>
      <c r="P47" s="9">
        <v>0</v>
      </c>
      <c r="U47" s="9">
        <v>1</v>
      </c>
      <c r="W47" s="9">
        <v>260326210686920</v>
      </c>
      <c r="X47" s="9" t="s">
        <v>2559</v>
      </c>
      <c r="Y47" s="9" t="s">
        <v>2560</v>
      </c>
      <c r="Z47" s="9" t="s">
        <v>2561</v>
      </c>
      <c r="AA47" s="9" t="s">
        <v>2562</v>
      </c>
      <c r="AF47" s="9">
        <v>10</v>
      </c>
      <c r="AG47" s="9" t="s">
        <v>2563</v>
      </c>
      <c r="AH47" s="9">
        <v>3341</v>
      </c>
      <c r="AP47" s="11">
        <v>46294</v>
      </c>
      <c r="AQ47" s="9" t="s">
        <v>2564</v>
      </c>
      <c r="AR47" s="9">
        <v>4</v>
      </c>
      <c r="AS47" s="9" t="s">
        <v>2565</v>
      </c>
      <c r="AU47" s="9" t="s">
        <v>2566</v>
      </c>
      <c r="AV47" s="9" t="s">
        <v>183</v>
      </c>
      <c r="AX47" s="9">
        <v>2610690</v>
      </c>
      <c r="BC47" s="9">
        <v>1680</v>
      </c>
    </row>
    <row r="48" spans="1:55" x14ac:dyDescent="0.25">
      <c r="A48" s="9" t="s">
        <v>2556</v>
      </c>
      <c r="B48" s="9">
        <v>1949</v>
      </c>
      <c r="C48" s="9" t="s">
        <v>2557</v>
      </c>
      <c r="D48" s="9">
        <v>2001</v>
      </c>
      <c r="E48" s="9">
        <v>2026</v>
      </c>
      <c r="F48" s="9" t="s">
        <v>2086</v>
      </c>
      <c r="G48" s="9">
        <v>62063000</v>
      </c>
      <c r="H48" s="9">
        <v>2016</v>
      </c>
      <c r="I48" s="9">
        <v>1</v>
      </c>
      <c r="J48" s="9" t="s">
        <v>2558</v>
      </c>
      <c r="K48" s="9">
        <v>0</v>
      </c>
      <c r="L48" s="10">
        <v>7081</v>
      </c>
      <c r="M48" s="10">
        <v>7081</v>
      </c>
      <c r="N48" s="9">
        <v>0</v>
      </c>
      <c r="O48" s="9">
        <v>0</v>
      </c>
      <c r="P48" s="9">
        <v>0</v>
      </c>
      <c r="U48" s="9">
        <v>1</v>
      </c>
      <c r="W48" s="9">
        <v>260326210686920</v>
      </c>
      <c r="X48" s="9" t="s">
        <v>2559</v>
      </c>
      <c r="Y48" s="9" t="s">
        <v>2560</v>
      </c>
      <c r="Z48" s="9" t="s">
        <v>2561</v>
      </c>
      <c r="AA48" s="9" t="s">
        <v>2562</v>
      </c>
      <c r="AF48" s="9">
        <v>10</v>
      </c>
      <c r="AG48" s="9" t="s">
        <v>2563</v>
      </c>
      <c r="AH48" s="9">
        <v>1460</v>
      </c>
      <c r="AP48" s="11">
        <v>46294</v>
      </c>
      <c r="AQ48" s="9" t="s">
        <v>2564</v>
      </c>
      <c r="AR48" s="9">
        <v>4</v>
      </c>
      <c r="AS48" s="9" t="s">
        <v>2565</v>
      </c>
      <c r="AU48" s="9" t="s">
        <v>2566</v>
      </c>
      <c r="AV48" s="9" t="s">
        <v>183</v>
      </c>
      <c r="AX48" s="9">
        <v>2610698</v>
      </c>
      <c r="BC48" s="9">
        <v>1680</v>
      </c>
    </row>
    <row r="49" spans="1:56" x14ac:dyDescent="0.25">
      <c r="A49" s="9" t="s">
        <v>2556</v>
      </c>
      <c r="B49" s="9">
        <v>1949</v>
      </c>
      <c r="C49" s="9" t="s">
        <v>2557</v>
      </c>
      <c r="D49" s="9">
        <v>2002</v>
      </c>
      <c r="E49" s="9">
        <v>2026</v>
      </c>
      <c r="F49" s="9" t="s">
        <v>2450</v>
      </c>
      <c r="G49" s="9">
        <v>62052000</v>
      </c>
      <c r="H49" s="9">
        <v>2016</v>
      </c>
      <c r="I49" s="9">
        <v>1</v>
      </c>
      <c r="J49" s="9" t="s">
        <v>2558</v>
      </c>
      <c r="K49" s="9">
        <v>0</v>
      </c>
      <c r="L49" s="10">
        <v>15729.5</v>
      </c>
      <c r="M49" s="10">
        <v>15729.5</v>
      </c>
      <c r="N49" s="9">
        <v>0</v>
      </c>
      <c r="O49" s="9">
        <v>0</v>
      </c>
      <c r="P49" s="9">
        <v>0</v>
      </c>
      <c r="U49" s="9">
        <v>1</v>
      </c>
      <c r="W49" s="9">
        <v>260326210686920</v>
      </c>
      <c r="X49" s="9" t="s">
        <v>2559</v>
      </c>
      <c r="Y49" s="9" t="s">
        <v>2560</v>
      </c>
      <c r="Z49" s="9" t="s">
        <v>2561</v>
      </c>
      <c r="AA49" s="9" t="s">
        <v>2562</v>
      </c>
      <c r="AF49" s="9">
        <v>10</v>
      </c>
      <c r="AG49" s="9" t="s">
        <v>2563</v>
      </c>
      <c r="AH49" s="9">
        <v>3260</v>
      </c>
      <c r="AO49" s="9" t="s">
        <v>2577</v>
      </c>
      <c r="AP49" s="11">
        <v>46294</v>
      </c>
      <c r="AQ49" s="9" t="s">
        <v>2564</v>
      </c>
      <c r="AR49" s="9">
        <v>4</v>
      </c>
      <c r="AS49" s="9" t="s">
        <v>2565</v>
      </c>
      <c r="AU49" s="9" t="s">
        <v>2566</v>
      </c>
      <c r="AV49" s="9" t="s">
        <v>183</v>
      </c>
      <c r="AX49" s="9">
        <v>2610862</v>
      </c>
      <c r="BC49" s="9">
        <v>1680</v>
      </c>
    </row>
    <row r="50" spans="1:56" x14ac:dyDescent="0.25">
      <c r="A50" s="9" t="s">
        <v>2556</v>
      </c>
      <c r="B50" s="9">
        <v>1949</v>
      </c>
      <c r="C50" s="9" t="s">
        <v>2557</v>
      </c>
      <c r="D50" s="9">
        <v>2003</v>
      </c>
      <c r="E50" s="9">
        <v>2026</v>
      </c>
      <c r="F50" s="9" t="s">
        <v>2639</v>
      </c>
      <c r="G50" s="9">
        <v>62050000</v>
      </c>
      <c r="H50" s="9">
        <v>2016</v>
      </c>
      <c r="I50" s="9">
        <v>86</v>
      </c>
      <c r="J50" s="9" t="s">
        <v>2574</v>
      </c>
      <c r="L50" s="10">
        <v>30939.97</v>
      </c>
      <c r="M50" s="10">
        <v>30939.97</v>
      </c>
      <c r="N50" s="9">
        <v>0</v>
      </c>
      <c r="O50" s="9">
        <v>0</v>
      </c>
      <c r="P50" s="9">
        <v>0</v>
      </c>
      <c r="U50" s="9">
        <v>1</v>
      </c>
      <c r="W50" s="9">
        <v>260326210686920</v>
      </c>
      <c r="X50" s="9" t="s">
        <v>2559</v>
      </c>
      <c r="Y50" s="9" t="s">
        <v>2560</v>
      </c>
      <c r="Z50" s="9" t="s">
        <v>2575</v>
      </c>
      <c r="AA50" s="9" t="s">
        <v>2640</v>
      </c>
      <c r="AF50" s="9">
        <v>10</v>
      </c>
      <c r="AG50" s="9" t="s">
        <v>2563</v>
      </c>
      <c r="AH50" s="9">
        <v>7517</v>
      </c>
      <c r="AL50" s="9">
        <v>2610880</v>
      </c>
      <c r="AM50" s="11">
        <v>46294</v>
      </c>
      <c r="AP50" s="11">
        <v>46294</v>
      </c>
      <c r="AQ50" s="9" t="s">
        <v>2564</v>
      </c>
      <c r="AR50" s="9">
        <v>4</v>
      </c>
      <c r="AU50" s="9" t="s">
        <v>2566</v>
      </c>
      <c r="BC50" s="9">
        <v>1680</v>
      </c>
    </row>
    <row r="51" spans="1:56" x14ac:dyDescent="0.25">
      <c r="A51" s="9" t="s">
        <v>2556</v>
      </c>
      <c r="B51" s="9">
        <v>1949</v>
      </c>
      <c r="C51" s="9" t="s">
        <v>2557</v>
      </c>
      <c r="D51" s="9">
        <v>1868</v>
      </c>
      <c r="E51" s="9">
        <v>2026</v>
      </c>
      <c r="F51" s="9" t="s">
        <v>2641</v>
      </c>
      <c r="G51" s="9">
        <v>62063000</v>
      </c>
      <c r="H51" s="9">
        <v>2016</v>
      </c>
      <c r="I51" s="9">
        <v>1</v>
      </c>
      <c r="J51" s="9" t="s">
        <v>2558</v>
      </c>
      <c r="K51" s="9">
        <v>0</v>
      </c>
      <c r="L51" s="10">
        <v>6248.7</v>
      </c>
      <c r="M51" s="10">
        <v>6248.7</v>
      </c>
      <c r="N51" s="9">
        <v>0</v>
      </c>
      <c r="O51" s="9">
        <v>0</v>
      </c>
      <c r="P51" s="9">
        <v>0</v>
      </c>
      <c r="R51" s="10">
        <v>6248.7</v>
      </c>
      <c r="S51" s="11">
        <v>46287</v>
      </c>
      <c r="T51" s="10">
        <v>6094.45</v>
      </c>
      <c r="U51" s="9">
        <v>1</v>
      </c>
      <c r="V51" s="11">
        <v>46268</v>
      </c>
      <c r="W51" s="9">
        <v>260326210686920</v>
      </c>
      <c r="X51" s="9" t="s">
        <v>2559</v>
      </c>
      <c r="Y51" s="9" t="s">
        <v>2560</v>
      </c>
      <c r="Z51" s="9" t="s">
        <v>2561</v>
      </c>
      <c r="AA51" s="9" t="s">
        <v>2562</v>
      </c>
      <c r="AB51" s="9" t="s">
        <v>2570</v>
      </c>
      <c r="AC51" s="11">
        <v>46273</v>
      </c>
      <c r="AD51" s="9">
        <v>1949</v>
      </c>
      <c r="AE51" s="9" t="s">
        <v>2570</v>
      </c>
      <c r="AF51" s="9">
        <v>10</v>
      </c>
      <c r="AG51" s="9" t="s">
        <v>2563</v>
      </c>
      <c r="AH51" s="9">
        <v>1572</v>
      </c>
      <c r="AJ51" s="9" t="s">
        <v>2625</v>
      </c>
      <c r="AK51" s="11">
        <v>46286</v>
      </c>
      <c r="AL51" s="9">
        <v>2609871</v>
      </c>
      <c r="AM51" s="11">
        <v>46262</v>
      </c>
      <c r="AO51" s="9" t="s">
        <v>2571</v>
      </c>
      <c r="AP51" s="11">
        <v>46264</v>
      </c>
      <c r="AQ51" s="9" t="s">
        <v>2564</v>
      </c>
      <c r="AR51" s="9">
        <v>4</v>
      </c>
      <c r="AS51" s="9" t="s">
        <v>2642</v>
      </c>
      <c r="AT51" s="9">
        <v>1</v>
      </c>
      <c r="AU51" s="9" t="s">
        <v>2566</v>
      </c>
      <c r="AV51" s="9" t="s">
        <v>206</v>
      </c>
      <c r="AW51" s="9" t="s">
        <v>2643</v>
      </c>
      <c r="AX51" s="9">
        <v>2609871</v>
      </c>
      <c r="AY51" s="11">
        <v>46268</v>
      </c>
      <c r="AZ51" s="9">
        <v>306</v>
      </c>
      <c r="BA51" s="9">
        <v>383340</v>
      </c>
      <c r="BB51" s="11">
        <v>46264</v>
      </c>
      <c r="BC51" s="9">
        <v>1680</v>
      </c>
    </row>
    <row r="52" spans="1:56" x14ac:dyDescent="0.25">
      <c r="A52" s="9" t="s">
        <v>2644</v>
      </c>
      <c r="B52" s="9">
        <v>947</v>
      </c>
      <c r="C52" s="9" t="s">
        <v>2645</v>
      </c>
      <c r="D52" s="9">
        <v>1564</v>
      </c>
      <c r="E52" s="9">
        <v>2026</v>
      </c>
      <c r="F52" s="9" t="s">
        <v>2646</v>
      </c>
      <c r="G52" s="9">
        <v>61059000</v>
      </c>
      <c r="H52" s="9">
        <v>2004</v>
      </c>
      <c r="I52" s="9">
        <v>1</v>
      </c>
      <c r="J52" s="9" t="s">
        <v>2558</v>
      </c>
      <c r="L52" s="10">
        <v>110460.9</v>
      </c>
      <c r="M52" s="10">
        <v>110460.9</v>
      </c>
      <c r="N52" s="9">
        <v>0</v>
      </c>
      <c r="O52" s="9">
        <v>0</v>
      </c>
      <c r="P52" s="9">
        <v>0</v>
      </c>
      <c r="R52" s="10">
        <v>110460.9</v>
      </c>
      <c r="S52" s="11">
        <v>46288</v>
      </c>
      <c r="T52" s="10">
        <v>110435.9</v>
      </c>
      <c r="U52" s="9">
        <v>1</v>
      </c>
      <c r="V52" s="11">
        <v>46269</v>
      </c>
      <c r="W52" s="9">
        <v>260326210686920</v>
      </c>
      <c r="X52" s="9" t="s">
        <v>2559</v>
      </c>
      <c r="Y52" s="9" t="s">
        <v>2560</v>
      </c>
      <c r="Z52" s="9" t="s">
        <v>2647</v>
      </c>
      <c r="AA52" s="9" t="s">
        <v>2648</v>
      </c>
      <c r="AB52" s="9" t="s">
        <v>2570</v>
      </c>
      <c r="AC52" s="11">
        <v>46286</v>
      </c>
      <c r="AD52" s="9">
        <v>947</v>
      </c>
      <c r="AE52" s="9" t="s">
        <v>2570</v>
      </c>
      <c r="AF52" s="9">
        <v>10</v>
      </c>
      <c r="AG52" s="9" t="s">
        <v>2563</v>
      </c>
      <c r="AH52" s="9">
        <v>21659</v>
      </c>
      <c r="AJ52" s="9" t="s">
        <v>2649</v>
      </c>
      <c r="AK52" s="11">
        <v>46288</v>
      </c>
      <c r="AL52" s="9">
        <v>2609404</v>
      </c>
      <c r="AM52" s="11">
        <v>46251</v>
      </c>
      <c r="AO52" s="9" t="s">
        <v>2577</v>
      </c>
      <c r="AP52" s="11">
        <v>46259</v>
      </c>
      <c r="AQ52" s="9" t="s">
        <v>2564</v>
      </c>
      <c r="AR52" s="9">
        <v>4</v>
      </c>
      <c r="AT52" s="9">
        <v>1</v>
      </c>
      <c r="AU52" s="9" t="s">
        <v>2566</v>
      </c>
      <c r="AW52" s="9" t="s">
        <v>2650</v>
      </c>
      <c r="AY52" s="11">
        <v>46269</v>
      </c>
      <c r="AZ52" s="9">
        <v>306</v>
      </c>
      <c r="BA52" s="9">
        <v>378310</v>
      </c>
      <c r="BB52" s="11">
        <v>46262</v>
      </c>
      <c r="BC52" s="9">
        <v>1680</v>
      </c>
      <c r="BD52" s="9">
        <v>1</v>
      </c>
    </row>
    <row r="53" spans="1:56" x14ac:dyDescent="0.25">
      <c r="A53" s="9" t="s">
        <v>2644</v>
      </c>
      <c r="B53" s="9">
        <v>947</v>
      </c>
      <c r="C53" s="9" t="s">
        <v>2645</v>
      </c>
      <c r="D53" s="9">
        <v>1477</v>
      </c>
      <c r="E53" s="9">
        <v>2026</v>
      </c>
      <c r="F53" s="9" t="s">
        <v>2651</v>
      </c>
      <c r="G53" s="9">
        <v>62071100</v>
      </c>
      <c r="H53" s="9">
        <v>2020</v>
      </c>
      <c r="I53" s="9">
        <v>1</v>
      </c>
      <c r="J53" s="9" t="s">
        <v>2558</v>
      </c>
      <c r="K53" s="9">
        <v>0</v>
      </c>
      <c r="L53" s="10">
        <v>2486.8200000000002</v>
      </c>
      <c r="M53" s="10">
        <v>2486.8200000000002</v>
      </c>
      <c r="N53" s="9">
        <v>0</v>
      </c>
      <c r="O53" s="9">
        <v>0</v>
      </c>
      <c r="P53" s="9">
        <v>0</v>
      </c>
      <c r="R53" s="10">
        <v>2486.8200000000002</v>
      </c>
      <c r="S53" s="11">
        <v>46275</v>
      </c>
      <c r="T53" s="10">
        <v>2468.1</v>
      </c>
      <c r="U53" s="9">
        <v>1</v>
      </c>
      <c r="V53" s="11">
        <v>46262</v>
      </c>
      <c r="W53" s="9">
        <v>260326210686920</v>
      </c>
      <c r="X53" s="9" t="s">
        <v>2559</v>
      </c>
      <c r="Y53" s="9" t="s">
        <v>2560</v>
      </c>
      <c r="Z53" s="9" t="s">
        <v>2652</v>
      </c>
      <c r="AA53" s="9" t="s">
        <v>2653</v>
      </c>
      <c r="AB53" s="9" t="s">
        <v>2570</v>
      </c>
      <c r="AC53" s="11">
        <v>46272</v>
      </c>
      <c r="AD53" s="9">
        <v>947</v>
      </c>
      <c r="AE53" s="9" t="s">
        <v>2570</v>
      </c>
      <c r="AF53" s="9">
        <v>10</v>
      </c>
      <c r="AG53" s="9" t="s">
        <v>2563</v>
      </c>
      <c r="AH53" s="9">
        <v>8400</v>
      </c>
      <c r="AJ53" s="9" t="s">
        <v>2654</v>
      </c>
      <c r="AK53" s="11">
        <v>46274</v>
      </c>
      <c r="AL53" s="9">
        <v>2609410</v>
      </c>
      <c r="AM53" s="11">
        <v>46251</v>
      </c>
      <c r="AP53" s="11">
        <v>46252</v>
      </c>
      <c r="AQ53" s="9" t="s">
        <v>2564</v>
      </c>
      <c r="AR53" s="9">
        <v>4</v>
      </c>
      <c r="AS53" s="9" t="s">
        <v>2565</v>
      </c>
      <c r="AT53" s="9">
        <v>6</v>
      </c>
      <c r="AU53" s="9" t="s">
        <v>2566</v>
      </c>
      <c r="AV53" s="9" t="s">
        <v>262</v>
      </c>
      <c r="AW53" s="9" t="s">
        <v>2655</v>
      </c>
      <c r="AX53" s="9">
        <v>2609410</v>
      </c>
      <c r="AY53" s="11">
        <v>46262</v>
      </c>
      <c r="AZ53" s="9">
        <v>306</v>
      </c>
      <c r="BA53" s="9">
        <v>341997</v>
      </c>
      <c r="BB53" s="11">
        <v>46255</v>
      </c>
      <c r="BC53" s="9">
        <v>1680</v>
      </c>
      <c r="BD53" s="9">
        <v>1</v>
      </c>
    </row>
    <row r="54" spans="1:56" ht="30" x14ac:dyDescent="0.25">
      <c r="A54" s="9" t="s">
        <v>2644</v>
      </c>
      <c r="B54" s="9">
        <v>947</v>
      </c>
      <c r="C54" s="9" t="s">
        <v>2645</v>
      </c>
      <c r="D54" s="9">
        <v>1478</v>
      </c>
      <c r="E54" s="9">
        <v>2026</v>
      </c>
      <c r="F54" s="9" t="s">
        <v>2656</v>
      </c>
      <c r="G54" s="9">
        <v>62071100</v>
      </c>
      <c r="H54" s="9">
        <v>2020</v>
      </c>
      <c r="I54" s="9">
        <v>1</v>
      </c>
      <c r="J54" s="9" t="s">
        <v>2558</v>
      </c>
      <c r="K54" s="9">
        <v>0</v>
      </c>
      <c r="L54" s="9">
        <v>825</v>
      </c>
      <c r="M54" s="9">
        <v>825</v>
      </c>
      <c r="N54" s="9">
        <v>0</v>
      </c>
      <c r="O54" s="9">
        <v>0</v>
      </c>
      <c r="P54" s="9">
        <v>0</v>
      </c>
      <c r="R54" s="9">
        <v>825</v>
      </c>
      <c r="S54" s="11">
        <v>46294</v>
      </c>
      <c r="T54" s="9">
        <v>824.87</v>
      </c>
      <c r="U54" s="9">
        <v>1</v>
      </c>
      <c r="V54" s="11">
        <v>46262</v>
      </c>
      <c r="W54" s="9">
        <v>260326210686920</v>
      </c>
      <c r="X54" s="9" t="s">
        <v>2559</v>
      </c>
      <c r="Y54" s="9" t="s">
        <v>2560</v>
      </c>
      <c r="Z54" s="9" t="s">
        <v>2657</v>
      </c>
      <c r="AA54" s="12" t="s">
        <v>2658</v>
      </c>
      <c r="AB54" s="9" t="s">
        <v>2570</v>
      </c>
      <c r="AC54" s="11">
        <v>46294</v>
      </c>
      <c r="AD54" s="9">
        <v>947</v>
      </c>
      <c r="AE54" s="9" t="s">
        <v>2570</v>
      </c>
      <c r="AF54" s="9">
        <v>10</v>
      </c>
      <c r="AG54" s="9" t="s">
        <v>2563</v>
      </c>
      <c r="AH54" s="9">
        <v>750</v>
      </c>
      <c r="AJ54" s="9">
        <v>591</v>
      </c>
      <c r="AK54" s="11">
        <v>46294</v>
      </c>
      <c r="AL54" s="9">
        <v>2609411</v>
      </c>
      <c r="AM54" s="11">
        <v>46251</v>
      </c>
      <c r="AP54" s="11">
        <v>46252</v>
      </c>
      <c r="AQ54" s="9" t="s">
        <v>2564</v>
      </c>
      <c r="AR54" s="9">
        <v>4</v>
      </c>
      <c r="AS54" s="9" t="s">
        <v>2565</v>
      </c>
      <c r="AT54" s="9">
        <v>6</v>
      </c>
      <c r="AU54" s="9" t="s">
        <v>2566</v>
      </c>
      <c r="AV54" s="9" t="s">
        <v>262</v>
      </c>
      <c r="AW54" s="9" t="s">
        <v>2659</v>
      </c>
      <c r="AX54" s="9">
        <v>2609411</v>
      </c>
      <c r="AY54" s="11">
        <v>46262</v>
      </c>
      <c r="AZ54" s="9">
        <v>306</v>
      </c>
      <c r="BA54" s="9">
        <v>342183</v>
      </c>
      <c r="BB54" s="11">
        <v>46255</v>
      </c>
      <c r="BC54" s="9">
        <v>1680</v>
      </c>
      <c r="BD54" s="9">
        <v>1</v>
      </c>
    </row>
    <row r="55" spans="1:56" ht="45" x14ac:dyDescent="0.25">
      <c r="A55" s="9" t="s">
        <v>2644</v>
      </c>
      <c r="B55" s="9">
        <v>947</v>
      </c>
      <c r="C55" s="9" t="s">
        <v>2645</v>
      </c>
      <c r="D55" s="9">
        <v>1479</v>
      </c>
      <c r="E55" s="9">
        <v>2026</v>
      </c>
      <c r="F55" s="9" t="s">
        <v>2660</v>
      </c>
      <c r="G55" s="9">
        <v>62052000</v>
      </c>
      <c r="H55" s="9">
        <v>2000</v>
      </c>
      <c r="I55" s="9">
        <v>1</v>
      </c>
      <c r="J55" s="9" t="s">
        <v>2558</v>
      </c>
      <c r="K55" s="9">
        <v>0</v>
      </c>
      <c r="L55" s="10">
        <v>32804.53</v>
      </c>
      <c r="M55" s="10">
        <v>32804.53</v>
      </c>
      <c r="N55" s="9">
        <v>0</v>
      </c>
      <c r="O55" s="9">
        <v>0</v>
      </c>
      <c r="P55" s="9">
        <v>0</v>
      </c>
      <c r="R55" s="10">
        <v>32804.53</v>
      </c>
      <c r="U55" s="9">
        <v>1</v>
      </c>
      <c r="W55" s="9">
        <v>260326210686920</v>
      </c>
      <c r="X55" s="9" t="s">
        <v>2559</v>
      </c>
      <c r="Y55" s="9" t="s">
        <v>2560</v>
      </c>
      <c r="Z55" s="9" t="s">
        <v>2661</v>
      </c>
      <c r="AA55" s="12" t="s">
        <v>2662</v>
      </c>
      <c r="AF55" s="9">
        <v>10</v>
      </c>
      <c r="AG55" s="9" t="s">
        <v>2563</v>
      </c>
      <c r="AH55" s="9">
        <v>11383</v>
      </c>
      <c r="AP55" s="11">
        <v>46252</v>
      </c>
      <c r="AQ55" s="9" t="s">
        <v>2564</v>
      </c>
      <c r="AR55" s="9">
        <v>4</v>
      </c>
      <c r="AS55" s="9" t="s">
        <v>2565</v>
      </c>
      <c r="AU55" s="9" t="s">
        <v>2566</v>
      </c>
      <c r="AV55" s="9" t="s">
        <v>124</v>
      </c>
      <c r="AX55" s="9">
        <v>2609425</v>
      </c>
      <c r="AZ55" s="9">
        <v>306</v>
      </c>
      <c r="BA55" s="9">
        <v>331327</v>
      </c>
      <c r="BB55" s="11">
        <v>46252</v>
      </c>
      <c r="BC55" s="9">
        <v>1680</v>
      </c>
    </row>
    <row r="56" spans="1:56" ht="45" x14ac:dyDescent="0.25">
      <c r="A56" s="9" t="s">
        <v>2644</v>
      </c>
      <c r="B56" s="9">
        <v>947</v>
      </c>
      <c r="C56" s="9" t="s">
        <v>2645</v>
      </c>
      <c r="D56" s="9">
        <v>1480</v>
      </c>
      <c r="E56" s="9">
        <v>2026</v>
      </c>
      <c r="F56" s="9" t="s">
        <v>2663</v>
      </c>
      <c r="G56" s="9">
        <v>62052000</v>
      </c>
      <c r="H56" s="9">
        <v>2000</v>
      </c>
      <c r="I56" s="9">
        <v>1</v>
      </c>
      <c r="J56" s="9" t="s">
        <v>2558</v>
      </c>
      <c r="K56" s="9">
        <v>0</v>
      </c>
      <c r="L56" s="10">
        <v>13761.85</v>
      </c>
      <c r="M56" s="10">
        <v>13761.85</v>
      </c>
      <c r="N56" s="9">
        <v>0</v>
      </c>
      <c r="O56" s="9">
        <v>0</v>
      </c>
      <c r="P56" s="9">
        <v>0</v>
      </c>
      <c r="R56" s="10">
        <v>13761.85</v>
      </c>
      <c r="U56" s="9">
        <v>1</v>
      </c>
      <c r="W56" s="9">
        <v>260326210686920</v>
      </c>
      <c r="X56" s="9" t="s">
        <v>2559</v>
      </c>
      <c r="Y56" s="9" t="s">
        <v>2560</v>
      </c>
      <c r="Z56" s="9" t="s">
        <v>2661</v>
      </c>
      <c r="AA56" s="12" t="s">
        <v>2662</v>
      </c>
      <c r="AF56" s="9">
        <v>10</v>
      </c>
      <c r="AG56" s="9" t="s">
        <v>2563</v>
      </c>
      <c r="AH56" s="9">
        <v>3007</v>
      </c>
      <c r="AP56" s="11">
        <v>46252</v>
      </c>
      <c r="AQ56" s="9" t="s">
        <v>2564</v>
      </c>
      <c r="AR56" s="9">
        <v>4</v>
      </c>
      <c r="AS56" s="9" t="s">
        <v>2565</v>
      </c>
      <c r="AU56" s="9" t="s">
        <v>2566</v>
      </c>
      <c r="AV56" s="9" t="s">
        <v>124</v>
      </c>
      <c r="AX56" s="9">
        <v>2609426</v>
      </c>
      <c r="AZ56" s="9">
        <v>306</v>
      </c>
      <c r="BA56" s="9">
        <v>331334</v>
      </c>
      <c r="BB56" s="11">
        <v>46252</v>
      </c>
      <c r="BC56" s="9">
        <v>1680</v>
      </c>
    </row>
    <row r="57" spans="1:56" x14ac:dyDescent="0.25">
      <c r="A57" s="9" t="s">
        <v>2644</v>
      </c>
      <c r="B57" s="9">
        <v>947</v>
      </c>
      <c r="C57" s="9" t="s">
        <v>2645</v>
      </c>
      <c r="D57" s="9">
        <v>1537</v>
      </c>
      <c r="E57" s="9">
        <v>2026</v>
      </c>
      <c r="F57" s="9" t="s">
        <v>2664</v>
      </c>
      <c r="G57" s="9">
        <v>62063000</v>
      </c>
      <c r="H57" s="9">
        <v>2000</v>
      </c>
      <c r="I57" s="9">
        <v>1</v>
      </c>
      <c r="J57" s="9" t="s">
        <v>2558</v>
      </c>
      <c r="K57" s="9">
        <v>1</v>
      </c>
      <c r="L57" s="9">
        <v>1</v>
      </c>
      <c r="M57" s="9">
        <v>1</v>
      </c>
      <c r="N57" s="9">
        <v>0</v>
      </c>
      <c r="O57" s="9">
        <v>0</v>
      </c>
      <c r="P57" s="9">
        <v>0</v>
      </c>
      <c r="U57" s="9">
        <v>1</v>
      </c>
      <c r="W57" s="9">
        <v>260326210686920</v>
      </c>
      <c r="X57" s="9" t="s">
        <v>2559</v>
      </c>
      <c r="Y57" s="9" t="s">
        <v>2560</v>
      </c>
      <c r="Z57" s="9" t="s">
        <v>2665</v>
      </c>
      <c r="AA57" s="9" t="s">
        <v>2666</v>
      </c>
      <c r="AF57" s="9">
        <v>10</v>
      </c>
      <c r="AG57" s="9" t="s">
        <v>2563</v>
      </c>
      <c r="AH57" s="9">
        <v>600</v>
      </c>
      <c r="AO57" s="9" t="s">
        <v>2577</v>
      </c>
      <c r="AP57" s="11">
        <v>46257</v>
      </c>
      <c r="AQ57" s="9" t="s">
        <v>2564</v>
      </c>
      <c r="AR57" s="9">
        <v>4</v>
      </c>
      <c r="AU57" s="9" t="s">
        <v>2566</v>
      </c>
      <c r="BC57" s="9">
        <v>1680</v>
      </c>
    </row>
    <row r="58" spans="1:56" ht="30" x14ac:dyDescent="0.25">
      <c r="A58" s="9" t="s">
        <v>2644</v>
      </c>
      <c r="B58" s="9">
        <v>947</v>
      </c>
      <c r="C58" s="9" t="s">
        <v>2645</v>
      </c>
      <c r="D58" s="9">
        <v>1729</v>
      </c>
      <c r="E58" s="9">
        <v>2026</v>
      </c>
      <c r="F58" s="9" t="s">
        <v>1365</v>
      </c>
      <c r="G58" s="9">
        <v>62071100</v>
      </c>
      <c r="H58" s="9">
        <v>2020</v>
      </c>
      <c r="I58" s="9">
        <v>1</v>
      </c>
      <c r="J58" s="9" t="s">
        <v>2558</v>
      </c>
      <c r="K58" s="9">
        <v>0</v>
      </c>
      <c r="L58" s="10">
        <v>7128</v>
      </c>
      <c r="M58" s="10">
        <v>7128</v>
      </c>
      <c r="N58" s="9">
        <v>0</v>
      </c>
      <c r="O58" s="9">
        <v>0</v>
      </c>
      <c r="P58" s="9">
        <v>0</v>
      </c>
      <c r="R58" s="10">
        <v>7128</v>
      </c>
      <c r="U58" s="9">
        <v>1</v>
      </c>
      <c r="W58" s="9">
        <v>260326210686920</v>
      </c>
      <c r="X58" s="9" t="s">
        <v>2559</v>
      </c>
      <c r="Y58" s="9" t="s">
        <v>2560</v>
      </c>
      <c r="Z58" s="9" t="s">
        <v>2657</v>
      </c>
      <c r="AA58" s="12" t="s">
        <v>2658</v>
      </c>
      <c r="AF58" s="9">
        <v>10</v>
      </c>
      <c r="AG58" s="9" t="s">
        <v>2563</v>
      </c>
      <c r="AH58" s="9">
        <v>6480</v>
      </c>
      <c r="AO58" s="9" t="s">
        <v>2577</v>
      </c>
      <c r="AP58" s="11">
        <v>46280</v>
      </c>
      <c r="AQ58" s="9" t="s">
        <v>2564</v>
      </c>
      <c r="AR58" s="9">
        <v>4</v>
      </c>
      <c r="AS58" s="9" t="s">
        <v>2565</v>
      </c>
      <c r="AU58" s="9" t="s">
        <v>2566</v>
      </c>
      <c r="AV58" s="9" t="s">
        <v>252</v>
      </c>
      <c r="AX58" s="9">
        <v>2610402</v>
      </c>
      <c r="AZ58" s="9">
        <v>306</v>
      </c>
      <c r="BA58" s="9">
        <v>459976</v>
      </c>
      <c r="BB58" s="11">
        <v>46282</v>
      </c>
      <c r="BC58" s="9">
        <v>1680</v>
      </c>
    </row>
    <row r="59" spans="1:56" x14ac:dyDescent="0.25">
      <c r="A59" s="9" t="s">
        <v>2644</v>
      </c>
      <c r="B59" s="9">
        <v>947</v>
      </c>
      <c r="C59" s="9" t="s">
        <v>2645</v>
      </c>
      <c r="D59" s="9">
        <v>1730</v>
      </c>
      <c r="E59" s="9">
        <v>2026</v>
      </c>
      <c r="F59" s="9" t="s">
        <v>2667</v>
      </c>
      <c r="G59" s="9">
        <v>62052000</v>
      </c>
      <c r="H59" s="9">
        <v>2000</v>
      </c>
      <c r="I59" s="9">
        <v>1</v>
      </c>
      <c r="J59" s="9" t="s">
        <v>2558</v>
      </c>
      <c r="K59" s="9">
        <v>0</v>
      </c>
      <c r="L59" s="10">
        <v>10680.72</v>
      </c>
      <c r="M59" s="10">
        <v>10680.72</v>
      </c>
      <c r="N59" s="9">
        <v>0</v>
      </c>
      <c r="O59" s="9">
        <v>0</v>
      </c>
      <c r="P59" s="9">
        <v>0</v>
      </c>
      <c r="U59" s="9">
        <v>1</v>
      </c>
      <c r="W59" s="9">
        <v>260326210686920</v>
      </c>
      <c r="X59" s="9" t="s">
        <v>2559</v>
      </c>
      <c r="Y59" s="9" t="s">
        <v>2560</v>
      </c>
      <c r="Z59" s="9" t="s">
        <v>2652</v>
      </c>
      <c r="AA59" s="9" t="s">
        <v>2653</v>
      </c>
      <c r="AF59" s="9">
        <v>10</v>
      </c>
      <c r="AG59" s="9" t="s">
        <v>2563</v>
      </c>
      <c r="AH59" s="9">
        <v>14400</v>
      </c>
      <c r="AP59" s="11">
        <v>46280</v>
      </c>
      <c r="AQ59" s="9" t="s">
        <v>2564</v>
      </c>
      <c r="AR59" s="9">
        <v>4</v>
      </c>
      <c r="AS59" s="9" t="s">
        <v>2565</v>
      </c>
      <c r="AU59" s="9" t="s">
        <v>2566</v>
      </c>
      <c r="AV59" s="9" t="s">
        <v>258</v>
      </c>
      <c r="AX59" s="9">
        <v>2610405</v>
      </c>
      <c r="BC59" s="9">
        <v>1680</v>
      </c>
    </row>
    <row r="60" spans="1:56" ht="45" x14ac:dyDescent="0.25">
      <c r="A60" s="9" t="s">
        <v>2644</v>
      </c>
      <c r="B60" s="9">
        <v>947</v>
      </c>
      <c r="C60" s="9" t="s">
        <v>2645</v>
      </c>
      <c r="D60" s="9">
        <v>1731</v>
      </c>
      <c r="E60" s="9">
        <v>2026</v>
      </c>
      <c r="F60" s="9" t="s">
        <v>1374</v>
      </c>
      <c r="G60" s="9">
        <v>61083100</v>
      </c>
      <c r="H60" s="9">
        <v>2000</v>
      </c>
      <c r="I60" s="9">
        <v>1</v>
      </c>
      <c r="J60" s="9" t="s">
        <v>2558</v>
      </c>
      <c r="K60" s="9">
        <v>0</v>
      </c>
      <c r="L60" s="10">
        <v>2750</v>
      </c>
      <c r="M60" s="10">
        <v>2750</v>
      </c>
      <c r="N60" s="9">
        <v>0</v>
      </c>
      <c r="O60" s="9">
        <v>0</v>
      </c>
      <c r="P60" s="9">
        <v>0</v>
      </c>
      <c r="R60" s="10">
        <v>2750</v>
      </c>
      <c r="U60" s="9">
        <v>1</v>
      </c>
      <c r="V60" s="11">
        <v>46283</v>
      </c>
      <c r="W60" s="9">
        <v>260326210686920</v>
      </c>
      <c r="X60" s="9" t="s">
        <v>2559</v>
      </c>
      <c r="Y60" s="9" t="s">
        <v>2560</v>
      </c>
      <c r="Z60" s="9" t="s">
        <v>2661</v>
      </c>
      <c r="AA60" s="12" t="s">
        <v>2668</v>
      </c>
      <c r="AB60" s="9" t="s">
        <v>2570</v>
      </c>
      <c r="AC60" s="11">
        <v>46287</v>
      </c>
      <c r="AD60" s="9">
        <v>947</v>
      </c>
      <c r="AF60" s="9">
        <v>10</v>
      </c>
      <c r="AG60" s="9" t="s">
        <v>2563</v>
      </c>
      <c r="AH60" s="9">
        <v>1000</v>
      </c>
      <c r="AL60" s="9">
        <v>2610406</v>
      </c>
      <c r="AM60" s="11">
        <v>46279</v>
      </c>
      <c r="AO60" s="9" t="s">
        <v>2577</v>
      </c>
      <c r="AP60" s="11">
        <v>46280</v>
      </c>
      <c r="AQ60" s="9" t="s">
        <v>2564</v>
      </c>
      <c r="AR60" s="9">
        <v>4</v>
      </c>
      <c r="AS60" s="9" t="s">
        <v>2669</v>
      </c>
      <c r="AT60" s="9">
        <v>1</v>
      </c>
      <c r="AU60" s="9" t="s">
        <v>2566</v>
      </c>
      <c r="AV60" s="9" t="s">
        <v>258</v>
      </c>
      <c r="AW60" s="9" t="s">
        <v>2670</v>
      </c>
      <c r="AX60" s="9">
        <v>2610406</v>
      </c>
      <c r="AY60" s="11">
        <v>46283</v>
      </c>
      <c r="AZ60" s="9">
        <v>306</v>
      </c>
      <c r="BA60" s="9">
        <v>455076</v>
      </c>
      <c r="BB60" s="11">
        <v>46280</v>
      </c>
      <c r="BC60" s="9">
        <v>1680</v>
      </c>
    </row>
    <row r="61" spans="1:56" ht="30" x14ac:dyDescent="0.25">
      <c r="A61" s="9" t="s">
        <v>2644</v>
      </c>
      <c r="B61" s="9">
        <v>947</v>
      </c>
      <c r="C61" s="9" t="s">
        <v>2645</v>
      </c>
      <c r="D61" s="9">
        <v>1541</v>
      </c>
      <c r="E61" s="9">
        <v>2026</v>
      </c>
      <c r="F61" s="9" t="s">
        <v>2671</v>
      </c>
      <c r="G61" s="9">
        <v>62063000</v>
      </c>
      <c r="H61" s="9">
        <v>2000</v>
      </c>
      <c r="I61" s="9">
        <v>1</v>
      </c>
      <c r="J61" s="9" t="s">
        <v>2558</v>
      </c>
      <c r="L61" s="10">
        <v>6240.07</v>
      </c>
      <c r="M61" s="10">
        <v>6240.07</v>
      </c>
      <c r="N61" s="9">
        <v>0</v>
      </c>
      <c r="O61" s="9">
        <v>0</v>
      </c>
      <c r="P61" s="9">
        <v>0</v>
      </c>
      <c r="R61" s="10">
        <v>6240.07</v>
      </c>
      <c r="U61" s="9">
        <v>1</v>
      </c>
      <c r="W61" s="9">
        <v>260326210686920</v>
      </c>
      <c r="X61" s="9" t="s">
        <v>2559</v>
      </c>
      <c r="Y61" s="9" t="s">
        <v>2560</v>
      </c>
      <c r="Z61" s="9" t="s">
        <v>2661</v>
      </c>
      <c r="AA61" s="12" t="s">
        <v>2672</v>
      </c>
      <c r="AF61" s="9">
        <v>10</v>
      </c>
      <c r="AG61" s="9" t="s">
        <v>2563</v>
      </c>
      <c r="AH61" s="9">
        <v>2678</v>
      </c>
      <c r="AO61" s="9" t="s">
        <v>2577</v>
      </c>
      <c r="AP61" s="11">
        <v>46258</v>
      </c>
      <c r="AQ61" s="9" t="s">
        <v>2564</v>
      </c>
      <c r="AR61" s="9">
        <v>4</v>
      </c>
      <c r="AU61" s="9" t="s">
        <v>2566</v>
      </c>
      <c r="AZ61" s="9">
        <v>306</v>
      </c>
      <c r="BA61" s="9">
        <v>359533</v>
      </c>
      <c r="BB61" s="11">
        <v>46258</v>
      </c>
      <c r="BC61" s="9">
        <v>1680</v>
      </c>
    </row>
    <row r="62" spans="1:56" ht="30" x14ac:dyDescent="0.25">
      <c r="A62" s="9" t="s">
        <v>2644</v>
      </c>
      <c r="B62" s="9">
        <v>947</v>
      </c>
      <c r="C62" s="9" t="s">
        <v>2645</v>
      </c>
      <c r="D62" s="9">
        <v>1441</v>
      </c>
      <c r="E62" s="9">
        <v>2026</v>
      </c>
      <c r="F62" s="9" t="s">
        <v>2673</v>
      </c>
      <c r="G62" s="9">
        <v>62052000</v>
      </c>
      <c r="H62" s="9">
        <v>102</v>
      </c>
      <c r="I62" s="9">
        <v>1</v>
      </c>
      <c r="J62" s="9" t="s">
        <v>2558</v>
      </c>
      <c r="K62" s="10">
        <v>3321.45</v>
      </c>
      <c r="L62" s="10">
        <v>9183.9</v>
      </c>
      <c r="M62" s="10">
        <v>9183.9</v>
      </c>
      <c r="N62" s="9">
        <v>0</v>
      </c>
      <c r="O62" s="9">
        <v>0</v>
      </c>
      <c r="P62" s="9">
        <v>0</v>
      </c>
      <c r="Q62" s="9">
        <v>3321.45</v>
      </c>
      <c r="R62" s="10">
        <v>3321.45</v>
      </c>
      <c r="S62" s="11">
        <v>46287</v>
      </c>
      <c r="T62" s="10">
        <v>3286.6</v>
      </c>
      <c r="U62" s="9">
        <v>1</v>
      </c>
      <c r="V62" s="11">
        <v>46261</v>
      </c>
      <c r="W62" s="9">
        <v>260326210686920</v>
      </c>
      <c r="X62" s="9" t="s">
        <v>2559</v>
      </c>
      <c r="Y62" s="9" t="s">
        <v>2560</v>
      </c>
      <c r="Z62" s="9" t="s">
        <v>2674</v>
      </c>
      <c r="AA62" s="12" t="s">
        <v>2675</v>
      </c>
      <c r="AB62" s="9" t="s">
        <v>2570</v>
      </c>
      <c r="AC62" s="11">
        <v>46284</v>
      </c>
      <c r="AD62" s="9">
        <v>947</v>
      </c>
      <c r="AE62" s="9" t="s">
        <v>2570</v>
      </c>
      <c r="AF62" s="9">
        <v>10</v>
      </c>
      <c r="AG62" s="9" t="s">
        <v>2563</v>
      </c>
      <c r="AH62" s="9">
        <v>1815</v>
      </c>
      <c r="AJ62" s="9" t="s">
        <v>2676</v>
      </c>
      <c r="AK62" s="11">
        <v>46285</v>
      </c>
      <c r="AL62" s="9">
        <v>2609146</v>
      </c>
      <c r="AM62" s="11">
        <v>46245</v>
      </c>
      <c r="AO62" s="9" t="s">
        <v>2577</v>
      </c>
      <c r="AP62" s="11">
        <v>46245</v>
      </c>
      <c r="AQ62" s="9" t="s">
        <v>2564</v>
      </c>
      <c r="AR62" s="9">
        <v>4</v>
      </c>
      <c r="AT62" s="9">
        <v>1</v>
      </c>
      <c r="AU62" s="9" t="s">
        <v>2566</v>
      </c>
      <c r="AW62" s="9" t="s">
        <v>2677</v>
      </c>
      <c r="AY62" s="11">
        <v>46261</v>
      </c>
      <c r="AZ62" s="9">
        <v>306</v>
      </c>
      <c r="BA62" s="9">
        <v>314526</v>
      </c>
      <c r="BB62" s="11">
        <v>46249</v>
      </c>
      <c r="BC62" s="9">
        <v>1680</v>
      </c>
      <c r="BD62" s="9">
        <v>1</v>
      </c>
    </row>
    <row r="63" spans="1:56" x14ac:dyDescent="0.25">
      <c r="A63" s="9" t="s">
        <v>2644</v>
      </c>
      <c r="B63" s="9">
        <v>947</v>
      </c>
      <c r="C63" s="9" t="s">
        <v>2645</v>
      </c>
      <c r="D63" s="9">
        <v>1386</v>
      </c>
      <c r="E63" s="9">
        <v>2026</v>
      </c>
      <c r="F63" s="9" t="s">
        <v>2678</v>
      </c>
      <c r="G63" s="9">
        <v>62071100</v>
      </c>
      <c r="H63" s="9">
        <v>2020</v>
      </c>
      <c r="I63" s="9">
        <v>1</v>
      </c>
      <c r="J63" s="9" t="s">
        <v>2558</v>
      </c>
      <c r="K63" s="9">
        <v>0</v>
      </c>
      <c r="L63" s="10">
        <v>2368.4</v>
      </c>
      <c r="M63" s="10">
        <v>2368.4</v>
      </c>
      <c r="N63" s="9">
        <v>0</v>
      </c>
      <c r="O63" s="9">
        <v>0</v>
      </c>
      <c r="P63" s="9">
        <v>0</v>
      </c>
      <c r="R63" s="10">
        <v>2368.4</v>
      </c>
      <c r="S63" s="11">
        <v>46275</v>
      </c>
      <c r="T63" s="10">
        <v>2350.5700000000002</v>
      </c>
      <c r="U63" s="9">
        <v>8</v>
      </c>
      <c r="V63" s="11">
        <v>46253</v>
      </c>
      <c r="W63" s="9">
        <v>260326210686920</v>
      </c>
      <c r="X63" s="9" t="s">
        <v>2559</v>
      </c>
      <c r="Y63" s="9" t="s">
        <v>2560</v>
      </c>
      <c r="Z63" s="9" t="s">
        <v>2652</v>
      </c>
      <c r="AA63" s="9" t="s">
        <v>2653</v>
      </c>
      <c r="AB63" s="9" t="s">
        <v>2570</v>
      </c>
      <c r="AC63" s="11">
        <v>46272</v>
      </c>
      <c r="AD63" s="9">
        <v>947</v>
      </c>
      <c r="AE63" s="9" t="s">
        <v>2570</v>
      </c>
      <c r="AF63" s="9">
        <v>10</v>
      </c>
      <c r="AG63" s="9" t="s">
        <v>2563</v>
      </c>
      <c r="AH63" s="9">
        <v>8000</v>
      </c>
      <c r="AJ63" s="9" t="s">
        <v>2654</v>
      </c>
      <c r="AK63" s="11">
        <v>46274</v>
      </c>
      <c r="AL63" s="9">
        <v>2608858</v>
      </c>
      <c r="AM63" s="11">
        <v>46236</v>
      </c>
      <c r="AO63" s="9" t="s">
        <v>2577</v>
      </c>
      <c r="AP63" s="11">
        <v>46237</v>
      </c>
      <c r="AQ63" s="9" t="s">
        <v>2564</v>
      </c>
      <c r="AR63" s="9">
        <v>4</v>
      </c>
      <c r="AS63" s="9" t="s">
        <v>2565</v>
      </c>
      <c r="AT63" s="9">
        <v>7</v>
      </c>
      <c r="AU63" s="9" t="s">
        <v>2566</v>
      </c>
      <c r="AV63" s="9" t="s">
        <v>262</v>
      </c>
      <c r="AW63" s="9" t="s">
        <v>2679</v>
      </c>
      <c r="AX63" s="9">
        <v>2608858</v>
      </c>
      <c r="AY63" s="11">
        <v>46253</v>
      </c>
      <c r="AZ63" s="9">
        <v>101</v>
      </c>
      <c r="BA63" s="9">
        <v>844183</v>
      </c>
      <c r="BB63" s="11">
        <v>46252</v>
      </c>
      <c r="BC63" s="9">
        <v>1680</v>
      </c>
      <c r="BD63" s="9">
        <v>1</v>
      </c>
    </row>
    <row r="64" spans="1:56" x14ac:dyDescent="0.25">
      <c r="A64" s="9" t="s">
        <v>2644</v>
      </c>
      <c r="B64" s="9">
        <v>947</v>
      </c>
      <c r="C64" s="9" t="s">
        <v>2645</v>
      </c>
      <c r="D64" s="9">
        <v>1387</v>
      </c>
      <c r="E64" s="9">
        <v>2026</v>
      </c>
      <c r="F64" s="9" t="s">
        <v>2680</v>
      </c>
      <c r="G64" s="9">
        <v>62071100</v>
      </c>
      <c r="H64" s="9">
        <v>2020</v>
      </c>
      <c r="I64" s="9">
        <v>1</v>
      </c>
      <c r="J64" s="9" t="s">
        <v>2558</v>
      </c>
      <c r="K64" s="9">
        <v>0</v>
      </c>
      <c r="L64" s="10">
        <v>2131.56</v>
      </c>
      <c r="M64" s="10">
        <v>2131.56</v>
      </c>
      <c r="N64" s="9">
        <v>0</v>
      </c>
      <c r="O64" s="9">
        <v>0</v>
      </c>
      <c r="P64" s="9">
        <v>0</v>
      </c>
      <c r="R64" s="10">
        <v>2131.56</v>
      </c>
      <c r="S64" s="11">
        <v>46275</v>
      </c>
      <c r="T64" s="10">
        <v>2115.5100000000002</v>
      </c>
      <c r="U64" s="9">
        <v>8</v>
      </c>
      <c r="V64" s="11">
        <v>46253</v>
      </c>
      <c r="W64" s="9">
        <v>260326210686920</v>
      </c>
      <c r="X64" s="9" t="s">
        <v>2559</v>
      </c>
      <c r="Y64" s="9" t="s">
        <v>2560</v>
      </c>
      <c r="Z64" s="9" t="s">
        <v>2652</v>
      </c>
      <c r="AA64" s="9" t="s">
        <v>2653</v>
      </c>
      <c r="AB64" s="9" t="s">
        <v>2570</v>
      </c>
      <c r="AC64" s="11">
        <v>46272</v>
      </c>
      <c r="AD64" s="9">
        <v>947</v>
      </c>
      <c r="AE64" s="9" t="s">
        <v>2570</v>
      </c>
      <c r="AF64" s="9">
        <v>10</v>
      </c>
      <c r="AG64" s="9" t="s">
        <v>2563</v>
      </c>
      <c r="AH64" s="9">
        <v>7200</v>
      </c>
      <c r="AJ64" s="9" t="s">
        <v>2654</v>
      </c>
      <c r="AK64" s="11">
        <v>46274</v>
      </c>
      <c r="AL64" s="9">
        <v>2608859</v>
      </c>
      <c r="AM64" s="11">
        <v>46236</v>
      </c>
      <c r="AO64" s="9" t="s">
        <v>2577</v>
      </c>
      <c r="AP64" s="11">
        <v>46237</v>
      </c>
      <c r="AQ64" s="9" t="s">
        <v>2564</v>
      </c>
      <c r="AR64" s="9">
        <v>4</v>
      </c>
      <c r="AS64" s="9" t="s">
        <v>2565</v>
      </c>
      <c r="AT64" s="9">
        <v>7</v>
      </c>
      <c r="AU64" s="9" t="s">
        <v>2566</v>
      </c>
      <c r="AV64" s="9" t="s">
        <v>262</v>
      </c>
      <c r="AW64" s="9" t="s">
        <v>2681</v>
      </c>
      <c r="AX64" s="9">
        <v>2608859</v>
      </c>
      <c r="AY64" s="11">
        <v>46253</v>
      </c>
      <c r="AZ64" s="9">
        <v>101</v>
      </c>
      <c r="BA64" s="9">
        <v>843002</v>
      </c>
      <c r="BB64" s="11">
        <v>46252</v>
      </c>
      <c r="BC64" s="9">
        <v>1680</v>
      </c>
      <c r="BD64" s="9">
        <v>1</v>
      </c>
    </row>
    <row r="65" spans="1:56" ht="30" x14ac:dyDescent="0.25">
      <c r="A65" s="9" t="s">
        <v>2644</v>
      </c>
      <c r="B65" s="9">
        <v>947</v>
      </c>
      <c r="C65" s="9" t="s">
        <v>2645</v>
      </c>
      <c r="D65" s="9">
        <v>1588</v>
      </c>
      <c r="E65" s="9">
        <v>2026</v>
      </c>
      <c r="F65" s="9" t="s">
        <v>2682</v>
      </c>
      <c r="G65" s="9">
        <v>62052000</v>
      </c>
      <c r="H65" s="9">
        <v>2005</v>
      </c>
      <c r="I65" s="9">
        <v>1</v>
      </c>
      <c r="J65" s="9" t="s">
        <v>2558</v>
      </c>
      <c r="L65" s="10">
        <v>50962.94</v>
      </c>
      <c r="M65" s="10">
        <v>50962.94</v>
      </c>
      <c r="N65" s="9">
        <v>0</v>
      </c>
      <c r="O65" s="9">
        <v>0</v>
      </c>
      <c r="P65" s="9">
        <v>0</v>
      </c>
      <c r="R65" s="10">
        <v>50962.94</v>
      </c>
      <c r="U65" s="9">
        <v>1</v>
      </c>
      <c r="W65" s="9">
        <v>260326210686920</v>
      </c>
      <c r="X65" s="9" t="s">
        <v>2559</v>
      </c>
      <c r="Y65" s="9" t="s">
        <v>2560</v>
      </c>
      <c r="Z65" s="9" t="s">
        <v>2683</v>
      </c>
      <c r="AA65" s="12" t="s">
        <v>2684</v>
      </c>
      <c r="AF65" s="9">
        <v>10</v>
      </c>
      <c r="AG65" s="9" t="s">
        <v>2563</v>
      </c>
      <c r="AH65" s="9">
        <v>26434</v>
      </c>
      <c r="AO65" s="9" t="s">
        <v>2685</v>
      </c>
      <c r="AP65" s="11">
        <v>46261</v>
      </c>
      <c r="AQ65" s="9" t="s">
        <v>2564</v>
      </c>
      <c r="AR65" s="9">
        <v>4</v>
      </c>
      <c r="AU65" s="9" t="s">
        <v>2566</v>
      </c>
      <c r="AZ65" s="9">
        <v>306</v>
      </c>
      <c r="BA65" s="9">
        <v>389047</v>
      </c>
      <c r="BB65" s="11">
        <v>46265</v>
      </c>
      <c r="BC65" s="9">
        <v>1680</v>
      </c>
    </row>
    <row r="66" spans="1:56" ht="60" x14ac:dyDescent="0.25">
      <c r="A66" s="9" t="s">
        <v>2644</v>
      </c>
      <c r="B66" s="9">
        <v>947</v>
      </c>
      <c r="C66" s="9" t="s">
        <v>2645</v>
      </c>
      <c r="D66" s="9">
        <v>1589</v>
      </c>
      <c r="E66" s="9">
        <v>2026</v>
      </c>
      <c r="F66" s="9" t="s">
        <v>127</v>
      </c>
      <c r="G66" s="9">
        <v>62063000</v>
      </c>
      <c r="H66" s="9">
        <v>2000</v>
      </c>
      <c r="I66" s="9">
        <v>1</v>
      </c>
      <c r="J66" s="9" t="s">
        <v>2558</v>
      </c>
      <c r="K66" s="10">
        <v>6885</v>
      </c>
      <c r="L66" s="10">
        <v>30300</v>
      </c>
      <c r="M66" s="10">
        <v>30300</v>
      </c>
      <c r="N66" s="9">
        <v>0</v>
      </c>
      <c r="O66" s="9">
        <v>0</v>
      </c>
      <c r="P66" s="9">
        <v>0</v>
      </c>
      <c r="Q66" s="9">
        <v>6885</v>
      </c>
      <c r="R66" s="10">
        <v>6885</v>
      </c>
      <c r="U66" s="9">
        <v>1</v>
      </c>
      <c r="W66" s="9">
        <v>260326210686920</v>
      </c>
      <c r="X66" s="9" t="s">
        <v>2559</v>
      </c>
      <c r="Y66" s="9" t="s">
        <v>2560</v>
      </c>
      <c r="Z66" s="9" t="s">
        <v>2665</v>
      </c>
      <c r="AA66" s="12" t="s">
        <v>2686</v>
      </c>
      <c r="AF66" s="9">
        <v>10</v>
      </c>
      <c r="AG66" s="9" t="s">
        <v>2563</v>
      </c>
      <c r="AH66" s="9">
        <v>4300</v>
      </c>
      <c r="AO66" s="9" t="s">
        <v>2614</v>
      </c>
      <c r="AP66" s="11">
        <v>46261</v>
      </c>
      <c r="AQ66" s="9" t="s">
        <v>2564</v>
      </c>
      <c r="AR66" s="9">
        <v>4</v>
      </c>
      <c r="AU66" s="9" t="s">
        <v>2566</v>
      </c>
      <c r="AZ66" s="9">
        <v>306</v>
      </c>
      <c r="BA66" s="9">
        <v>411146</v>
      </c>
      <c r="BB66" s="11">
        <v>46270</v>
      </c>
      <c r="BC66" s="9">
        <v>1680</v>
      </c>
    </row>
    <row r="67" spans="1:56" x14ac:dyDescent="0.25">
      <c r="A67" s="9" t="s">
        <v>2644</v>
      </c>
      <c r="B67" s="9">
        <v>947</v>
      </c>
      <c r="C67" s="9" t="s">
        <v>2645</v>
      </c>
      <c r="D67" s="9">
        <v>1470</v>
      </c>
      <c r="E67" s="9">
        <v>2026</v>
      </c>
      <c r="F67" s="9" t="s">
        <v>2687</v>
      </c>
      <c r="G67" s="9">
        <v>62071100</v>
      </c>
      <c r="H67" s="9">
        <v>2020</v>
      </c>
      <c r="I67" s="9">
        <v>1</v>
      </c>
      <c r="J67" s="9" t="s">
        <v>2558</v>
      </c>
      <c r="L67" s="10">
        <v>10130.64</v>
      </c>
      <c r="M67" s="10">
        <v>10130.64</v>
      </c>
      <c r="N67" s="9">
        <v>0</v>
      </c>
      <c r="O67" s="9">
        <v>0</v>
      </c>
      <c r="P67" s="9">
        <v>0</v>
      </c>
      <c r="R67" s="10">
        <v>10130.64</v>
      </c>
      <c r="S67" s="11">
        <v>46275</v>
      </c>
      <c r="T67" s="10">
        <v>10054.379999999999</v>
      </c>
      <c r="U67" s="9">
        <v>1</v>
      </c>
      <c r="V67" s="11">
        <v>46256</v>
      </c>
      <c r="W67" s="9">
        <v>260326210686920</v>
      </c>
      <c r="X67" s="9" t="s">
        <v>2559</v>
      </c>
      <c r="Y67" s="9" t="s">
        <v>2560</v>
      </c>
      <c r="Z67" s="9" t="s">
        <v>2652</v>
      </c>
      <c r="AA67" s="9" t="s">
        <v>2653</v>
      </c>
      <c r="AB67" s="9" t="s">
        <v>2570</v>
      </c>
      <c r="AC67" s="11">
        <v>46272</v>
      </c>
      <c r="AD67" s="9">
        <v>947</v>
      </c>
      <c r="AE67" s="9" t="s">
        <v>2570</v>
      </c>
      <c r="AF67" s="9">
        <v>10</v>
      </c>
      <c r="AG67" s="9" t="s">
        <v>2563</v>
      </c>
      <c r="AH67" s="9">
        <v>20800</v>
      </c>
      <c r="AJ67" s="9" t="s">
        <v>2654</v>
      </c>
      <c r="AK67" s="11">
        <v>46274</v>
      </c>
      <c r="AL67" s="9">
        <v>2609281</v>
      </c>
      <c r="AM67" s="11">
        <v>46250</v>
      </c>
      <c r="AP67" s="11">
        <v>46250</v>
      </c>
      <c r="AQ67" s="9" t="s">
        <v>2564</v>
      </c>
      <c r="AR67" s="9">
        <v>4</v>
      </c>
      <c r="AT67" s="9">
        <v>6</v>
      </c>
      <c r="AU67" s="9" t="s">
        <v>2566</v>
      </c>
      <c r="AW67" s="9" t="s">
        <v>2688</v>
      </c>
      <c r="AY67" s="11">
        <v>46256</v>
      </c>
      <c r="AZ67" s="9">
        <v>306</v>
      </c>
      <c r="BA67" s="9">
        <v>335187</v>
      </c>
      <c r="BB67" s="11">
        <v>46254</v>
      </c>
      <c r="BC67" s="9">
        <v>1680</v>
      </c>
      <c r="BD67" s="9">
        <v>1</v>
      </c>
    </row>
    <row r="68" spans="1:56" x14ac:dyDescent="0.25">
      <c r="A68" s="9" t="s">
        <v>2644</v>
      </c>
      <c r="B68" s="9">
        <v>947</v>
      </c>
      <c r="C68" s="9" t="s">
        <v>2645</v>
      </c>
      <c r="D68" s="9">
        <v>1548</v>
      </c>
      <c r="E68" s="9">
        <v>2026</v>
      </c>
      <c r="F68" s="9" t="s">
        <v>2689</v>
      </c>
      <c r="G68" s="9">
        <v>62052000</v>
      </c>
      <c r="H68" s="9">
        <v>2016</v>
      </c>
      <c r="I68" s="9">
        <v>1</v>
      </c>
      <c r="J68" s="9" t="s">
        <v>2558</v>
      </c>
      <c r="K68" s="9">
        <v>0</v>
      </c>
      <c r="L68" s="10">
        <v>9741</v>
      </c>
      <c r="M68" s="10">
        <v>9741</v>
      </c>
      <c r="N68" s="9">
        <v>0</v>
      </c>
      <c r="O68" s="9">
        <v>0</v>
      </c>
      <c r="P68" s="9">
        <v>0</v>
      </c>
      <c r="R68" s="10">
        <v>9741</v>
      </c>
      <c r="S68" s="11">
        <v>46286</v>
      </c>
      <c r="T68" s="10">
        <v>9666.3799999999992</v>
      </c>
      <c r="U68" s="9">
        <v>1</v>
      </c>
      <c r="V68" s="11">
        <v>46269</v>
      </c>
      <c r="W68" s="9">
        <v>260326210686920</v>
      </c>
      <c r="X68" s="9" t="s">
        <v>2559</v>
      </c>
      <c r="Y68" s="9" t="s">
        <v>2560</v>
      </c>
      <c r="Z68" s="9" t="s">
        <v>2652</v>
      </c>
      <c r="AA68" s="9" t="s">
        <v>2653</v>
      </c>
      <c r="AB68" s="9" t="s">
        <v>2570</v>
      </c>
      <c r="AC68" s="11">
        <v>46285</v>
      </c>
      <c r="AD68" s="9">
        <v>947</v>
      </c>
      <c r="AE68" s="9" t="s">
        <v>2570</v>
      </c>
      <c r="AF68" s="9">
        <v>10</v>
      </c>
      <c r="AG68" s="9" t="s">
        <v>2563</v>
      </c>
      <c r="AH68" s="9">
        <v>20000</v>
      </c>
      <c r="AJ68" s="9" t="s">
        <v>2690</v>
      </c>
      <c r="AK68" s="11">
        <v>46285</v>
      </c>
      <c r="AL68" s="9">
        <v>2609732</v>
      </c>
      <c r="AM68" s="11">
        <v>46258</v>
      </c>
      <c r="AP68" s="11">
        <v>46259</v>
      </c>
      <c r="AQ68" s="9" t="s">
        <v>2564</v>
      </c>
      <c r="AR68" s="9">
        <v>4</v>
      </c>
      <c r="AS68" s="9" t="s">
        <v>2565</v>
      </c>
      <c r="AT68" s="9">
        <v>6</v>
      </c>
      <c r="AU68" s="9" t="s">
        <v>2566</v>
      </c>
      <c r="AV68" s="9" t="s">
        <v>183</v>
      </c>
      <c r="AW68" s="9" t="s">
        <v>2691</v>
      </c>
      <c r="AX68" s="9">
        <v>2609732</v>
      </c>
      <c r="AY68" s="11">
        <v>46269</v>
      </c>
      <c r="AZ68" s="9">
        <v>306</v>
      </c>
      <c r="BA68" s="9">
        <v>381038</v>
      </c>
      <c r="BB68" s="11">
        <v>46264</v>
      </c>
      <c r="BC68" s="9">
        <v>1680</v>
      </c>
      <c r="BD68" s="9">
        <v>1</v>
      </c>
    </row>
    <row r="69" spans="1:56" x14ac:dyDescent="0.25">
      <c r="A69" s="9" t="s">
        <v>2644</v>
      </c>
      <c r="B69" s="9">
        <v>947</v>
      </c>
      <c r="C69" s="9" t="s">
        <v>2645</v>
      </c>
      <c r="D69" s="9">
        <v>1549</v>
      </c>
      <c r="E69" s="9">
        <v>2026</v>
      </c>
      <c r="F69" s="9" t="s">
        <v>2692</v>
      </c>
      <c r="G69" s="9">
        <v>62052000</v>
      </c>
      <c r="H69" s="9">
        <v>2020</v>
      </c>
      <c r="I69" s="9">
        <v>1</v>
      </c>
      <c r="J69" s="9" t="s">
        <v>2558</v>
      </c>
      <c r="K69" s="9">
        <v>0</v>
      </c>
      <c r="L69" s="10">
        <v>11299.56</v>
      </c>
      <c r="M69" s="10">
        <v>11299.56</v>
      </c>
      <c r="N69" s="9">
        <v>0</v>
      </c>
      <c r="O69" s="9">
        <v>0</v>
      </c>
      <c r="P69" s="9">
        <v>0</v>
      </c>
      <c r="R69" s="10">
        <v>11299.56</v>
      </c>
      <c r="S69" s="11">
        <v>46286</v>
      </c>
      <c r="T69" s="10">
        <v>11213</v>
      </c>
      <c r="U69" s="9">
        <v>1</v>
      </c>
      <c r="V69" s="11">
        <v>46267</v>
      </c>
      <c r="W69" s="9">
        <v>260326210686920</v>
      </c>
      <c r="X69" s="9" t="s">
        <v>2559</v>
      </c>
      <c r="Y69" s="9" t="s">
        <v>2560</v>
      </c>
      <c r="Z69" s="9" t="s">
        <v>2652</v>
      </c>
      <c r="AA69" s="9" t="s">
        <v>2653</v>
      </c>
      <c r="AB69" s="9" t="s">
        <v>2570</v>
      </c>
      <c r="AC69" s="11">
        <v>46285</v>
      </c>
      <c r="AD69" s="9">
        <v>947</v>
      </c>
      <c r="AE69" s="9" t="s">
        <v>2570</v>
      </c>
      <c r="AF69" s="9">
        <v>10</v>
      </c>
      <c r="AG69" s="9" t="s">
        <v>2563</v>
      </c>
      <c r="AH69" s="9">
        <v>23200</v>
      </c>
      <c r="AJ69" s="9" t="s">
        <v>2690</v>
      </c>
      <c r="AK69" s="11">
        <v>46285</v>
      </c>
      <c r="AL69" s="9">
        <v>2609733</v>
      </c>
      <c r="AM69" s="11">
        <v>46258</v>
      </c>
      <c r="AO69" s="9" t="s">
        <v>2577</v>
      </c>
      <c r="AP69" s="11">
        <v>46259</v>
      </c>
      <c r="AQ69" s="9" t="s">
        <v>2564</v>
      </c>
      <c r="AR69" s="9">
        <v>4</v>
      </c>
      <c r="AS69" s="9" t="s">
        <v>2565</v>
      </c>
      <c r="AT69" s="9">
        <v>6</v>
      </c>
      <c r="AU69" s="9" t="s">
        <v>2566</v>
      </c>
      <c r="AV69" s="9" t="s">
        <v>252</v>
      </c>
      <c r="AW69" s="9" t="s">
        <v>2693</v>
      </c>
      <c r="AX69" s="9">
        <v>2609733</v>
      </c>
      <c r="AY69" s="11">
        <v>46267</v>
      </c>
      <c r="AZ69" s="9">
        <v>306</v>
      </c>
      <c r="BA69" s="9">
        <v>381043</v>
      </c>
      <c r="BB69" s="11">
        <v>46264</v>
      </c>
      <c r="BC69" s="9">
        <v>1680</v>
      </c>
      <c r="BD69" s="9">
        <v>1</v>
      </c>
    </row>
    <row r="70" spans="1:56" x14ac:dyDescent="0.25">
      <c r="A70" s="9" t="s">
        <v>2644</v>
      </c>
      <c r="B70" s="9">
        <v>947</v>
      </c>
      <c r="C70" s="9" t="s">
        <v>2645</v>
      </c>
      <c r="D70" s="9">
        <v>1550</v>
      </c>
      <c r="E70" s="9">
        <v>2026</v>
      </c>
      <c r="F70" s="9" t="s">
        <v>2694</v>
      </c>
      <c r="G70" s="9">
        <v>62052000</v>
      </c>
      <c r="H70" s="9">
        <v>2020</v>
      </c>
      <c r="I70" s="9">
        <v>1</v>
      </c>
      <c r="J70" s="9" t="s">
        <v>2558</v>
      </c>
      <c r="K70" s="9">
        <v>0</v>
      </c>
      <c r="L70" s="10">
        <v>10715.1</v>
      </c>
      <c r="M70" s="10">
        <v>10715.1</v>
      </c>
      <c r="N70" s="9">
        <v>0</v>
      </c>
      <c r="O70" s="9">
        <v>0</v>
      </c>
      <c r="P70" s="9">
        <v>0</v>
      </c>
      <c r="R70" s="10">
        <v>10715.1</v>
      </c>
      <c r="S70" s="11">
        <v>46286</v>
      </c>
      <c r="T70" s="10">
        <v>10633.01</v>
      </c>
      <c r="U70" s="9">
        <v>1</v>
      </c>
      <c r="V70" s="11">
        <v>46267</v>
      </c>
      <c r="W70" s="9">
        <v>260326210686920</v>
      </c>
      <c r="X70" s="9" t="s">
        <v>2559</v>
      </c>
      <c r="Y70" s="9" t="s">
        <v>2560</v>
      </c>
      <c r="Z70" s="9" t="s">
        <v>2652</v>
      </c>
      <c r="AA70" s="9" t="s">
        <v>2653</v>
      </c>
      <c r="AB70" s="9" t="s">
        <v>2570</v>
      </c>
      <c r="AC70" s="11">
        <v>46285</v>
      </c>
      <c r="AD70" s="9">
        <v>947</v>
      </c>
      <c r="AE70" s="9" t="s">
        <v>2570</v>
      </c>
      <c r="AF70" s="9">
        <v>10</v>
      </c>
      <c r="AG70" s="9" t="s">
        <v>2563</v>
      </c>
      <c r="AH70" s="9">
        <v>22000</v>
      </c>
      <c r="AJ70" s="9" t="s">
        <v>2690</v>
      </c>
      <c r="AK70" s="11">
        <v>46285</v>
      </c>
      <c r="AL70" s="9">
        <v>2609734</v>
      </c>
      <c r="AM70" s="11">
        <v>46258</v>
      </c>
      <c r="AP70" s="11">
        <v>46259</v>
      </c>
      <c r="AQ70" s="9" t="s">
        <v>2564</v>
      </c>
      <c r="AR70" s="9">
        <v>4</v>
      </c>
      <c r="AS70" s="9" t="s">
        <v>2565</v>
      </c>
      <c r="AT70" s="9">
        <v>6</v>
      </c>
      <c r="AU70" s="9" t="s">
        <v>2566</v>
      </c>
      <c r="AV70" s="9" t="s">
        <v>262</v>
      </c>
      <c r="AW70" s="9" t="s">
        <v>2695</v>
      </c>
      <c r="AX70" s="9">
        <v>2609734</v>
      </c>
      <c r="AY70" s="11">
        <v>46267</v>
      </c>
      <c r="AZ70" s="9">
        <v>306</v>
      </c>
      <c r="BA70" s="9">
        <v>381047</v>
      </c>
      <c r="BB70" s="11">
        <v>46264</v>
      </c>
      <c r="BC70" s="9">
        <v>1680</v>
      </c>
      <c r="BD70" s="9">
        <v>1</v>
      </c>
    </row>
    <row r="71" spans="1:56" x14ac:dyDescent="0.25">
      <c r="A71" s="9" t="s">
        <v>2644</v>
      </c>
      <c r="B71" s="9">
        <v>947</v>
      </c>
      <c r="C71" s="9" t="s">
        <v>2645</v>
      </c>
      <c r="D71" s="9">
        <v>1551</v>
      </c>
      <c r="E71" s="9">
        <v>2026</v>
      </c>
      <c r="F71" s="9" t="s">
        <v>2696</v>
      </c>
      <c r="G71" s="9">
        <v>62052000</v>
      </c>
      <c r="H71" s="9">
        <v>2020</v>
      </c>
      <c r="I71" s="9">
        <v>1</v>
      </c>
      <c r="J71" s="9" t="s">
        <v>2558</v>
      </c>
      <c r="K71" s="9">
        <v>0</v>
      </c>
      <c r="L71" s="10">
        <v>6136.83</v>
      </c>
      <c r="M71" s="10">
        <v>6136.83</v>
      </c>
      <c r="N71" s="9">
        <v>0</v>
      </c>
      <c r="O71" s="9">
        <v>0</v>
      </c>
      <c r="P71" s="9">
        <v>0</v>
      </c>
      <c r="R71" s="10">
        <v>6136.83</v>
      </c>
      <c r="S71" s="11">
        <v>46286</v>
      </c>
      <c r="T71" s="10">
        <v>6089.82</v>
      </c>
      <c r="U71" s="9">
        <v>1</v>
      </c>
      <c r="V71" s="11">
        <v>46271</v>
      </c>
      <c r="W71" s="9">
        <v>260326210686920</v>
      </c>
      <c r="X71" s="9" t="s">
        <v>2559</v>
      </c>
      <c r="Y71" s="9" t="s">
        <v>2560</v>
      </c>
      <c r="Z71" s="9" t="s">
        <v>2652</v>
      </c>
      <c r="AA71" s="9" t="s">
        <v>2653</v>
      </c>
      <c r="AB71" s="9" t="s">
        <v>2570</v>
      </c>
      <c r="AC71" s="11">
        <v>46285</v>
      </c>
      <c r="AD71" s="9">
        <v>947</v>
      </c>
      <c r="AE71" s="9" t="s">
        <v>2570</v>
      </c>
      <c r="AF71" s="9">
        <v>10</v>
      </c>
      <c r="AG71" s="9" t="s">
        <v>2563</v>
      </c>
      <c r="AH71" s="9">
        <v>12600</v>
      </c>
      <c r="AJ71" s="9" t="s">
        <v>2690</v>
      </c>
      <c r="AK71" s="11">
        <v>46285</v>
      </c>
      <c r="AL71" s="9">
        <v>2609735</v>
      </c>
      <c r="AM71" s="11">
        <v>46258</v>
      </c>
      <c r="AP71" s="11">
        <v>46259</v>
      </c>
      <c r="AQ71" s="9" t="s">
        <v>2564</v>
      </c>
      <c r="AR71" s="9">
        <v>4</v>
      </c>
      <c r="AS71" s="9" t="s">
        <v>2565</v>
      </c>
      <c r="AT71" s="9">
        <v>6</v>
      </c>
      <c r="AU71" s="9" t="s">
        <v>2566</v>
      </c>
      <c r="AV71" s="9" t="s">
        <v>262</v>
      </c>
      <c r="AW71" s="9" t="s">
        <v>2697</v>
      </c>
      <c r="AX71" s="9">
        <v>2609735</v>
      </c>
      <c r="AY71" s="11">
        <v>46271</v>
      </c>
      <c r="AZ71" s="9">
        <v>306</v>
      </c>
      <c r="BA71" s="9">
        <v>381040</v>
      </c>
      <c r="BB71" s="11">
        <v>46264</v>
      </c>
      <c r="BC71" s="9">
        <v>1680</v>
      </c>
      <c r="BD71" s="9">
        <v>1</v>
      </c>
    </row>
    <row r="72" spans="1:56" x14ac:dyDescent="0.25">
      <c r="A72" s="9" t="s">
        <v>2644</v>
      </c>
      <c r="B72" s="9">
        <v>947</v>
      </c>
      <c r="C72" s="9" t="s">
        <v>2645</v>
      </c>
      <c r="D72" s="9">
        <v>1552</v>
      </c>
      <c r="E72" s="9">
        <v>2026</v>
      </c>
      <c r="F72" s="9" t="s">
        <v>2698</v>
      </c>
      <c r="G72" s="9">
        <v>62052000</v>
      </c>
      <c r="H72" s="9">
        <v>0</v>
      </c>
      <c r="I72" s="9">
        <v>1</v>
      </c>
      <c r="J72" s="9" t="s">
        <v>2558</v>
      </c>
      <c r="K72" s="9">
        <v>0</v>
      </c>
      <c r="L72" s="10">
        <v>1850.79</v>
      </c>
      <c r="M72" s="10">
        <v>1850.79</v>
      </c>
      <c r="N72" s="9">
        <v>0</v>
      </c>
      <c r="O72" s="9">
        <v>0</v>
      </c>
      <c r="P72" s="9">
        <v>0</v>
      </c>
      <c r="R72" s="10">
        <v>1850.79</v>
      </c>
      <c r="S72" s="11">
        <v>46286</v>
      </c>
      <c r="T72" s="10">
        <v>1836.61</v>
      </c>
      <c r="U72" s="9">
        <v>1</v>
      </c>
      <c r="V72" s="11">
        <v>46271</v>
      </c>
      <c r="W72" s="9">
        <v>260326210686920</v>
      </c>
      <c r="X72" s="9" t="s">
        <v>2559</v>
      </c>
      <c r="Y72" s="9" t="s">
        <v>2560</v>
      </c>
      <c r="Z72" s="9" t="s">
        <v>2652</v>
      </c>
      <c r="AA72" s="9" t="s">
        <v>2653</v>
      </c>
      <c r="AB72" s="9" t="s">
        <v>2570</v>
      </c>
      <c r="AC72" s="11">
        <v>46285</v>
      </c>
      <c r="AD72" s="9">
        <v>947</v>
      </c>
      <c r="AE72" s="9" t="s">
        <v>2570</v>
      </c>
      <c r="AF72" s="9">
        <v>10</v>
      </c>
      <c r="AG72" s="9" t="s">
        <v>2563</v>
      </c>
      <c r="AH72" s="9">
        <v>3800</v>
      </c>
      <c r="AJ72" s="9" t="s">
        <v>2690</v>
      </c>
      <c r="AK72" s="11">
        <v>46285</v>
      </c>
      <c r="AL72" s="9">
        <v>2609736</v>
      </c>
      <c r="AM72" s="11">
        <v>46258</v>
      </c>
      <c r="AP72" s="11">
        <v>46259</v>
      </c>
      <c r="AQ72" s="9" t="s">
        <v>2564</v>
      </c>
      <c r="AR72" s="9">
        <v>4</v>
      </c>
      <c r="AS72" s="9" t="s">
        <v>2565</v>
      </c>
      <c r="AT72" s="9">
        <v>6</v>
      </c>
      <c r="AU72" s="9" t="s">
        <v>2566</v>
      </c>
      <c r="AV72" s="9" t="s">
        <v>269</v>
      </c>
      <c r="AW72" s="9" t="s">
        <v>2699</v>
      </c>
      <c r="AX72" s="9">
        <v>2609736</v>
      </c>
      <c r="AY72" s="11">
        <v>46271</v>
      </c>
      <c r="AZ72" s="9">
        <v>306</v>
      </c>
      <c r="BA72" s="9">
        <v>381033</v>
      </c>
      <c r="BB72" s="11">
        <v>46264</v>
      </c>
      <c r="BC72" s="9">
        <v>1680</v>
      </c>
      <c r="BD72" s="9">
        <v>1</v>
      </c>
    </row>
    <row r="73" spans="1:56" x14ac:dyDescent="0.25">
      <c r="A73" s="9" t="s">
        <v>2644</v>
      </c>
      <c r="B73" s="9">
        <v>947</v>
      </c>
      <c r="C73" s="9" t="s">
        <v>2645</v>
      </c>
      <c r="D73" s="9">
        <v>1553</v>
      </c>
      <c r="E73" s="9">
        <v>2026</v>
      </c>
      <c r="F73" s="9" t="s">
        <v>2700</v>
      </c>
      <c r="G73" s="9">
        <v>62052000</v>
      </c>
      <c r="H73" s="9">
        <v>0</v>
      </c>
      <c r="I73" s="9">
        <v>1</v>
      </c>
      <c r="J73" s="9" t="s">
        <v>2558</v>
      </c>
      <c r="K73" s="9">
        <v>0</v>
      </c>
      <c r="L73" s="9">
        <v>584.46</v>
      </c>
      <c r="M73" s="9">
        <v>584.46</v>
      </c>
      <c r="N73" s="9">
        <v>0</v>
      </c>
      <c r="O73" s="9">
        <v>0</v>
      </c>
      <c r="P73" s="9">
        <v>0</v>
      </c>
      <c r="R73" s="9">
        <v>584.46</v>
      </c>
      <c r="S73" s="11">
        <v>46289</v>
      </c>
      <c r="T73" s="9">
        <v>579.54999999999995</v>
      </c>
      <c r="U73" s="9">
        <v>1</v>
      </c>
      <c r="V73" s="11">
        <v>46276</v>
      </c>
      <c r="W73" s="9">
        <v>260326210686920</v>
      </c>
      <c r="X73" s="9" t="s">
        <v>2559</v>
      </c>
      <c r="Y73" s="9" t="s">
        <v>2560</v>
      </c>
      <c r="Z73" s="9" t="s">
        <v>2652</v>
      </c>
      <c r="AA73" s="9" t="s">
        <v>2653</v>
      </c>
      <c r="AB73" s="9" t="s">
        <v>2570</v>
      </c>
      <c r="AC73" s="11">
        <v>46288</v>
      </c>
      <c r="AD73" s="9">
        <v>947</v>
      </c>
      <c r="AE73" s="9" t="s">
        <v>2570</v>
      </c>
      <c r="AF73" s="9">
        <v>10</v>
      </c>
      <c r="AG73" s="9" t="s">
        <v>2563</v>
      </c>
      <c r="AH73" s="9">
        <v>1200</v>
      </c>
      <c r="AJ73" s="9">
        <v>585</v>
      </c>
      <c r="AK73" s="11">
        <v>46288</v>
      </c>
      <c r="AL73" s="9">
        <v>2609737</v>
      </c>
      <c r="AM73" s="11">
        <v>46258</v>
      </c>
      <c r="AP73" s="11">
        <v>46259</v>
      </c>
      <c r="AQ73" s="9" t="s">
        <v>2564</v>
      </c>
      <c r="AR73" s="9">
        <v>4</v>
      </c>
      <c r="AS73" s="9" t="s">
        <v>2565</v>
      </c>
      <c r="AT73" s="9">
        <v>6</v>
      </c>
      <c r="AU73" s="9" t="s">
        <v>2566</v>
      </c>
      <c r="AV73" s="9" t="s">
        <v>1994</v>
      </c>
      <c r="AW73" s="9" t="s">
        <v>2701</v>
      </c>
      <c r="AX73" s="9">
        <v>2609737</v>
      </c>
      <c r="AY73" s="11">
        <v>46276</v>
      </c>
      <c r="AZ73" s="9">
        <v>306</v>
      </c>
      <c r="BA73" s="9">
        <v>381036</v>
      </c>
      <c r="BB73" s="11">
        <v>46264</v>
      </c>
      <c r="BC73" s="9">
        <v>1680</v>
      </c>
      <c r="BD73" s="9">
        <v>1</v>
      </c>
    </row>
    <row r="74" spans="1:56" ht="45" x14ac:dyDescent="0.25">
      <c r="A74" s="9" t="s">
        <v>2644</v>
      </c>
      <c r="B74" s="9">
        <v>947</v>
      </c>
      <c r="C74" s="9" t="s">
        <v>2645</v>
      </c>
      <c r="D74" s="9">
        <v>1491</v>
      </c>
      <c r="E74" s="9">
        <v>2026</v>
      </c>
      <c r="F74" s="9" t="s">
        <v>2702</v>
      </c>
      <c r="G74" s="9">
        <v>61046900</v>
      </c>
      <c r="H74" s="9">
        <v>2000</v>
      </c>
      <c r="I74" s="9">
        <v>1</v>
      </c>
      <c r="J74" s="9" t="s">
        <v>2558</v>
      </c>
      <c r="L74" s="10">
        <v>6871.09</v>
      </c>
      <c r="M74" s="10">
        <v>6871.09</v>
      </c>
      <c r="N74" s="9">
        <v>0</v>
      </c>
      <c r="O74" s="9">
        <v>0</v>
      </c>
      <c r="P74" s="9">
        <v>0</v>
      </c>
      <c r="R74" s="10">
        <v>6871.09</v>
      </c>
      <c r="U74" s="9">
        <v>1</v>
      </c>
      <c r="W74" s="9">
        <v>260326210686920</v>
      </c>
      <c r="X74" s="9" t="s">
        <v>2559</v>
      </c>
      <c r="Y74" s="9" t="s">
        <v>2560</v>
      </c>
      <c r="Z74" s="9" t="s">
        <v>2703</v>
      </c>
      <c r="AA74" s="12" t="s">
        <v>2704</v>
      </c>
      <c r="AF74" s="9">
        <v>10</v>
      </c>
      <c r="AG74" s="9" t="s">
        <v>2563</v>
      </c>
      <c r="AH74" s="9">
        <v>1537</v>
      </c>
      <c r="AO74" s="9" t="s">
        <v>2592</v>
      </c>
      <c r="AP74" s="11">
        <v>46253</v>
      </c>
      <c r="AQ74" s="9" t="s">
        <v>2564</v>
      </c>
      <c r="AR74" s="9">
        <v>4</v>
      </c>
      <c r="AU74" s="9" t="s">
        <v>2566</v>
      </c>
      <c r="AZ74" s="9">
        <v>306</v>
      </c>
      <c r="BA74" s="9">
        <v>334236</v>
      </c>
      <c r="BB74" s="11">
        <v>46253</v>
      </c>
      <c r="BC74" s="9">
        <v>1680</v>
      </c>
    </row>
    <row r="75" spans="1:56" x14ac:dyDescent="0.25">
      <c r="A75" s="9" t="s">
        <v>2644</v>
      </c>
      <c r="B75" s="9">
        <v>947</v>
      </c>
      <c r="C75" s="9" t="s">
        <v>2645</v>
      </c>
      <c r="D75" s="9">
        <v>1845</v>
      </c>
      <c r="E75" s="9">
        <v>2026</v>
      </c>
      <c r="F75" s="9" t="s">
        <v>2705</v>
      </c>
      <c r="G75" s="9">
        <v>62052000</v>
      </c>
      <c r="H75" s="9">
        <v>2016</v>
      </c>
      <c r="I75" s="9">
        <v>1</v>
      </c>
      <c r="J75" s="9" t="s">
        <v>2558</v>
      </c>
      <c r="L75" s="10">
        <v>8687.18</v>
      </c>
      <c r="M75" s="10">
        <v>8687.18</v>
      </c>
      <c r="N75" s="9">
        <v>0</v>
      </c>
      <c r="O75" s="9">
        <v>0</v>
      </c>
      <c r="P75" s="9">
        <v>0</v>
      </c>
      <c r="U75" s="9">
        <v>1</v>
      </c>
      <c r="W75" s="9">
        <v>260326210686920</v>
      </c>
      <c r="X75" s="9" t="s">
        <v>2559</v>
      </c>
      <c r="Y75" s="9" t="s">
        <v>2560</v>
      </c>
      <c r="Z75" s="9" t="s">
        <v>2706</v>
      </c>
      <c r="AA75" s="9" t="s">
        <v>2707</v>
      </c>
      <c r="AF75" s="9">
        <v>10</v>
      </c>
      <c r="AG75" s="9" t="s">
        <v>2563</v>
      </c>
      <c r="AH75" s="9">
        <v>2042</v>
      </c>
      <c r="AP75" s="11">
        <v>46295</v>
      </c>
      <c r="AQ75" s="9" t="s">
        <v>2564</v>
      </c>
      <c r="AR75" s="9">
        <v>4</v>
      </c>
      <c r="AU75" s="9" t="s">
        <v>2566</v>
      </c>
      <c r="BC75" s="9">
        <v>1680</v>
      </c>
    </row>
    <row r="76" spans="1:56" ht="30" x14ac:dyDescent="0.25">
      <c r="A76" s="9" t="s">
        <v>2644</v>
      </c>
      <c r="B76" s="9">
        <v>947</v>
      </c>
      <c r="C76" s="9" t="s">
        <v>2645</v>
      </c>
      <c r="D76" s="9">
        <v>1572</v>
      </c>
      <c r="E76" s="9">
        <v>2026</v>
      </c>
      <c r="F76" s="9" t="s">
        <v>2708</v>
      </c>
      <c r="G76" s="9">
        <v>62052000</v>
      </c>
      <c r="H76" s="9">
        <v>2016</v>
      </c>
      <c r="I76" s="9">
        <v>1</v>
      </c>
      <c r="J76" s="9" t="s">
        <v>2558</v>
      </c>
      <c r="K76" s="9">
        <v>0</v>
      </c>
      <c r="L76" s="10">
        <v>13200</v>
      </c>
      <c r="M76" s="10">
        <v>13200</v>
      </c>
      <c r="N76" s="9">
        <v>0</v>
      </c>
      <c r="O76" s="9">
        <v>0</v>
      </c>
      <c r="P76" s="9">
        <v>0</v>
      </c>
      <c r="R76" s="10">
        <v>13200</v>
      </c>
      <c r="U76" s="9">
        <v>1</v>
      </c>
      <c r="W76" s="9">
        <v>260326210686920</v>
      </c>
      <c r="X76" s="9" t="s">
        <v>2559</v>
      </c>
      <c r="Y76" s="9" t="s">
        <v>2560</v>
      </c>
      <c r="Z76" s="9" t="s">
        <v>2657</v>
      </c>
      <c r="AA76" s="12" t="s">
        <v>2658</v>
      </c>
      <c r="AF76" s="9">
        <v>10</v>
      </c>
      <c r="AG76" s="9" t="s">
        <v>2563</v>
      </c>
      <c r="AH76" s="9">
        <v>12000</v>
      </c>
      <c r="AP76" s="11">
        <v>46261</v>
      </c>
      <c r="AQ76" s="9" t="s">
        <v>2564</v>
      </c>
      <c r="AR76" s="9">
        <v>4</v>
      </c>
      <c r="AS76" s="9" t="s">
        <v>2565</v>
      </c>
      <c r="AU76" s="9" t="s">
        <v>2566</v>
      </c>
      <c r="AV76" s="9" t="s">
        <v>183</v>
      </c>
      <c r="AX76" s="9">
        <v>2609768</v>
      </c>
      <c r="AZ76" s="9">
        <v>306</v>
      </c>
      <c r="BA76" s="9">
        <v>410706</v>
      </c>
      <c r="BB76" s="11">
        <v>46270</v>
      </c>
      <c r="BC76" s="9">
        <v>1680</v>
      </c>
    </row>
    <row r="77" spans="1:56" ht="30" x14ac:dyDescent="0.25">
      <c r="A77" s="9" t="s">
        <v>2644</v>
      </c>
      <c r="B77" s="9">
        <v>947</v>
      </c>
      <c r="C77" s="9" t="s">
        <v>2645</v>
      </c>
      <c r="D77" s="9">
        <v>1573</v>
      </c>
      <c r="E77" s="9">
        <v>2026</v>
      </c>
      <c r="F77" s="9" t="s">
        <v>2709</v>
      </c>
      <c r="G77" s="9">
        <v>62052000</v>
      </c>
      <c r="H77" s="9">
        <v>2020</v>
      </c>
      <c r="I77" s="9">
        <v>1</v>
      </c>
      <c r="J77" s="9" t="s">
        <v>2558</v>
      </c>
      <c r="K77" s="9">
        <v>0</v>
      </c>
      <c r="L77" s="10">
        <v>4389</v>
      </c>
      <c r="M77" s="10">
        <v>4389</v>
      </c>
      <c r="N77" s="9">
        <v>0</v>
      </c>
      <c r="O77" s="9">
        <v>0</v>
      </c>
      <c r="P77" s="9">
        <v>0</v>
      </c>
      <c r="R77" s="10">
        <v>4389</v>
      </c>
      <c r="U77" s="9">
        <v>1</v>
      </c>
      <c r="W77" s="9">
        <v>260326210686920</v>
      </c>
      <c r="X77" s="9" t="s">
        <v>2559</v>
      </c>
      <c r="Y77" s="9" t="s">
        <v>2560</v>
      </c>
      <c r="Z77" s="9" t="s">
        <v>2657</v>
      </c>
      <c r="AA77" s="12" t="s">
        <v>2658</v>
      </c>
      <c r="AF77" s="9">
        <v>10</v>
      </c>
      <c r="AG77" s="9" t="s">
        <v>2563</v>
      </c>
      <c r="AH77" s="9">
        <v>3990</v>
      </c>
      <c r="AP77" s="11">
        <v>46261</v>
      </c>
      <c r="AQ77" s="9" t="s">
        <v>2564</v>
      </c>
      <c r="AR77" s="9">
        <v>4</v>
      </c>
      <c r="AS77" s="9" t="s">
        <v>2565</v>
      </c>
      <c r="AU77" s="9" t="s">
        <v>2566</v>
      </c>
      <c r="AV77" s="9" t="s">
        <v>262</v>
      </c>
      <c r="AX77" s="9">
        <v>2609769</v>
      </c>
      <c r="AZ77" s="9">
        <v>306</v>
      </c>
      <c r="BA77" s="9">
        <v>410699</v>
      </c>
      <c r="BB77" s="11">
        <v>46270</v>
      </c>
      <c r="BC77" s="9">
        <v>1680</v>
      </c>
    </row>
    <row r="78" spans="1:56" ht="30" x14ac:dyDescent="0.25">
      <c r="A78" s="9" t="s">
        <v>2644</v>
      </c>
      <c r="B78" s="9">
        <v>947</v>
      </c>
      <c r="C78" s="9" t="s">
        <v>2645</v>
      </c>
      <c r="D78" s="9">
        <v>1574</v>
      </c>
      <c r="E78" s="9">
        <v>2026</v>
      </c>
      <c r="F78" s="9" t="s">
        <v>2710</v>
      </c>
      <c r="G78" s="9">
        <v>62052000</v>
      </c>
      <c r="H78" s="9">
        <v>2020</v>
      </c>
      <c r="I78" s="9">
        <v>1</v>
      </c>
      <c r="J78" s="9" t="s">
        <v>2558</v>
      </c>
      <c r="K78" s="9">
        <v>0</v>
      </c>
      <c r="L78" s="10">
        <v>8283</v>
      </c>
      <c r="M78" s="10">
        <v>8283</v>
      </c>
      <c r="N78" s="9">
        <v>0</v>
      </c>
      <c r="O78" s="9">
        <v>0</v>
      </c>
      <c r="P78" s="9">
        <v>0</v>
      </c>
      <c r="R78" s="10">
        <v>8283</v>
      </c>
      <c r="U78" s="9">
        <v>1</v>
      </c>
      <c r="W78" s="9">
        <v>260326210686920</v>
      </c>
      <c r="X78" s="9" t="s">
        <v>2559</v>
      </c>
      <c r="Y78" s="9" t="s">
        <v>2560</v>
      </c>
      <c r="Z78" s="9" t="s">
        <v>2657</v>
      </c>
      <c r="AA78" s="12" t="s">
        <v>2658</v>
      </c>
      <c r="AF78" s="9">
        <v>10</v>
      </c>
      <c r="AG78" s="9" t="s">
        <v>2563</v>
      </c>
      <c r="AH78" s="9">
        <v>7530</v>
      </c>
      <c r="AO78" s="9" t="s">
        <v>2577</v>
      </c>
      <c r="AP78" s="11">
        <v>46261</v>
      </c>
      <c r="AQ78" s="9" t="s">
        <v>2564</v>
      </c>
      <c r="AR78" s="9">
        <v>4</v>
      </c>
      <c r="AS78" s="9" t="s">
        <v>2565</v>
      </c>
      <c r="AU78" s="9" t="s">
        <v>2566</v>
      </c>
      <c r="AV78" s="9" t="s">
        <v>252</v>
      </c>
      <c r="AX78" s="9">
        <v>2609770</v>
      </c>
      <c r="AZ78" s="9">
        <v>306</v>
      </c>
      <c r="BA78" s="9">
        <v>410716</v>
      </c>
      <c r="BB78" s="11">
        <v>46270</v>
      </c>
      <c r="BC78" s="9">
        <v>1680</v>
      </c>
    </row>
    <row r="79" spans="1:56" ht="30" x14ac:dyDescent="0.25">
      <c r="A79" s="9" t="s">
        <v>2644</v>
      </c>
      <c r="B79" s="9">
        <v>947</v>
      </c>
      <c r="C79" s="9" t="s">
        <v>2645</v>
      </c>
      <c r="D79" s="9">
        <v>1575</v>
      </c>
      <c r="E79" s="9">
        <v>2026</v>
      </c>
      <c r="F79" s="9" t="s">
        <v>2711</v>
      </c>
      <c r="G79" s="9">
        <v>62052000</v>
      </c>
      <c r="H79" s="9">
        <v>2020</v>
      </c>
      <c r="I79" s="9">
        <v>1</v>
      </c>
      <c r="J79" s="9" t="s">
        <v>2558</v>
      </c>
      <c r="K79" s="9">
        <v>0</v>
      </c>
      <c r="L79" s="10">
        <v>5511</v>
      </c>
      <c r="M79" s="10">
        <v>5511</v>
      </c>
      <c r="N79" s="9">
        <v>0</v>
      </c>
      <c r="O79" s="9">
        <v>0</v>
      </c>
      <c r="P79" s="9">
        <v>0</v>
      </c>
      <c r="R79" s="10">
        <v>5511</v>
      </c>
      <c r="U79" s="9">
        <v>1</v>
      </c>
      <c r="W79" s="9">
        <v>260326210686920</v>
      </c>
      <c r="X79" s="9" t="s">
        <v>2559</v>
      </c>
      <c r="Y79" s="9" t="s">
        <v>2560</v>
      </c>
      <c r="Z79" s="9" t="s">
        <v>2657</v>
      </c>
      <c r="AA79" s="12" t="s">
        <v>2658</v>
      </c>
      <c r="AF79" s="9">
        <v>10</v>
      </c>
      <c r="AG79" s="9" t="s">
        <v>2563</v>
      </c>
      <c r="AH79" s="9">
        <v>5010</v>
      </c>
      <c r="AO79" s="9" t="s">
        <v>2577</v>
      </c>
      <c r="AP79" s="11">
        <v>46261</v>
      </c>
      <c r="AQ79" s="9" t="s">
        <v>2564</v>
      </c>
      <c r="AR79" s="9">
        <v>4</v>
      </c>
      <c r="AS79" s="9" t="s">
        <v>2565</v>
      </c>
      <c r="AU79" s="9" t="s">
        <v>2566</v>
      </c>
      <c r="AV79" s="9" t="s">
        <v>252</v>
      </c>
      <c r="AX79" s="9">
        <v>2609771</v>
      </c>
      <c r="AZ79" s="9">
        <v>306</v>
      </c>
      <c r="BA79" s="9">
        <v>410704</v>
      </c>
      <c r="BB79" s="11">
        <v>46270</v>
      </c>
      <c r="BC79" s="9">
        <v>1680</v>
      </c>
    </row>
    <row r="80" spans="1:56" ht="30" x14ac:dyDescent="0.25">
      <c r="A80" s="9" t="s">
        <v>2644</v>
      </c>
      <c r="B80" s="9">
        <v>947</v>
      </c>
      <c r="C80" s="9" t="s">
        <v>2645</v>
      </c>
      <c r="D80" s="9">
        <v>1576</v>
      </c>
      <c r="E80" s="9">
        <v>2026</v>
      </c>
      <c r="F80" s="9" t="s">
        <v>2712</v>
      </c>
      <c r="G80" s="9">
        <v>62052000</v>
      </c>
      <c r="H80" s="9">
        <v>2000</v>
      </c>
      <c r="I80" s="9">
        <v>1</v>
      </c>
      <c r="J80" s="9" t="s">
        <v>2558</v>
      </c>
      <c r="K80" s="9">
        <v>0</v>
      </c>
      <c r="L80" s="10">
        <v>19602</v>
      </c>
      <c r="M80" s="10">
        <v>19602</v>
      </c>
      <c r="N80" s="9">
        <v>0</v>
      </c>
      <c r="O80" s="9">
        <v>0</v>
      </c>
      <c r="P80" s="9">
        <v>0</v>
      </c>
      <c r="R80" s="10">
        <v>19602</v>
      </c>
      <c r="U80" s="9">
        <v>1</v>
      </c>
      <c r="W80" s="9">
        <v>260326210686920</v>
      </c>
      <c r="X80" s="9" t="s">
        <v>2559</v>
      </c>
      <c r="Y80" s="9" t="s">
        <v>2560</v>
      </c>
      <c r="Z80" s="9" t="s">
        <v>2657</v>
      </c>
      <c r="AA80" s="12" t="s">
        <v>2658</v>
      </c>
      <c r="AF80" s="9">
        <v>10</v>
      </c>
      <c r="AG80" s="9" t="s">
        <v>2563</v>
      </c>
      <c r="AH80" s="9">
        <v>17820</v>
      </c>
      <c r="AP80" s="11">
        <v>46261</v>
      </c>
      <c r="AQ80" s="9" t="s">
        <v>2564</v>
      </c>
      <c r="AR80" s="9">
        <v>4</v>
      </c>
      <c r="AS80" s="9" t="s">
        <v>2565</v>
      </c>
      <c r="AU80" s="9" t="s">
        <v>2566</v>
      </c>
      <c r="AV80" s="9" t="s">
        <v>258</v>
      </c>
      <c r="AX80" s="9">
        <v>2609772</v>
      </c>
      <c r="AZ80" s="9">
        <v>306</v>
      </c>
      <c r="BA80" s="9">
        <v>410711</v>
      </c>
      <c r="BB80" s="11">
        <v>46270</v>
      </c>
      <c r="BC80" s="9">
        <v>1680</v>
      </c>
    </row>
    <row r="81" spans="1:56" ht="30" x14ac:dyDescent="0.25">
      <c r="A81" s="9" t="s">
        <v>2644</v>
      </c>
      <c r="B81" s="9">
        <v>947</v>
      </c>
      <c r="C81" s="9" t="s">
        <v>2645</v>
      </c>
      <c r="D81" s="9">
        <v>1725</v>
      </c>
      <c r="E81" s="9">
        <v>2026</v>
      </c>
      <c r="F81" s="9" t="s">
        <v>1353</v>
      </c>
      <c r="G81" s="9">
        <v>62071100</v>
      </c>
      <c r="H81" s="9">
        <v>2016</v>
      </c>
      <c r="I81" s="9">
        <v>1</v>
      </c>
      <c r="J81" s="9" t="s">
        <v>2558</v>
      </c>
      <c r="K81" s="9">
        <v>0</v>
      </c>
      <c r="L81" s="10">
        <v>15015</v>
      </c>
      <c r="M81" s="10">
        <v>15015</v>
      </c>
      <c r="N81" s="9">
        <v>0</v>
      </c>
      <c r="O81" s="9">
        <v>0</v>
      </c>
      <c r="P81" s="9">
        <v>0</v>
      </c>
      <c r="R81" s="10">
        <v>15015</v>
      </c>
      <c r="U81" s="9">
        <v>1</v>
      </c>
      <c r="W81" s="9">
        <v>260326210686920</v>
      </c>
      <c r="X81" s="9" t="s">
        <v>2559</v>
      </c>
      <c r="Y81" s="9" t="s">
        <v>2560</v>
      </c>
      <c r="Z81" s="9" t="s">
        <v>2657</v>
      </c>
      <c r="AA81" s="12" t="s">
        <v>2658</v>
      </c>
      <c r="AF81" s="9">
        <v>10</v>
      </c>
      <c r="AG81" s="9" t="s">
        <v>2563</v>
      </c>
      <c r="AH81" s="9">
        <v>13650</v>
      </c>
      <c r="AP81" s="11">
        <v>46280</v>
      </c>
      <c r="AQ81" s="9" t="s">
        <v>2564</v>
      </c>
      <c r="AR81" s="9">
        <v>4</v>
      </c>
      <c r="AS81" s="9" t="s">
        <v>2565</v>
      </c>
      <c r="AU81" s="9" t="s">
        <v>2566</v>
      </c>
      <c r="AV81" s="9" t="s">
        <v>183</v>
      </c>
      <c r="AX81" s="9">
        <v>2610398</v>
      </c>
      <c r="AZ81" s="9">
        <v>306</v>
      </c>
      <c r="BA81" s="9">
        <v>459964</v>
      </c>
      <c r="BB81" s="11">
        <v>46282</v>
      </c>
      <c r="BC81" s="9">
        <v>1680</v>
      </c>
    </row>
    <row r="82" spans="1:56" ht="30" x14ac:dyDescent="0.25">
      <c r="A82" s="9" t="s">
        <v>2644</v>
      </c>
      <c r="B82" s="9">
        <v>947</v>
      </c>
      <c r="C82" s="9" t="s">
        <v>2645</v>
      </c>
      <c r="D82" s="9">
        <v>1726</v>
      </c>
      <c r="E82" s="9">
        <v>2026</v>
      </c>
      <c r="F82" s="9" t="s">
        <v>1356</v>
      </c>
      <c r="G82" s="9">
        <v>62071100</v>
      </c>
      <c r="H82" s="9">
        <v>2020</v>
      </c>
      <c r="I82" s="9">
        <v>1</v>
      </c>
      <c r="J82" s="9" t="s">
        <v>2558</v>
      </c>
      <c r="K82" s="9">
        <v>0</v>
      </c>
      <c r="L82" s="10">
        <v>5643</v>
      </c>
      <c r="M82" s="10">
        <v>5643</v>
      </c>
      <c r="N82" s="9">
        <v>0</v>
      </c>
      <c r="O82" s="9">
        <v>0</v>
      </c>
      <c r="P82" s="9">
        <v>0</v>
      </c>
      <c r="R82" s="10">
        <v>5643</v>
      </c>
      <c r="U82" s="9">
        <v>1</v>
      </c>
      <c r="W82" s="9">
        <v>260326210686920</v>
      </c>
      <c r="X82" s="9" t="s">
        <v>2559</v>
      </c>
      <c r="Y82" s="9" t="s">
        <v>2560</v>
      </c>
      <c r="Z82" s="9" t="s">
        <v>2657</v>
      </c>
      <c r="AA82" s="12" t="s">
        <v>2658</v>
      </c>
      <c r="AF82" s="9">
        <v>10</v>
      </c>
      <c r="AG82" s="9" t="s">
        <v>2563</v>
      </c>
      <c r="AH82" s="9">
        <v>5130</v>
      </c>
      <c r="AP82" s="11">
        <v>46280</v>
      </c>
      <c r="AQ82" s="9" t="s">
        <v>2564</v>
      </c>
      <c r="AR82" s="9">
        <v>4</v>
      </c>
      <c r="AS82" s="9" t="s">
        <v>2565</v>
      </c>
      <c r="AU82" s="9" t="s">
        <v>2566</v>
      </c>
      <c r="AV82" s="9" t="s">
        <v>262</v>
      </c>
      <c r="AX82" s="9">
        <v>2610399</v>
      </c>
      <c r="AZ82" s="9">
        <v>306</v>
      </c>
      <c r="BA82" s="9">
        <v>459968</v>
      </c>
      <c r="BB82" s="11">
        <v>46282</v>
      </c>
      <c r="BC82" s="9">
        <v>1680</v>
      </c>
    </row>
    <row r="83" spans="1:56" ht="30" x14ac:dyDescent="0.25">
      <c r="A83" s="9" t="s">
        <v>2644</v>
      </c>
      <c r="B83" s="9">
        <v>947</v>
      </c>
      <c r="C83" s="9" t="s">
        <v>2645</v>
      </c>
      <c r="D83" s="9">
        <v>1727</v>
      </c>
      <c r="E83" s="9">
        <v>2026</v>
      </c>
      <c r="F83" s="9" t="s">
        <v>1359</v>
      </c>
      <c r="G83" s="9">
        <v>62071100</v>
      </c>
      <c r="H83" s="9">
        <v>2020</v>
      </c>
      <c r="I83" s="9">
        <v>1</v>
      </c>
      <c r="J83" s="9" t="s">
        <v>2558</v>
      </c>
      <c r="K83" s="9">
        <v>0</v>
      </c>
      <c r="L83" s="10">
        <v>6105</v>
      </c>
      <c r="M83" s="10">
        <v>6105</v>
      </c>
      <c r="N83" s="9">
        <v>0</v>
      </c>
      <c r="O83" s="9">
        <v>0</v>
      </c>
      <c r="P83" s="9">
        <v>0</v>
      </c>
      <c r="R83" s="10">
        <v>6105</v>
      </c>
      <c r="U83" s="9">
        <v>1</v>
      </c>
      <c r="W83" s="9">
        <v>260326210686920</v>
      </c>
      <c r="X83" s="9" t="s">
        <v>2559</v>
      </c>
      <c r="Y83" s="9" t="s">
        <v>2560</v>
      </c>
      <c r="Z83" s="9" t="s">
        <v>2657</v>
      </c>
      <c r="AA83" s="12" t="s">
        <v>2658</v>
      </c>
      <c r="AF83" s="9">
        <v>10</v>
      </c>
      <c r="AG83" s="9" t="s">
        <v>2563</v>
      </c>
      <c r="AH83" s="9">
        <v>5550</v>
      </c>
      <c r="AO83" s="9" t="s">
        <v>2577</v>
      </c>
      <c r="AP83" s="11">
        <v>46280</v>
      </c>
      <c r="AQ83" s="9" t="s">
        <v>2564</v>
      </c>
      <c r="AR83" s="9">
        <v>4</v>
      </c>
      <c r="AS83" s="9" t="s">
        <v>2565</v>
      </c>
      <c r="AU83" s="9" t="s">
        <v>2566</v>
      </c>
      <c r="AV83" s="9" t="s">
        <v>252</v>
      </c>
      <c r="AX83" s="9">
        <v>2610400</v>
      </c>
      <c r="AZ83" s="9">
        <v>306</v>
      </c>
      <c r="BA83" s="9">
        <v>459974</v>
      </c>
      <c r="BB83" s="11">
        <v>46282</v>
      </c>
      <c r="BC83" s="9">
        <v>1680</v>
      </c>
    </row>
    <row r="84" spans="1:56" ht="30" x14ac:dyDescent="0.25">
      <c r="A84" s="9" t="s">
        <v>2644</v>
      </c>
      <c r="B84" s="9">
        <v>947</v>
      </c>
      <c r="C84" s="9" t="s">
        <v>2645</v>
      </c>
      <c r="D84" s="9">
        <v>1728</v>
      </c>
      <c r="E84" s="9">
        <v>2026</v>
      </c>
      <c r="F84" s="9" t="s">
        <v>1362</v>
      </c>
      <c r="G84" s="9">
        <v>62071100</v>
      </c>
      <c r="H84" s="9">
        <v>2020</v>
      </c>
      <c r="I84" s="9">
        <v>1</v>
      </c>
      <c r="J84" s="9" t="s">
        <v>2558</v>
      </c>
      <c r="K84" s="9">
        <v>0</v>
      </c>
      <c r="L84" s="9">
        <v>891</v>
      </c>
      <c r="M84" s="9">
        <v>891</v>
      </c>
      <c r="N84" s="9">
        <v>0</v>
      </c>
      <c r="O84" s="9">
        <v>0</v>
      </c>
      <c r="P84" s="9">
        <v>0</v>
      </c>
      <c r="R84" s="9">
        <v>891</v>
      </c>
      <c r="U84" s="9">
        <v>1</v>
      </c>
      <c r="W84" s="9">
        <v>260326210686920</v>
      </c>
      <c r="X84" s="9" t="s">
        <v>2559</v>
      </c>
      <c r="Y84" s="9" t="s">
        <v>2560</v>
      </c>
      <c r="Z84" s="9" t="s">
        <v>2657</v>
      </c>
      <c r="AA84" s="12" t="s">
        <v>2658</v>
      </c>
      <c r="AF84" s="9">
        <v>10</v>
      </c>
      <c r="AG84" s="9" t="s">
        <v>2563</v>
      </c>
      <c r="AH84" s="9">
        <v>810</v>
      </c>
      <c r="AP84" s="11">
        <v>46280</v>
      </c>
      <c r="AQ84" s="9" t="s">
        <v>2564</v>
      </c>
      <c r="AR84" s="9">
        <v>4</v>
      </c>
      <c r="AS84" s="9" t="s">
        <v>2565</v>
      </c>
      <c r="AU84" s="9" t="s">
        <v>2566</v>
      </c>
      <c r="AV84" s="9" t="s">
        <v>262</v>
      </c>
      <c r="AX84" s="9">
        <v>2610401</v>
      </c>
      <c r="AZ84" s="9">
        <v>306</v>
      </c>
      <c r="BA84" s="9">
        <v>459963</v>
      </c>
      <c r="BB84" s="11">
        <v>46282</v>
      </c>
      <c r="BC84" s="9">
        <v>1680</v>
      </c>
    </row>
    <row r="85" spans="1:56" x14ac:dyDescent="0.25">
      <c r="A85" s="9" t="s">
        <v>2644</v>
      </c>
      <c r="B85" s="9">
        <v>947</v>
      </c>
      <c r="C85" s="9" t="s">
        <v>2645</v>
      </c>
      <c r="D85" s="9">
        <v>1539</v>
      </c>
      <c r="E85" s="9">
        <v>2026</v>
      </c>
      <c r="F85" s="9" t="s">
        <v>2713</v>
      </c>
      <c r="G85" s="9">
        <v>62071100</v>
      </c>
      <c r="H85" s="9">
        <v>2000</v>
      </c>
      <c r="I85" s="9">
        <v>1</v>
      </c>
      <c r="J85" s="9" t="s">
        <v>2558</v>
      </c>
      <c r="L85" s="10">
        <v>36528.75</v>
      </c>
      <c r="M85" s="10">
        <v>36528.75</v>
      </c>
      <c r="N85" s="9">
        <v>0</v>
      </c>
      <c r="O85" s="9">
        <v>0</v>
      </c>
      <c r="P85" s="9">
        <v>0</v>
      </c>
      <c r="R85" s="10">
        <v>36528.75</v>
      </c>
      <c r="U85" s="9">
        <v>1</v>
      </c>
      <c r="W85" s="9">
        <v>260326210686920</v>
      </c>
      <c r="X85" s="9" t="s">
        <v>2559</v>
      </c>
      <c r="Y85" s="9" t="s">
        <v>2560</v>
      </c>
      <c r="Z85" s="9" t="s">
        <v>2652</v>
      </c>
      <c r="AA85" s="9" t="s">
        <v>2653</v>
      </c>
      <c r="AF85" s="9">
        <v>10</v>
      </c>
      <c r="AG85" s="9" t="s">
        <v>2563</v>
      </c>
      <c r="AH85" s="9">
        <v>75000</v>
      </c>
      <c r="AP85" s="11">
        <v>46258</v>
      </c>
      <c r="AQ85" s="9" t="s">
        <v>2564</v>
      </c>
      <c r="AR85" s="9">
        <v>4</v>
      </c>
      <c r="AU85" s="9" t="s">
        <v>2566</v>
      </c>
      <c r="AZ85" s="9">
        <v>306</v>
      </c>
      <c r="BA85" s="9">
        <v>366582</v>
      </c>
      <c r="BB85" s="11">
        <v>46260</v>
      </c>
      <c r="BC85" s="9">
        <v>1680</v>
      </c>
    </row>
    <row r="86" spans="1:56" x14ac:dyDescent="0.25">
      <c r="A86" s="9" t="s">
        <v>2644</v>
      </c>
      <c r="B86" s="9">
        <v>947</v>
      </c>
      <c r="C86" s="9" t="s">
        <v>2645</v>
      </c>
      <c r="D86" s="9">
        <v>1429</v>
      </c>
      <c r="E86" s="9">
        <v>2026</v>
      </c>
      <c r="F86" s="9" t="s">
        <v>2714</v>
      </c>
      <c r="G86" s="9">
        <v>62052000</v>
      </c>
      <c r="H86" s="9">
        <v>1100</v>
      </c>
      <c r="I86" s="9">
        <v>1</v>
      </c>
      <c r="J86" s="9" t="s">
        <v>2558</v>
      </c>
      <c r="L86" s="10">
        <v>42897.59</v>
      </c>
      <c r="M86" s="10">
        <v>42897.59</v>
      </c>
      <c r="N86" s="9">
        <v>0</v>
      </c>
      <c r="O86" s="9">
        <v>0</v>
      </c>
      <c r="P86" s="9">
        <v>0</v>
      </c>
      <c r="R86" s="10">
        <v>42897.59</v>
      </c>
      <c r="S86" s="11">
        <v>46287</v>
      </c>
      <c r="T86" s="10">
        <v>42897.59</v>
      </c>
      <c r="U86" s="9">
        <v>1</v>
      </c>
      <c r="V86" s="11">
        <v>46248</v>
      </c>
      <c r="W86" s="9">
        <v>260326210686920</v>
      </c>
      <c r="X86" s="9" t="s">
        <v>2559</v>
      </c>
      <c r="Y86" s="9" t="s">
        <v>2560</v>
      </c>
      <c r="Z86" s="9" t="s">
        <v>2715</v>
      </c>
      <c r="AA86" s="9" t="s">
        <v>2716</v>
      </c>
      <c r="AB86" s="9" t="s">
        <v>2570</v>
      </c>
      <c r="AC86" s="11">
        <v>46256</v>
      </c>
      <c r="AD86" s="9">
        <v>947</v>
      </c>
      <c r="AE86" s="9" t="s">
        <v>2570</v>
      </c>
      <c r="AF86" s="9">
        <v>10</v>
      </c>
      <c r="AG86" s="9" t="s">
        <v>2563</v>
      </c>
      <c r="AH86" s="9">
        <v>5580</v>
      </c>
      <c r="AJ86" s="9" t="s">
        <v>2717</v>
      </c>
      <c r="AK86" s="11">
        <v>46285</v>
      </c>
      <c r="AL86" s="9">
        <v>2609114</v>
      </c>
      <c r="AM86" s="11">
        <v>46243</v>
      </c>
      <c r="AO86" s="9" t="s">
        <v>2571</v>
      </c>
      <c r="AP86" s="11">
        <v>46244</v>
      </c>
      <c r="AQ86" s="9" t="s">
        <v>2564</v>
      </c>
      <c r="AR86" s="9">
        <v>4</v>
      </c>
      <c r="AS86" s="9" t="s">
        <v>2718</v>
      </c>
      <c r="AT86" s="9">
        <v>1</v>
      </c>
      <c r="AU86" s="9" t="s">
        <v>2566</v>
      </c>
      <c r="AW86" s="9" t="s">
        <v>2719</v>
      </c>
      <c r="AY86" s="11">
        <v>46248</v>
      </c>
      <c r="AZ86" s="9">
        <v>306</v>
      </c>
      <c r="BA86" s="9">
        <v>296399</v>
      </c>
      <c r="BB86" s="11">
        <v>46245</v>
      </c>
      <c r="BC86" s="9">
        <v>1680</v>
      </c>
      <c r="BD86" s="9">
        <v>1</v>
      </c>
    </row>
    <row r="87" spans="1:56" x14ac:dyDescent="0.25">
      <c r="A87" s="9" t="s">
        <v>2644</v>
      </c>
      <c r="B87" s="9">
        <v>947</v>
      </c>
      <c r="C87" s="9" t="s">
        <v>2645</v>
      </c>
      <c r="D87" s="9">
        <v>1432</v>
      </c>
      <c r="E87" s="9">
        <v>2026</v>
      </c>
      <c r="F87" s="9" t="s">
        <v>2720</v>
      </c>
      <c r="G87" s="9">
        <v>62071100</v>
      </c>
      <c r="H87" s="9">
        <v>2020</v>
      </c>
      <c r="I87" s="9">
        <v>1</v>
      </c>
      <c r="J87" s="9" t="s">
        <v>2558</v>
      </c>
      <c r="K87" s="9">
        <v>0</v>
      </c>
      <c r="L87" s="10">
        <v>24352.5</v>
      </c>
      <c r="M87" s="10">
        <v>24352.5</v>
      </c>
      <c r="N87" s="9">
        <v>0</v>
      </c>
      <c r="O87" s="9">
        <v>0</v>
      </c>
      <c r="P87" s="9">
        <v>0</v>
      </c>
      <c r="R87" s="10">
        <v>24352.5</v>
      </c>
      <c r="S87" s="11">
        <v>46275</v>
      </c>
      <c r="T87" s="10">
        <v>24169.18</v>
      </c>
      <c r="U87" s="9">
        <v>1</v>
      </c>
      <c r="V87" s="11">
        <v>46255</v>
      </c>
      <c r="W87" s="9">
        <v>260326210686920</v>
      </c>
      <c r="X87" s="9" t="s">
        <v>2559</v>
      </c>
      <c r="Y87" s="9" t="s">
        <v>2560</v>
      </c>
      <c r="Z87" s="9" t="s">
        <v>2652</v>
      </c>
      <c r="AA87" s="9" t="s">
        <v>2653</v>
      </c>
      <c r="AB87" s="9" t="s">
        <v>2570</v>
      </c>
      <c r="AC87" s="11">
        <v>46272</v>
      </c>
      <c r="AD87" s="9">
        <v>947</v>
      </c>
      <c r="AE87" s="9" t="s">
        <v>2570</v>
      </c>
      <c r="AF87" s="9">
        <v>10</v>
      </c>
      <c r="AG87" s="9" t="s">
        <v>2563</v>
      </c>
      <c r="AH87" s="9">
        <v>50000</v>
      </c>
      <c r="AJ87" s="9" t="s">
        <v>2654</v>
      </c>
      <c r="AK87" s="11">
        <v>46274</v>
      </c>
      <c r="AL87" s="9">
        <v>2609140</v>
      </c>
      <c r="AM87" s="11">
        <v>46245</v>
      </c>
      <c r="AO87" s="9" t="s">
        <v>2577</v>
      </c>
      <c r="AP87" s="11">
        <v>46245</v>
      </c>
      <c r="AQ87" s="9" t="s">
        <v>2564</v>
      </c>
      <c r="AR87" s="9">
        <v>4</v>
      </c>
      <c r="AS87" s="9" t="s">
        <v>2565</v>
      </c>
      <c r="AT87" s="9">
        <v>6</v>
      </c>
      <c r="AU87" s="9" t="s">
        <v>2566</v>
      </c>
      <c r="AV87" s="9" t="s">
        <v>252</v>
      </c>
      <c r="AW87" s="9" t="s">
        <v>2721</v>
      </c>
      <c r="AX87" s="9">
        <v>2609140</v>
      </c>
      <c r="AY87" s="11">
        <v>46255</v>
      </c>
      <c r="AZ87" s="9">
        <v>306</v>
      </c>
      <c r="BA87" s="9">
        <v>314115</v>
      </c>
      <c r="BB87" s="11">
        <v>46249</v>
      </c>
      <c r="BC87" s="9">
        <v>1680</v>
      </c>
      <c r="BD87" s="9">
        <v>1</v>
      </c>
    </row>
    <row r="88" spans="1:56" x14ac:dyDescent="0.25">
      <c r="A88" s="9" t="s">
        <v>2644</v>
      </c>
      <c r="B88" s="9">
        <v>947</v>
      </c>
      <c r="C88" s="9" t="s">
        <v>2645</v>
      </c>
      <c r="D88" s="9">
        <v>1388</v>
      </c>
      <c r="E88" s="9">
        <v>2026</v>
      </c>
      <c r="F88" s="9" t="s">
        <v>2722</v>
      </c>
      <c r="G88" s="9">
        <v>62071100</v>
      </c>
      <c r="H88" s="9">
        <v>0</v>
      </c>
      <c r="I88" s="9">
        <v>1</v>
      </c>
      <c r="J88" s="9" t="s">
        <v>2558</v>
      </c>
      <c r="K88" s="9">
        <v>0</v>
      </c>
      <c r="L88" s="10">
        <v>1065.78</v>
      </c>
      <c r="M88" s="10">
        <v>1065.78</v>
      </c>
      <c r="N88" s="9">
        <v>0</v>
      </c>
      <c r="O88" s="9">
        <v>0</v>
      </c>
      <c r="P88" s="9">
        <v>0</v>
      </c>
      <c r="R88" s="10">
        <v>1065.78</v>
      </c>
      <c r="S88" s="11">
        <v>46275</v>
      </c>
      <c r="T88" s="10">
        <v>1057.76</v>
      </c>
      <c r="U88" s="9">
        <v>8</v>
      </c>
      <c r="V88" s="11">
        <v>46254</v>
      </c>
      <c r="W88" s="9">
        <v>260326210686920</v>
      </c>
      <c r="X88" s="9" t="s">
        <v>2559</v>
      </c>
      <c r="Y88" s="9" t="s">
        <v>2560</v>
      </c>
      <c r="Z88" s="9" t="s">
        <v>2652</v>
      </c>
      <c r="AA88" s="9" t="s">
        <v>2653</v>
      </c>
      <c r="AB88" s="9" t="s">
        <v>2570</v>
      </c>
      <c r="AC88" s="11">
        <v>46272</v>
      </c>
      <c r="AD88" s="9">
        <v>947</v>
      </c>
      <c r="AE88" s="9" t="s">
        <v>2570</v>
      </c>
      <c r="AF88" s="9">
        <v>10</v>
      </c>
      <c r="AG88" s="9" t="s">
        <v>2563</v>
      </c>
      <c r="AH88" s="9">
        <v>3600</v>
      </c>
      <c r="AJ88" s="9" t="s">
        <v>2654</v>
      </c>
      <c r="AK88" s="11">
        <v>46274</v>
      </c>
      <c r="AL88" s="9">
        <v>2608860</v>
      </c>
      <c r="AM88" s="11">
        <v>46236</v>
      </c>
      <c r="AO88" s="9" t="s">
        <v>2577</v>
      </c>
      <c r="AP88" s="11">
        <v>46237</v>
      </c>
      <c r="AQ88" s="9" t="s">
        <v>2564</v>
      </c>
      <c r="AR88" s="9">
        <v>4</v>
      </c>
      <c r="AS88" s="9" t="s">
        <v>2565</v>
      </c>
      <c r="AT88" s="9">
        <v>7</v>
      </c>
      <c r="AU88" s="9" t="s">
        <v>2566</v>
      </c>
      <c r="AV88" s="9" t="s">
        <v>269</v>
      </c>
      <c r="AW88" s="9" t="s">
        <v>2723</v>
      </c>
      <c r="AX88" s="9">
        <v>2608860</v>
      </c>
      <c r="AY88" s="11">
        <v>46254</v>
      </c>
      <c r="AZ88" s="9">
        <v>101</v>
      </c>
      <c r="BA88" s="9">
        <v>849943</v>
      </c>
      <c r="BB88" s="11">
        <v>46254</v>
      </c>
      <c r="BC88" s="9">
        <v>1680</v>
      </c>
      <c r="BD88" s="9">
        <v>1</v>
      </c>
    </row>
    <row r="89" spans="1:56" x14ac:dyDescent="0.25">
      <c r="A89" s="9" t="s">
        <v>2644</v>
      </c>
      <c r="B89" s="9">
        <v>947</v>
      </c>
      <c r="C89" s="9" t="s">
        <v>2645</v>
      </c>
      <c r="D89" s="9">
        <v>1389</v>
      </c>
      <c r="E89" s="9">
        <v>2026</v>
      </c>
      <c r="F89" s="9" t="s">
        <v>2724</v>
      </c>
      <c r="G89" s="9">
        <v>62071100</v>
      </c>
      <c r="H89" s="9">
        <v>0</v>
      </c>
      <c r="I89" s="9">
        <v>1</v>
      </c>
      <c r="J89" s="9" t="s">
        <v>2558</v>
      </c>
      <c r="K89" s="9">
        <v>0</v>
      </c>
      <c r="L89" s="9">
        <v>355.26</v>
      </c>
      <c r="M89" s="9">
        <v>355.26</v>
      </c>
      <c r="N89" s="9">
        <v>0</v>
      </c>
      <c r="O89" s="9">
        <v>0</v>
      </c>
      <c r="P89" s="9">
        <v>0</v>
      </c>
      <c r="R89" s="9">
        <v>355.26</v>
      </c>
      <c r="S89" s="11">
        <v>46275</v>
      </c>
      <c r="T89" s="9">
        <v>352.59</v>
      </c>
      <c r="U89" s="9">
        <v>8</v>
      </c>
      <c r="V89" s="11">
        <v>46253</v>
      </c>
      <c r="W89" s="9">
        <v>260326210686920</v>
      </c>
      <c r="X89" s="9" t="s">
        <v>2559</v>
      </c>
      <c r="Y89" s="9" t="s">
        <v>2560</v>
      </c>
      <c r="Z89" s="9" t="s">
        <v>2652</v>
      </c>
      <c r="AA89" s="9" t="s">
        <v>2653</v>
      </c>
      <c r="AB89" s="9" t="s">
        <v>2570</v>
      </c>
      <c r="AC89" s="11">
        <v>46272</v>
      </c>
      <c r="AD89" s="9">
        <v>947</v>
      </c>
      <c r="AE89" s="9" t="s">
        <v>2570</v>
      </c>
      <c r="AF89" s="9">
        <v>10</v>
      </c>
      <c r="AG89" s="9" t="s">
        <v>2563</v>
      </c>
      <c r="AH89" s="9">
        <v>1200</v>
      </c>
      <c r="AJ89" s="9" t="s">
        <v>2654</v>
      </c>
      <c r="AK89" s="11">
        <v>46274</v>
      </c>
      <c r="AL89" s="9">
        <v>2608861</v>
      </c>
      <c r="AM89" s="11">
        <v>46236</v>
      </c>
      <c r="AO89" s="9" t="s">
        <v>2577</v>
      </c>
      <c r="AP89" s="11">
        <v>46237</v>
      </c>
      <c r="AQ89" s="9" t="s">
        <v>2564</v>
      </c>
      <c r="AR89" s="9">
        <v>4</v>
      </c>
      <c r="AS89" s="9" t="s">
        <v>2565</v>
      </c>
      <c r="AT89" s="9">
        <v>7</v>
      </c>
      <c r="AU89" s="9" t="s">
        <v>2566</v>
      </c>
      <c r="AV89" s="9" t="s">
        <v>1994</v>
      </c>
      <c r="AW89" s="9" t="s">
        <v>2725</v>
      </c>
      <c r="AX89" s="9">
        <v>2608861</v>
      </c>
      <c r="AY89" s="11">
        <v>46253</v>
      </c>
      <c r="AZ89" s="9">
        <v>101</v>
      </c>
      <c r="BA89" s="9">
        <v>843045</v>
      </c>
      <c r="BB89" s="11">
        <v>46252</v>
      </c>
      <c r="BC89" s="9">
        <v>1680</v>
      </c>
      <c r="BD89" s="9">
        <v>1</v>
      </c>
    </row>
    <row r="90" spans="1:56" ht="45" x14ac:dyDescent="0.25">
      <c r="A90" s="9" t="s">
        <v>2644</v>
      </c>
      <c r="B90" s="9">
        <v>947</v>
      </c>
      <c r="C90" s="9" t="s">
        <v>2645</v>
      </c>
      <c r="D90" s="9">
        <v>1390</v>
      </c>
      <c r="E90" s="9">
        <v>2026</v>
      </c>
      <c r="F90" s="9" t="s">
        <v>2726</v>
      </c>
      <c r="G90" s="9">
        <v>61044900</v>
      </c>
      <c r="H90" s="9">
        <v>2000</v>
      </c>
      <c r="I90" s="9">
        <v>1</v>
      </c>
      <c r="J90" s="9" t="s">
        <v>2558</v>
      </c>
      <c r="K90" s="9">
        <v>0</v>
      </c>
      <c r="L90" s="10">
        <v>69982.02</v>
      </c>
      <c r="M90" s="10">
        <v>69982.02</v>
      </c>
      <c r="N90" s="9">
        <v>0</v>
      </c>
      <c r="O90" s="9">
        <v>0</v>
      </c>
      <c r="P90" s="9">
        <v>0</v>
      </c>
      <c r="R90" s="10">
        <v>69982.02</v>
      </c>
      <c r="U90" s="9">
        <v>1</v>
      </c>
      <c r="V90" s="11">
        <v>46241</v>
      </c>
      <c r="W90" s="9">
        <v>260326210686920</v>
      </c>
      <c r="X90" s="9" t="s">
        <v>2559</v>
      </c>
      <c r="Y90" s="9" t="s">
        <v>2560</v>
      </c>
      <c r="Z90" s="9" t="s">
        <v>2661</v>
      </c>
      <c r="AA90" s="12" t="s">
        <v>2662</v>
      </c>
      <c r="AB90" s="9" t="s">
        <v>2570</v>
      </c>
      <c r="AC90" s="11">
        <v>46292</v>
      </c>
      <c r="AD90" s="9">
        <v>947</v>
      </c>
      <c r="AF90" s="9">
        <v>10</v>
      </c>
      <c r="AG90" s="9" t="s">
        <v>2563</v>
      </c>
      <c r="AH90" s="9">
        <v>22257</v>
      </c>
      <c r="AL90" s="9">
        <v>2608925</v>
      </c>
      <c r="AM90" s="11">
        <v>46237</v>
      </c>
      <c r="AO90" s="9" t="s">
        <v>2571</v>
      </c>
      <c r="AP90" s="11">
        <v>46237</v>
      </c>
      <c r="AQ90" s="9" t="s">
        <v>2564</v>
      </c>
      <c r="AR90" s="9">
        <v>4</v>
      </c>
      <c r="AS90" s="9" t="s">
        <v>2565</v>
      </c>
      <c r="AT90" s="9">
        <v>1</v>
      </c>
      <c r="AU90" s="9" t="s">
        <v>2566</v>
      </c>
      <c r="AV90" s="9" t="s">
        <v>124</v>
      </c>
      <c r="AW90" s="9" t="s">
        <v>2727</v>
      </c>
      <c r="AX90" s="9">
        <v>2608925</v>
      </c>
      <c r="AY90" s="11">
        <v>46241</v>
      </c>
      <c r="AZ90" s="9">
        <v>306</v>
      </c>
      <c r="BA90" s="9">
        <v>261112</v>
      </c>
      <c r="BB90" s="11">
        <v>46238</v>
      </c>
      <c r="BC90" s="9">
        <v>1680</v>
      </c>
    </row>
    <row r="91" spans="1:56" x14ac:dyDescent="0.25">
      <c r="A91" s="9" t="s">
        <v>2644</v>
      </c>
      <c r="B91" s="9">
        <v>947</v>
      </c>
      <c r="C91" s="9" t="s">
        <v>2645</v>
      </c>
      <c r="D91" s="9">
        <v>1391</v>
      </c>
      <c r="E91" s="9">
        <v>2026</v>
      </c>
      <c r="F91" s="9" t="s">
        <v>2728</v>
      </c>
      <c r="G91" s="9">
        <v>62071100</v>
      </c>
      <c r="H91" s="9">
        <v>2020</v>
      </c>
      <c r="I91" s="9">
        <v>1</v>
      </c>
      <c r="J91" s="9" t="s">
        <v>2558</v>
      </c>
      <c r="K91" s="9">
        <v>0</v>
      </c>
      <c r="L91" s="10">
        <v>12078.84</v>
      </c>
      <c r="M91" s="10">
        <v>12078.84</v>
      </c>
      <c r="N91" s="9">
        <v>0</v>
      </c>
      <c r="O91" s="9">
        <v>0</v>
      </c>
      <c r="P91" s="9">
        <v>0</v>
      </c>
      <c r="R91" s="10">
        <v>12078.84</v>
      </c>
      <c r="S91" s="11">
        <v>46275</v>
      </c>
      <c r="T91" s="10">
        <v>11987.91</v>
      </c>
      <c r="U91" s="9">
        <v>1</v>
      </c>
      <c r="V91" s="11">
        <v>46246</v>
      </c>
      <c r="W91" s="9">
        <v>260326210686920</v>
      </c>
      <c r="X91" s="9" t="s">
        <v>2559</v>
      </c>
      <c r="Y91" s="9" t="s">
        <v>2560</v>
      </c>
      <c r="Z91" s="9" t="s">
        <v>2652</v>
      </c>
      <c r="AA91" s="9" t="s">
        <v>2653</v>
      </c>
      <c r="AB91" s="9" t="s">
        <v>2570</v>
      </c>
      <c r="AC91" s="11">
        <v>46272</v>
      </c>
      <c r="AD91" s="9">
        <v>947</v>
      </c>
      <c r="AE91" s="9" t="s">
        <v>2570</v>
      </c>
      <c r="AF91" s="9">
        <v>10</v>
      </c>
      <c r="AG91" s="9" t="s">
        <v>2563</v>
      </c>
      <c r="AH91" s="9">
        <v>40800</v>
      </c>
      <c r="AJ91" s="9" t="s">
        <v>2654</v>
      </c>
      <c r="AK91" s="11">
        <v>46274</v>
      </c>
      <c r="AL91" s="9">
        <v>2608931</v>
      </c>
      <c r="AM91" s="11">
        <v>46237</v>
      </c>
      <c r="AP91" s="11">
        <v>46237</v>
      </c>
      <c r="AQ91" s="9" t="s">
        <v>2564</v>
      </c>
      <c r="AR91" s="9">
        <v>4</v>
      </c>
      <c r="AS91" s="9" t="s">
        <v>2565</v>
      </c>
      <c r="AT91" s="9">
        <v>6</v>
      </c>
      <c r="AU91" s="9" t="s">
        <v>2566</v>
      </c>
      <c r="AV91" s="9" t="s">
        <v>262</v>
      </c>
      <c r="AW91" s="9" t="s">
        <v>2729</v>
      </c>
      <c r="AX91" s="9">
        <v>2608931</v>
      </c>
      <c r="AY91" s="11">
        <v>46246</v>
      </c>
      <c r="AZ91" s="9">
        <v>306</v>
      </c>
      <c r="BA91" s="9">
        <v>273457</v>
      </c>
      <c r="BB91" s="11">
        <v>46241</v>
      </c>
      <c r="BC91" s="9">
        <v>1680</v>
      </c>
      <c r="BD91" s="9">
        <v>1</v>
      </c>
    </row>
    <row r="92" spans="1:56" x14ac:dyDescent="0.25">
      <c r="A92" s="9" t="s">
        <v>2644</v>
      </c>
      <c r="B92" s="9">
        <v>947</v>
      </c>
      <c r="C92" s="9" t="s">
        <v>2645</v>
      </c>
      <c r="D92" s="9">
        <v>1392</v>
      </c>
      <c r="E92" s="9">
        <v>2026</v>
      </c>
      <c r="F92" s="9" t="s">
        <v>2730</v>
      </c>
      <c r="G92" s="9">
        <v>62071100</v>
      </c>
      <c r="H92" s="9">
        <v>2020</v>
      </c>
      <c r="I92" s="9">
        <v>1</v>
      </c>
      <c r="J92" s="9" t="s">
        <v>2558</v>
      </c>
      <c r="K92" s="9">
        <v>0</v>
      </c>
      <c r="L92" s="10">
        <v>2368.4</v>
      </c>
      <c r="M92" s="10">
        <v>2368.4</v>
      </c>
      <c r="N92" s="9">
        <v>0</v>
      </c>
      <c r="O92" s="9">
        <v>0</v>
      </c>
      <c r="P92" s="9">
        <v>0</v>
      </c>
      <c r="R92" s="10">
        <v>2368.4</v>
      </c>
      <c r="S92" s="11">
        <v>46275</v>
      </c>
      <c r="T92" s="10">
        <v>2350.5700000000002</v>
      </c>
      <c r="U92" s="9">
        <v>1</v>
      </c>
      <c r="V92" s="11">
        <v>46244</v>
      </c>
      <c r="W92" s="9">
        <v>260326210686920</v>
      </c>
      <c r="X92" s="9" t="s">
        <v>2559</v>
      </c>
      <c r="Y92" s="9" t="s">
        <v>2560</v>
      </c>
      <c r="Z92" s="9" t="s">
        <v>2652</v>
      </c>
      <c r="AA92" s="9" t="s">
        <v>2653</v>
      </c>
      <c r="AB92" s="9" t="s">
        <v>2570</v>
      </c>
      <c r="AC92" s="11">
        <v>46272</v>
      </c>
      <c r="AD92" s="9">
        <v>947</v>
      </c>
      <c r="AE92" s="9" t="s">
        <v>2570</v>
      </c>
      <c r="AF92" s="9">
        <v>10</v>
      </c>
      <c r="AG92" s="9" t="s">
        <v>2563</v>
      </c>
      <c r="AH92" s="9">
        <v>8000</v>
      </c>
      <c r="AJ92" s="9" t="s">
        <v>2654</v>
      </c>
      <c r="AK92" s="11">
        <v>46274</v>
      </c>
      <c r="AL92" s="9">
        <v>2608932</v>
      </c>
      <c r="AM92" s="11">
        <v>46237</v>
      </c>
      <c r="AP92" s="11">
        <v>46237</v>
      </c>
      <c r="AQ92" s="9" t="s">
        <v>2564</v>
      </c>
      <c r="AR92" s="9">
        <v>4</v>
      </c>
      <c r="AS92" s="9" t="s">
        <v>2565</v>
      </c>
      <c r="AT92" s="9">
        <v>6</v>
      </c>
      <c r="AU92" s="9" t="s">
        <v>2566</v>
      </c>
      <c r="AV92" s="9" t="s">
        <v>262</v>
      </c>
      <c r="AW92" s="9" t="s">
        <v>2731</v>
      </c>
      <c r="AX92" s="9">
        <v>2608932</v>
      </c>
      <c r="AY92" s="11">
        <v>46244</v>
      </c>
      <c r="AZ92" s="9">
        <v>306</v>
      </c>
      <c r="BA92" s="9">
        <v>273449</v>
      </c>
      <c r="BB92" s="11">
        <v>46241</v>
      </c>
      <c r="BC92" s="9">
        <v>1680</v>
      </c>
      <c r="BD92" s="9">
        <v>1</v>
      </c>
    </row>
    <row r="93" spans="1:56" x14ac:dyDescent="0.25">
      <c r="A93" s="9" t="s">
        <v>2644</v>
      </c>
      <c r="B93" s="9">
        <v>947</v>
      </c>
      <c r="C93" s="9" t="s">
        <v>2645</v>
      </c>
      <c r="D93" s="9">
        <v>1393</v>
      </c>
      <c r="E93" s="9">
        <v>2026</v>
      </c>
      <c r="F93" s="9" t="s">
        <v>2732</v>
      </c>
      <c r="G93" s="9">
        <v>62071100</v>
      </c>
      <c r="H93" s="9">
        <v>2020</v>
      </c>
      <c r="I93" s="9">
        <v>1</v>
      </c>
      <c r="J93" s="9" t="s">
        <v>2558</v>
      </c>
      <c r="K93" s="9">
        <v>0</v>
      </c>
      <c r="L93" s="10">
        <v>4027.52</v>
      </c>
      <c r="M93" s="10">
        <v>4027.52</v>
      </c>
      <c r="N93" s="9">
        <v>0</v>
      </c>
      <c r="O93" s="9">
        <v>0</v>
      </c>
      <c r="P93" s="9">
        <v>0</v>
      </c>
      <c r="R93" s="10">
        <v>4027.52</v>
      </c>
      <c r="S93" s="11">
        <v>46275</v>
      </c>
      <c r="T93" s="10">
        <v>3997.2</v>
      </c>
      <c r="U93" s="9">
        <v>1</v>
      </c>
      <c r="V93" s="11">
        <v>46246</v>
      </c>
      <c r="W93" s="9">
        <v>260326210686920</v>
      </c>
      <c r="X93" s="9" t="s">
        <v>2559</v>
      </c>
      <c r="Y93" s="9" t="s">
        <v>2560</v>
      </c>
      <c r="Z93" s="9" t="s">
        <v>2652</v>
      </c>
      <c r="AA93" s="9" t="s">
        <v>2653</v>
      </c>
      <c r="AB93" s="9" t="s">
        <v>2570</v>
      </c>
      <c r="AC93" s="11">
        <v>46272</v>
      </c>
      <c r="AD93" s="9">
        <v>947</v>
      </c>
      <c r="AE93" s="9" t="s">
        <v>2570</v>
      </c>
      <c r="AF93" s="9">
        <v>10</v>
      </c>
      <c r="AG93" s="9" t="s">
        <v>2563</v>
      </c>
      <c r="AH93" s="9">
        <v>5430</v>
      </c>
      <c r="AJ93" s="9" t="s">
        <v>2654</v>
      </c>
      <c r="AK93" s="11">
        <v>46274</v>
      </c>
      <c r="AL93" s="9">
        <v>2608939</v>
      </c>
      <c r="AM93" s="11">
        <v>46237</v>
      </c>
      <c r="AP93" s="11">
        <v>46237</v>
      </c>
      <c r="AQ93" s="9" t="s">
        <v>2564</v>
      </c>
      <c r="AR93" s="9">
        <v>4</v>
      </c>
      <c r="AS93" s="9" t="s">
        <v>2565</v>
      </c>
      <c r="AT93" s="9">
        <v>6</v>
      </c>
      <c r="AU93" s="9" t="s">
        <v>2566</v>
      </c>
      <c r="AV93" s="9" t="s">
        <v>262</v>
      </c>
      <c r="AW93" s="9" t="s">
        <v>2733</v>
      </c>
      <c r="AX93" s="9">
        <v>2608939</v>
      </c>
      <c r="AY93" s="11">
        <v>46246</v>
      </c>
      <c r="AZ93" s="9">
        <v>306</v>
      </c>
      <c r="BA93" s="9">
        <v>273465</v>
      </c>
      <c r="BB93" s="11">
        <v>46241</v>
      </c>
      <c r="BC93" s="9">
        <v>1680</v>
      </c>
      <c r="BD93" s="9">
        <v>1</v>
      </c>
    </row>
    <row r="94" spans="1:56" x14ac:dyDescent="0.25">
      <c r="A94" s="9" t="s">
        <v>2644</v>
      </c>
      <c r="B94" s="9">
        <v>947</v>
      </c>
      <c r="C94" s="9" t="s">
        <v>2645</v>
      </c>
      <c r="D94" s="9">
        <v>1674</v>
      </c>
      <c r="E94" s="9">
        <v>2026</v>
      </c>
      <c r="F94" s="9" t="s">
        <v>588</v>
      </c>
      <c r="G94" s="9">
        <v>62052000</v>
      </c>
      <c r="H94" s="9">
        <v>2005</v>
      </c>
      <c r="I94" s="9">
        <v>1</v>
      </c>
      <c r="J94" s="9" t="s">
        <v>2558</v>
      </c>
      <c r="L94" s="10">
        <v>6159</v>
      </c>
      <c r="M94" s="10">
        <v>5242.76</v>
      </c>
      <c r="N94" s="9">
        <v>1260.4000000000001</v>
      </c>
      <c r="O94" s="9">
        <v>0</v>
      </c>
      <c r="R94" s="10">
        <v>5242.76</v>
      </c>
      <c r="S94" s="11">
        <v>46288</v>
      </c>
      <c r="T94" s="10">
        <v>5006.42</v>
      </c>
      <c r="U94" s="9">
        <v>8</v>
      </c>
      <c r="V94" s="11">
        <v>46273</v>
      </c>
      <c r="W94" s="9">
        <v>260326210686920</v>
      </c>
      <c r="X94" s="9" t="s">
        <v>2559</v>
      </c>
      <c r="Y94" s="9" t="s">
        <v>2560</v>
      </c>
      <c r="Z94" s="9" t="s">
        <v>2734</v>
      </c>
      <c r="AA94" s="9" t="s">
        <v>2735</v>
      </c>
      <c r="AB94" s="9" t="s">
        <v>2570</v>
      </c>
      <c r="AC94" s="11">
        <v>46280</v>
      </c>
      <c r="AD94" s="9">
        <v>947</v>
      </c>
      <c r="AE94" s="9" t="s">
        <v>2570</v>
      </c>
      <c r="AF94" s="9">
        <v>10</v>
      </c>
      <c r="AG94" s="9" t="s">
        <v>2563</v>
      </c>
      <c r="AH94" s="9">
        <v>2111</v>
      </c>
      <c r="AJ94" s="9" t="s">
        <v>2736</v>
      </c>
      <c r="AK94" s="11">
        <v>46287</v>
      </c>
      <c r="AL94" s="9">
        <v>2610116</v>
      </c>
      <c r="AM94" s="11">
        <v>46270</v>
      </c>
      <c r="AO94" s="9" t="s">
        <v>2737</v>
      </c>
      <c r="AP94" s="11">
        <v>46271</v>
      </c>
      <c r="AQ94" s="9" t="s">
        <v>2564</v>
      </c>
      <c r="AR94" s="9">
        <v>9</v>
      </c>
      <c r="AT94" s="9">
        <v>3</v>
      </c>
      <c r="AU94" s="9" t="s">
        <v>2566</v>
      </c>
      <c r="AW94" s="9" t="s">
        <v>2738</v>
      </c>
      <c r="AY94" s="11">
        <v>46273</v>
      </c>
      <c r="AZ94" s="9">
        <v>101</v>
      </c>
      <c r="BA94" s="9">
        <v>926867</v>
      </c>
      <c r="BB94" s="11">
        <v>46273</v>
      </c>
      <c r="BC94" s="9">
        <v>1680</v>
      </c>
      <c r="BD94" s="9">
        <v>1</v>
      </c>
    </row>
    <row r="95" spans="1:56" ht="30" x14ac:dyDescent="0.25">
      <c r="A95" s="9" t="s">
        <v>2644</v>
      </c>
      <c r="B95" s="9">
        <v>947</v>
      </c>
      <c r="C95" s="9" t="s">
        <v>2645</v>
      </c>
      <c r="D95" s="9">
        <v>1401</v>
      </c>
      <c r="E95" s="9">
        <v>2026</v>
      </c>
      <c r="F95" s="9" t="s">
        <v>2739</v>
      </c>
      <c r="G95" s="9">
        <v>62071100</v>
      </c>
      <c r="H95" s="9">
        <v>2016</v>
      </c>
      <c r="I95" s="9">
        <v>1</v>
      </c>
      <c r="J95" s="9" t="s">
        <v>2558</v>
      </c>
      <c r="K95" s="9">
        <v>0</v>
      </c>
      <c r="L95" s="10">
        <v>11550</v>
      </c>
      <c r="M95" s="10">
        <v>11550</v>
      </c>
      <c r="N95" s="9">
        <v>0</v>
      </c>
      <c r="O95" s="9">
        <v>0</v>
      </c>
      <c r="P95" s="9">
        <v>0</v>
      </c>
      <c r="R95" s="10">
        <v>11550</v>
      </c>
      <c r="U95" s="9">
        <v>1</v>
      </c>
      <c r="W95" s="9">
        <v>260326210686920</v>
      </c>
      <c r="X95" s="9" t="s">
        <v>2559</v>
      </c>
      <c r="Y95" s="9" t="s">
        <v>2560</v>
      </c>
      <c r="Z95" s="9" t="s">
        <v>2657</v>
      </c>
      <c r="AA95" s="12" t="s">
        <v>2658</v>
      </c>
      <c r="AF95" s="9">
        <v>10</v>
      </c>
      <c r="AG95" s="9" t="s">
        <v>2563</v>
      </c>
      <c r="AH95" s="9">
        <v>10500</v>
      </c>
      <c r="AP95" s="11">
        <v>46238</v>
      </c>
      <c r="AQ95" s="9" t="s">
        <v>2564</v>
      </c>
      <c r="AR95" s="9">
        <v>4</v>
      </c>
      <c r="AS95" s="9" t="s">
        <v>2565</v>
      </c>
      <c r="AU95" s="9" t="s">
        <v>2566</v>
      </c>
      <c r="AV95" s="9" t="s">
        <v>183</v>
      </c>
      <c r="AX95" s="9">
        <v>2608933</v>
      </c>
      <c r="AZ95" s="9">
        <v>306</v>
      </c>
      <c r="BA95" s="9">
        <v>282276</v>
      </c>
      <c r="BB95" s="11">
        <v>46243</v>
      </c>
      <c r="BC95" s="9">
        <v>1680</v>
      </c>
    </row>
    <row r="96" spans="1:56" ht="30" x14ac:dyDescent="0.25">
      <c r="A96" s="9" t="s">
        <v>2644</v>
      </c>
      <c r="B96" s="9">
        <v>947</v>
      </c>
      <c r="C96" s="9" t="s">
        <v>2645</v>
      </c>
      <c r="D96" s="9">
        <v>1402</v>
      </c>
      <c r="E96" s="9">
        <v>2026</v>
      </c>
      <c r="F96" s="9" t="s">
        <v>2740</v>
      </c>
      <c r="G96" s="9">
        <v>62071100</v>
      </c>
      <c r="H96" s="9">
        <v>2020</v>
      </c>
      <c r="I96" s="9">
        <v>1</v>
      </c>
      <c r="J96" s="9" t="s">
        <v>2558</v>
      </c>
      <c r="K96" s="9">
        <v>0</v>
      </c>
      <c r="L96" s="10">
        <v>5808</v>
      </c>
      <c r="M96" s="10">
        <v>5808</v>
      </c>
      <c r="N96" s="9">
        <v>0</v>
      </c>
      <c r="O96" s="9">
        <v>0</v>
      </c>
      <c r="P96" s="9">
        <v>0</v>
      </c>
      <c r="R96" s="10">
        <v>5808</v>
      </c>
      <c r="U96" s="9">
        <v>1</v>
      </c>
      <c r="W96" s="9">
        <v>260326210686920</v>
      </c>
      <c r="X96" s="9" t="s">
        <v>2559</v>
      </c>
      <c r="Y96" s="9" t="s">
        <v>2560</v>
      </c>
      <c r="Z96" s="9" t="s">
        <v>2657</v>
      </c>
      <c r="AA96" s="12" t="s">
        <v>2658</v>
      </c>
      <c r="AF96" s="9">
        <v>10</v>
      </c>
      <c r="AG96" s="9" t="s">
        <v>2563</v>
      </c>
      <c r="AH96" s="9">
        <v>5280</v>
      </c>
      <c r="AP96" s="11">
        <v>46238</v>
      </c>
      <c r="AQ96" s="9" t="s">
        <v>2564</v>
      </c>
      <c r="AR96" s="9">
        <v>4</v>
      </c>
      <c r="AS96" s="9" t="s">
        <v>2565</v>
      </c>
      <c r="AU96" s="9" t="s">
        <v>2566</v>
      </c>
      <c r="AV96" s="9" t="s">
        <v>262</v>
      </c>
      <c r="AX96" s="9">
        <v>2608934</v>
      </c>
      <c r="AZ96" s="9">
        <v>306</v>
      </c>
      <c r="BA96" s="9">
        <v>282259</v>
      </c>
      <c r="BB96" s="11">
        <v>46243</v>
      </c>
      <c r="BC96" s="9">
        <v>1680</v>
      </c>
    </row>
    <row r="97" spans="1:56" ht="30" x14ac:dyDescent="0.25">
      <c r="A97" s="9" t="s">
        <v>2644</v>
      </c>
      <c r="B97" s="9">
        <v>947</v>
      </c>
      <c r="C97" s="9" t="s">
        <v>2645</v>
      </c>
      <c r="D97" s="9">
        <v>1403</v>
      </c>
      <c r="E97" s="9">
        <v>2026</v>
      </c>
      <c r="F97" s="9" t="s">
        <v>2741</v>
      </c>
      <c r="G97" s="9">
        <v>62071100</v>
      </c>
      <c r="H97" s="9">
        <v>2020</v>
      </c>
      <c r="I97" s="9">
        <v>1</v>
      </c>
      <c r="J97" s="9" t="s">
        <v>2558</v>
      </c>
      <c r="K97" s="9">
        <v>0</v>
      </c>
      <c r="L97" s="10">
        <v>5907</v>
      </c>
      <c r="M97" s="10">
        <v>5907</v>
      </c>
      <c r="N97" s="9">
        <v>0</v>
      </c>
      <c r="O97" s="9">
        <v>0</v>
      </c>
      <c r="P97" s="9">
        <v>0</v>
      </c>
      <c r="R97" s="10">
        <v>5907</v>
      </c>
      <c r="U97" s="9">
        <v>1</v>
      </c>
      <c r="W97" s="9">
        <v>260326210686920</v>
      </c>
      <c r="X97" s="9" t="s">
        <v>2559</v>
      </c>
      <c r="Y97" s="9" t="s">
        <v>2560</v>
      </c>
      <c r="Z97" s="9" t="s">
        <v>2657</v>
      </c>
      <c r="AA97" s="12" t="s">
        <v>2658</v>
      </c>
      <c r="AF97" s="9">
        <v>10</v>
      </c>
      <c r="AG97" s="9" t="s">
        <v>2563</v>
      </c>
      <c r="AH97" s="9">
        <v>5370</v>
      </c>
      <c r="AP97" s="11">
        <v>46238</v>
      </c>
      <c r="AQ97" s="9" t="s">
        <v>2564</v>
      </c>
      <c r="AR97" s="9">
        <v>4</v>
      </c>
      <c r="AS97" s="9" t="s">
        <v>2565</v>
      </c>
      <c r="AU97" s="9" t="s">
        <v>2566</v>
      </c>
      <c r="AV97" s="9" t="s">
        <v>262</v>
      </c>
      <c r="AX97" s="9">
        <v>2608935</v>
      </c>
      <c r="AZ97" s="9">
        <v>306</v>
      </c>
      <c r="BA97" s="9">
        <v>282241</v>
      </c>
      <c r="BB97" s="11">
        <v>46243</v>
      </c>
      <c r="BC97" s="9">
        <v>1680</v>
      </c>
    </row>
    <row r="98" spans="1:56" ht="30" x14ac:dyDescent="0.25">
      <c r="A98" s="9" t="s">
        <v>2644</v>
      </c>
      <c r="B98" s="9">
        <v>947</v>
      </c>
      <c r="C98" s="9" t="s">
        <v>2645</v>
      </c>
      <c r="D98" s="9">
        <v>1404</v>
      </c>
      <c r="E98" s="9">
        <v>2026</v>
      </c>
      <c r="F98" s="9" t="s">
        <v>2742</v>
      </c>
      <c r="G98" s="9">
        <v>62071100</v>
      </c>
      <c r="H98" s="9">
        <v>2020</v>
      </c>
      <c r="I98" s="9">
        <v>1</v>
      </c>
      <c r="J98" s="9" t="s">
        <v>2558</v>
      </c>
      <c r="K98" s="9">
        <v>0</v>
      </c>
      <c r="L98" s="10">
        <v>7392</v>
      </c>
      <c r="M98" s="10">
        <v>7392</v>
      </c>
      <c r="N98" s="9">
        <v>0</v>
      </c>
      <c r="O98" s="9">
        <v>0</v>
      </c>
      <c r="P98" s="9">
        <v>0</v>
      </c>
      <c r="R98" s="10">
        <v>7392</v>
      </c>
      <c r="U98" s="9">
        <v>1</v>
      </c>
      <c r="W98" s="9">
        <v>260326210686920</v>
      </c>
      <c r="X98" s="9" t="s">
        <v>2559</v>
      </c>
      <c r="Y98" s="9" t="s">
        <v>2560</v>
      </c>
      <c r="Z98" s="9" t="s">
        <v>2657</v>
      </c>
      <c r="AA98" s="12" t="s">
        <v>2658</v>
      </c>
      <c r="AF98" s="9">
        <v>10</v>
      </c>
      <c r="AG98" s="9" t="s">
        <v>2563</v>
      </c>
      <c r="AH98" s="9">
        <v>6720</v>
      </c>
      <c r="AO98" s="9" t="s">
        <v>2577</v>
      </c>
      <c r="AP98" s="11">
        <v>46238</v>
      </c>
      <c r="AQ98" s="9" t="s">
        <v>2564</v>
      </c>
      <c r="AR98" s="9">
        <v>4</v>
      </c>
      <c r="AS98" s="9" t="s">
        <v>2565</v>
      </c>
      <c r="AU98" s="9" t="s">
        <v>2566</v>
      </c>
      <c r="AV98" s="9" t="s">
        <v>262</v>
      </c>
      <c r="AX98" s="9">
        <v>2608936</v>
      </c>
      <c r="AZ98" s="9">
        <v>306</v>
      </c>
      <c r="BA98" s="9">
        <v>282252</v>
      </c>
      <c r="BB98" s="11">
        <v>46243</v>
      </c>
      <c r="BC98" s="9">
        <v>1680</v>
      </c>
    </row>
    <row r="99" spans="1:56" ht="30" x14ac:dyDescent="0.25">
      <c r="A99" s="9" t="s">
        <v>2644</v>
      </c>
      <c r="B99" s="9">
        <v>947</v>
      </c>
      <c r="C99" s="9" t="s">
        <v>2645</v>
      </c>
      <c r="D99" s="9">
        <v>1405</v>
      </c>
      <c r="E99" s="9">
        <v>2026</v>
      </c>
      <c r="F99" s="9" t="s">
        <v>2743</v>
      </c>
      <c r="G99" s="9">
        <v>62071100</v>
      </c>
      <c r="H99" s="9">
        <v>2020</v>
      </c>
      <c r="I99" s="9">
        <v>1</v>
      </c>
      <c r="J99" s="9" t="s">
        <v>2558</v>
      </c>
      <c r="K99" s="9">
        <v>0</v>
      </c>
      <c r="L99" s="10">
        <v>6600</v>
      </c>
      <c r="M99" s="10">
        <v>6600</v>
      </c>
      <c r="N99" s="9">
        <v>0</v>
      </c>
      <c r="O99" s="9">
        <v>0</v>
      </c>
      <c r="P99" s="9">
        <v>0</v>
      </c>
      <c r="R99" s="10">
        <v>6600</v>
      </c>
      <c r="U99" s="9">
        <v>1</v>
      </c>
      <c r="W99" s="9">
        <v>260326210686920</v>
      </c>
      <c r="X99" s="9" t="s">
        <v>2559</v>
      </c>
      <c r="Y99" s="9" t="s">
        <v>2560</v>
      </c>
      <c r="Z99" s="9" t="s">
        <v>2657</v>
      </c>
      <c r="AA99" s="12" t="s">
        <v>2658</v>
      </c>
      <c r="AF99" s="9">
        <v>10</v>
      </c>
      <c r="AG99" s="9" t="s">
        <v>2563</v>
      </c>
      <c r="AH99" s="9">
        <v>6000</v>
      </c>
      <c r="AO99" s="9" t="s">
        <v>2592</v>
      </c>
      <c r="AP99" s="11">
        <v>46238</v>
      </c>
      <c r="AQ99" s="9" t="s">
        <v>2564</v>
      </c>
      <c r="AR99" s="9">
        <v>4</v>
      </c>
      <c r="AS99" s="9" t="s">
        <v>2565</v>
      </c>
      <c r="AU99" s="9" t="s">
        <v>2566</v>
      </c>
      <c r="AV99" s="9" t="s">
        <v>262</v>
      </c>
      <c r="AX99" s="9">
        <v>2608937</v>
      </c>
      <c r="AZ99" s="9">
        <v>306</v>
      </c>
      <c r="BA99" s="9">
        <v>282267</v>
      </c>
      <c r="BB99" s="11">
        <v>46243</v>
      </c>
      <c r="BC99" s="9">
        <v>1680</v>
      </c>
    </row>
    <row r="100" spans="1:56" ht="30" x14ac:dyDescent="0.25">
      <c r="A100" s="9" t="s">
        <v>2644</v>
      </c>
      <c r="B100" s="9">
        <v>947</v>
      </c>
      <c r="C100" s="9" t="s">
        <v>2645</v>
      </c>
      <c r="D100" s="9">
        <v>1406</v>
      </c>
      <c r="E100" s="9">
        <v>2026</v>
      </c>
      <c r="F100" s="9" t="s">
        <v>2744</v>
      </c>
      <c r="G100" s="9">
        <v>62071100</v>
      </c>
      <c r="H100" s="9">
        <v>2000</v>
      </c>
      <c r="I100" s="9">
        <v>1</v>
      </c>
      <c r="J100" s="9" t="s">
        <v>2558</v>
      </c>
      <c r="K100" s="9">
        <v>0</v>
      </c>
      <c r="L100" s="10">
        <v>26400</v>
      </c>
      <c r="M100" s="10">
        <v>26400</v>
      </c>
      <c r="N100" s="9">
        <v>0</v>
      </c>
      <c r="O100" s="9">
        <v>0</v>
      </c>
      <c r="P100" s="9">
        <v>0</v>
      </c>
      <c r="R100" s="10">
        <v>26400</v>
      </c>
      <c r="U100" s="9">
        <v>1</v>
      </c>
      <c r="W100" s="9">
        <v>260326210686920</v>
      </c>
      <c r="X100" s="9" t="s">
        <v>2559</v>
      </c>
      <c r="Y100" s="9" t="s">
        <v>2560</v>
      </c>
      <c r="Z100" s="9" t="s">
        <v>2657</v>
      </c>
      <c r="AA100" s="12" t="s">
        <v>2658</v>
      </c>
      <c r="AF100" s="9">
        <v>10</v>
      </c>
      <c r="AG100" s="9" t="s">
        <v>2563</v>
      </c>
      <c r="AH100" s="9">
        <v>24000</v>
      </c>
      <c r="AP100" s="11">
        <v>46238</v>
      </c>
      <c r="AQ100" s="9" t="s">
        <v>2564</v>
      </c>
      <c r="AR100" s="9">
        <v>4</v>
      </c>
      <c r="AS100" s="9" t="s">
        <v>2565</v>
      </c>
      <c r="AU100" s="9" t="s">
        <v>2566</v>
      </c>
      <c r="AV100" s="9" t="s">
        <v>258</v>
      </c>
      <c r="AX100" s="9">
        <v>2608938</v>
      </c>
      <c r="AZ100" s="9">
        <v>306</v>
      </c>
      <c r="BA100" s="9">
        <v>282248</v>
      </c>
      <c r="BB100" s="11">
        <v>46243</v>
      </c>
      <c r="BC100" s="9">
        <v>1680</v>
      </c>
    </row>
    <row r="101" spans="1:56" x14ac:dyDescent="0.25">
      <c r="A101" s="9" t="s">
        <v>2644</v>
      </c>
      <c r="B101" s="9">
        <v>947</v>
      </c>
      <c r="C101" s="9" t="s">
        <v>2645</v>
      </c>
      <c r="D101" s="9">
        <v>1407</v>
      </c>
      <c r="E101" s="9">
        <v>2026</v>
      </c>
      <c r="F101" s="9" t="s">
        <v>2745</v>
      </c>
      <c r="G101" s="9">
        <v>62052000</v>
      </c>
      <c r="H101" s="9">
        <v>1100</v>
      </c>
      <c r="I101" s="9">
        <v>1</v>
      </c>
      <c r="J101" s="9" t="s">
        <v>2558</v>
      </c>
      <c r="K101" s="9">
        <v>0</v>
      </c>
      <c r="L101" s="10">
        <v>57736.24</v>
      </c>
      <c r="M101" s="10">
        <v>57736.24</v>
      </c>
      <c r="N101" s="9">
        <v>0</v>
      </c>
      <c r="O101" s="9">
        <v>0</v>
      </c>
      <c r="P101" s="9">
        <v>0</v>
      </c>
      <c r="R101" s="10">
        <v>57736.24</v>
      </c>
      <c r="U101" s="9">
        <v>1</v>
      </c>
      <c r="V101" s="11">
        <v>46248</v>
      </c>
      <c r="W101" s="9">
        <v>260326210686920</v>
      </c>
      <c r="X101" s="9" t="s">
        <v>2559</v>
      </c>
      <c r="Y101" s="9" t="s">
        <v>2560</v>
      </c>
      <c r="Z101" s="9" t="s">
        <v>2715</v>
      </c>
      <c r="AA101" s="9" t="s">
        <v>2716</v>
      </c>
      <c r="AB101" s="9" t="s">
        <v>2570</v>
      </c>
      <c r="AC101" s="11">
        <v>46256</v>
      </c>
      <c r="AD101" s="9">
        <v>947</v>
      </c>
      <c r="AF101" s="9">
        <v>10</v>
      </c>
      <c r="AG101" s="9" t="s">
        <v>2563</v>
      </c>
      <c r="AH101" s="9">
        <v>7592</v>
      </c>
      <c r="AL101" s="9">
        <v>2608946</v>
      </c>
      <c r="AM101" s="11">
        <v>46237</v>
      </c>
      <c r="AO101" s="9" t="s">
        <v>2571</v>
      </c>
      <c r="AP101" s="11">
        <v>46238</v>
      </c>
      <c r="AQ101" s="9" t="s">
        <v>2564</v>
      </c>
      <c r="AR101" s="9">
        <v>4</v>
      </c>
      <c r="AS101" s="9" t="s">
        <v>2718</v>
      </c>
      <c r="AT101" s="9">
        <v>1</v>
      </c>
      <c r="AU101" s="9" t="s">
        <v>2566</v>
      </c>
      <c r="AV101" s="9" t="s">
        <v>230</v>
      </c>
      <c r="AW101" s="9" t="s">
        <v>2746</v>
      </c>
      <c r="AX101" s="9">
        <v>2608946</v>
      </c>
      <c r="AY101" s="11">
        <v>46248</v>
      </c>
      <c r="AZ101" s="9">
        <v>306</v>
      </c>
      <c r="BA101" s="9">
        <v>266134</v>
      </c>
      <c r="BB101" s="11">
        <v>46239</v>
      </c>
      <c r="BC101" s="9">
        <v>1680</v>
      </c>
    </row>
    <row r="102" spans="1:56" ht="45" x14ac:dyDescent="0.25">
      <c r="A102" s="9" t="s">
        <v>2644</v>
      </c>
      <c r="B102" s="9">
        <v>947</v>
      </c>
      <c r="C102" s="9" t="s">
        <v>2645</v>
      </c>
      <c r="D102" s="9">
        <v>1650</v>
      </c>
      <c r="E102" s="9">
        <v>2026</v>
      </c>
      <c r="F102" s="9" t="s">
        <v>295</v>
      </c>
      <c r="G102" s="9">
        <v>62052000</v>
      </c>
      <c r="H102" s="9">
        <v>2000</v>
      </c>
      <c r="I102" s="9">
        <v>1</v>
      </c>
      <c r="J102" s="9" t="s">
        <v>2558</v>
      </c>
      <c r="K102" s="9">
        <v>0</v>
      </c>
      <c r="L102" s="10">
        <v>17987.599999999999</v>
      </c>
      <c r="M102" s="10">
        <v>17987.599999999999</v>
      </c>
      <c r="N102" s="9">
        <v>0</v>
      </c>
      <c r="O102" s="9">
        <v>0</v>
      </c>
      <c r="P102" s="9">
        <v>0</v>
      </c>
      <c r="U102" s="9">
        <v>1</v>
      </c>
      <c r="W102" s="9">
        <v>260326210686920</v>
      </c>
      <c r="X102" s="9" t="s">
        <v>2559</v>
      </c>
      <c r="Y102" s="9" t="s">
        <v>2560</v>
      </c>
      <c r="Z102" s="9" t="s">
        <v>2747</v>
      </c>
      <c r="AA102" s="12" t="s">
        <v>2704</v>
      </c>
      <c r="AF102" s="9">
        <v>10</v>
      </c>
      <c r="AG102" s="9" t="s">
        <v>2563</v>
      </c>
      <c r="AH102" s="13">
        <v>2624</v>
      </c>
      <c r="AO102" s="9" t="s">
        <v>2577</v>
      </c>
      <c r="AP102" s="11">
        <v>46267</v>
      </c>
      <c r="AQ102" s="9" t="s">
        <v>2564</v>
      </c>
      <c r="AR102" s="9">
        <v>4</v>
      </c>
      <c r="AS102" s="9" t="s">
        <v>2565</v>
      </c>
      <c r="AU102" s="9" t="s">
        <v>2566</v>
      </c>
      <c r="AV102" s="9" t="s">
        <v>124</v>
      </c>
      <c r="AX102" s="13">
        <v>2610021</v>
      </c>
      <c r="BC102" s="9">
        <v>1680</v>
      </c>
    </row>
    <row r="103" spans="1:56" ht="45" x14ac:dyDescent="0.25">
      <c r="A103" s="9" t="s">
        <v>2644</v>
      </c>
      <c r="B103" s="9">
        <v>947</v>
      </c>
      <c r="C103" s="9" t="s">
        <v>2645</v>
      </c>
      <c r="D103" s="9">
        <v>1651</v>
      </c>
      <c r="E103" s="9">
        <v>2026</v>
      </c>
      <c r="F103" s="9" t="s">
        <v>299</v>
      </c>
      <c r="G103" s="9">
        <v>62052000</v>
      </c>
      <c r="H103" s="9">
        <v>2000</v>
      </c>
      <c r="I103" s="9">
        <v>1</v>
      </c>
      <c r="J103" s="9" t="s">
        <v>2558</v>
      </c>
      <c r="K103" s="9">
        <v>0</v>
      </c>
      <c r="L103" s="10">
        <v>18228.25</v>
      </c>
      <c r="M103" s="10">
        <v>18228.25</v>
      </c>
      <c r="N103" s="9">
        <v>0</v>
      </c>
      <c r="O103" s="9">
        <v>0</v>
      </c>
      <c r="P103" s="9">
        <v>0</v>
      </c>
      <c r="U103" s="9">
        <v>1</v>
      </c>
      <c r="W103" s="9">
        <v>260326210686920</v>
      </c>
      <c r="X103" s="9" t="s">
        <v>2559</v>
      </c>
      <c r="Y103" s="9" t="s">
        <v>2560</v>
      </c>
      <c r="Z103" s="9" t="s">
        <v>2747</v>
      </c>
      <c r="AA103" s="12" t="s">
        <v>2704</v>
      </c>
      <c r="AF103" s="9">
        <v>10</v>
      </c>
      <c r="AG103" s="9" t="s">
        <v>2563</v>
      </c>
      <c r="AH103" s="13">
        <v>2659</v>
      </c>
      <c r="AO103" s="9" t="s">
        <v>2577</v>
      </c>
      <c r="AP103" s="11">
        <v>46267</v>
      </c>
      <c r="AQ103" s="9" t="s">
        <v>2564</v>
      </c>
      <c r="AR103" s="9">
        <v>4</v>
      </c>
      <c r="AS103" s="9" t="s">
        <v>2565</v>
      </c>
      <c r="AU103" s="9" t="s">
        <v>2566</v>
      </c>
      <c r="AV103" s="9" t="s">
        <v>124</v>
      </c>
      <c r="AX103" s="13">
        <v>2610022</v>
      </c>
      <c r="BC103" s="9">
        <v>1680</v>
      </c>
    </row>
    <row r="104" spans="1:56" ht="45" x14ac:dyDescent="0.25">
      <c r="A104" s="9" t="s">
        <v>2644</v>
      </c>
      <c r="B104" s="9">
        <v>947</v>
      </c>
      <c r="C104" s="9" t="s">
        <v>2645</v>
      </c>
      <c r="D104" s="9">
        <v>1652</v>
      </c>
      <c r="E104" s="9">
        <v>2026</v>
      </c>
      <c r="F104" s="9" t="s">
        <v>303</v>
      </c>
      <c r="G104" s="9">
        <v>61083100</v>
      </c>
      <c r="H104" s="9">
        <v>2000</v>
      </c>
      <c r="I104" s="9">
        <v>1</v>
      </c>
      <c r="J104" s="9" t="s">
        <v>2558</v>
      </c>
      <c r="K104" s="9">
        <v>0</v>
      </c>
      <c r="L104" s="10">
        <v>8162.6</v>
      </c>
      <c r="M104" s="10">
        <v>8162.6</v>
      </c>
      <c r="N104" s="9">
        <v>2524.5700000000002</v>
      </c>
      <c r="O104" s="9">
        <v>0</v>
      </c>
      <c r="P104" s="9">
        <v>0</v>
      </c>
      <c r="R104" s="10">
        <v>8162.6</v>
      </c>
      <c r="U104" s="9">
        <v>1</v>
      </c>
      <c r="V104" s="11">
        <v>46276</v>
      </c>
      <c r="W104" s="9">
        <v>260326210686920</v>
      </c>
      <c r="X104" s="9" t="s">
        <v>2559</v>
      </c>
      <c r="Y104" s="9" t="s">
        <v>2560</v>
      </c>
      <c r="Z104" s="9" t="s">
        <v>2747</v>
      </c>
      <c r="AA104" s="12" t="s">
        <v>2704</v>
      </c>
      <c r="AB104" s="9" t="s">
        <v>2570</v>
      </c>
      <c r="AC104" s="11">
        <v>46286</v>
      </c>
      <c r="AD104" s="9">
        <v>947</v>
      </c>
      <c r="AF104" s="9">
        <v>10</v>
      </c>
      <c r="AG104" s="9" t="s">
        <v>2563</v>
      </c>
      <c r="AH104" s="9">
        <v>2450</v>
      </c>
      <c r="AL104" s="9">
        <v>2610023</v>
      </c>
      <c r="AM104" s="11">
        <v>46267</v>
      </c>
      <c r="AO104" s="9" t="s">
        <v>2571</v>
      </c>
      <c r="AP104" s="11">
        <v>46267</v>
      </c>
      <c r="AQ104" s="9" t="s">
        <v>2564</v>
      </c>
      <c r="AR104" s="9">
        <v>9</v>
      </c>
      <c r="AS104" s="9" t="s">
        <v>2565</v>
      </c>
      <c r="AT104" s="9">
        <v>1</v>
      </c>
      <c r="AU104" s="9" t="s">
        <v>2566</v>
      </c>
      <c r="AV104" s="9" t="s">
        <v>124</v>
      </c>
      <c r="AW104" s="9" t="s">
        <v>2748</v>
      </c>
      <c r="AX104" s="9">
        <v>2610023</v>
      </c>
      <c r="AY104" s="11">
        <v>46276</v>
      </c>
      <c r="AZ104" s="9">
        <v>306</v>
      </c>
      <c r="BA104" s="9">
        <v>411358</v>
      </c>
      <c r="BB104" s="11">
        <v>46270</v>
      </c>
      <c r="BC104" s="9">
        <v>1680</v>
      </c>
    </row>
    <row r="105" spans="1:56" ht="45" x14ac:dyDescent="0.25">
      <c r="A105" s="9" t="s">
        <v>2644</v>
      </c>
      <c r="B105" s="9">
        <v>947</v>
      </c>
      <c r="C105" s="9" t="s">
        <v>2645</v>
      </c>
      <c r="D105" s="9">
        <v>1428</v>
      </c>
      <c r="E105" s="9">
        <v>2026</v>
      </c>
      <c r="F105" s="9" t="s">
        <v>2749</v>
      </c>
      <c r="G105" s="9">
        <v>62044200</v>
      </c>
      <c r="H105" s="9">
        <v>2000</v>
      </c>
      <c r="I105" s="9">
        <v>1</v>
      </c>
      <c r="J105" s="9" t="s">
        <v>2558</v>
      </c>
      <c r="L105" s="10">
        <v>28612.23</v>
      </c>
      <c r="M105" s="10">
        <v>28612.23</v>
      </c>
      <c r="N105" s="9">
        <v>0</v>
      </c>
      <c r="O105" s="9">
        <v>0</v>
      </c>
      <c r="P105" s="9">
        <v>0</v>
      </c>
      <c r="R105" s="10">
        <v>28612.23</v>
      </c>
      <c r="U105" s="9">
        <v>1</v>
      </c>
      <c r="W105" s="9">
        <v>260326210686920</v>
      </c>
      <c r="X105" s="9" t="s">
        <v>2559</v>
      </c>
      <c r="Y105" s="9" t="s">
        <v>2560</v>
      </c>
      <c r="Z105" s="9" t="s">
        <v>2661</v>
      </c>
      <c r="AA105" s="12" t="s">
        <v>2662</v>
      </c>
      <c r="AF105" s="9">
        <v>10</v>
      </c>
      <c r="AG105" s="9" t="s">
        <v>2563</v>
      </c>
      <c r="AH105" s="9">
        <v>7315</v>
      </c>
      <c r="AL105" s="9">
        <v>2609132</v>
      </c>
      <c r="AM105" s="11">
        <v>46238</v>
      </c>
      <c r="AP105" s="11">
        <v>46244</v>
      </c>
      <c r="AQ105" s="9" t="s">
        <v>2564</v>
      </c>
      <c r="AR105" s="9">
        <v>4</v>
      </c>
      <c r="AU105" s="9" t="s">
        <v>2566</v>
      </c>
      <c r="AZ105" s="9">
        <v>306</v>
      </c>
      <c r="BA105" s="9">
        <v>294230</v>
      </c>
      <c r="BB105" s="11">
        <v>46245</v>
      </c>
      <c r="BC105" s="9">
        <v>1680</v>
      </c>
    </row>
    <row r="106" spans="1:56" ht="45" x14ac:dyDescent="0.25">
      <c r="A106" s="9" t="s">
        <v>2644</v>
      </c>
      <c r="B106" s="9">
        <v>947</v>
      </c>
      <c r="C106" s="9" t="s">
        <v>2645</v>
      </c>
      <c r="D106" s="9">
        <v>1472</v>
      </c>
      <c r="E106" s="9">
        <v>2026</v>
      </c>
      <c r="F106" s="9" t="s">
        <v>2750</v>
      </c>
      <c r="G106" s="9">
        <v>62052000</v>
      </c>
      <c r="H106" s="9">
        <v>2000</v>
      </c>
      <c r="I106" s="9">
        <v>1</v>
      </c>
      <c r="J106" s="9" t="s">
        <v>2558</v>
      </c>
      <c r="L106" s="10">
        <v>5680.11</v>
      </c>
      <c r="M106" s="10">
        <v>5680.11</v>
      </c>
      <c r="N106" s="9">
        <v>0</v>
      </c>
      <c r="O106" s="9">
        <v>0</v>
      </c>
      <c r="P106" s="9">
        <v>0</v>
      </c>
      <c r="R106" s="10">
        <v>5680.11</v>
      </c>
      <c r="S106" s="11">
        <v>46282</v>
      </c>
      <c r="T106" s="10">
        <v>5680.11</v>
      </c>
      <c r="U106" s="9">
        <v>1</v>
      </c>
      <c r="V106" s="11">
        <v>46257</v>
      </c>
      <c r="W106" s="9">
        <v>260326210686920</v>
      </c>
      <c r="X106" s="9" t="s">
        <v>2559</v>
      </c>
      <c r="Y106" s="9" t="s">
        <v>2560</v>
      </c>
      <c r="Z106" s="9" t="s">
        <v>2661</v>
      </c>
      <c r="AA106" s="12" t="s">
        <v>2662</v>
      </c>
      <c r="AB106" s="9" t="s">
        <v>2570</v>
      </c>
      <c r="AC106" s="11">
        <v>46282</v>
      </c>
      <c r="AD106" s="9">
        <v>947</v>
      </c>
      <c r="AE106" s="9" t="s">
        <v>2570</v>
      </c>
      <c r="AF106" s="9">
        <v>10</v>
      </c>
      <c r="AG106" s="9" t="s">
        <v>2563</v>
      </c>
      <c r="AH106" s="9">
        <v>1906</v>
      </c>
      <c r="AJ106" s="9" t="s">
        <v>2751</v>
      </c>
      <c r="AK106" s="11">
        <v>46282</v>
      </c>
      <c r="AL106" s="9">
        <v>2609390</v>
      </c>
      <c r="AM106" s="11">
        <v>46250</v>
      </c>
      <c r="AO106" s="9" t="s">
        <v>2577</v>
      </c>
      <c r="AP106" s="11">
        <v>46250</v>
      </c>
      <c r="AQ106" s="9" t="s">
        <v>2564</v>
      </c>
      <c r="AR106" s="9">
        <v>4</v>
      </c>
      <c r="AT106" s="9">
        <v>1</v>
      </c>
      <c r="AU106" s="9" t="s">
        <v>2566</v>
      </c>
      <c r="AW106" s="9" t="s">
        <v>2752</v>
      </c>
      <c r="AY106" s="11">
        <v>46257</v>
      </c>
      <c r="AZ106" s="9">
        <v>306</v>
      </c>
      <c r="BA106" s="9">
        <v>330863</v>
      </c>
      <c r="BB106" s="11">
        <v>46252</v>
      </c>
      <c r="BC106" s="9">
        <v>1680</v>
      </c>
      <c r="BD106" s="9">
        <v>1</v>
      </c>
    </row>
    <row r="107" spans="1:56" x14ac:dyDescent="0.25">
      <c r="A107" s="9" t="s">
        <v>2644</v>
      </c>
      <c r="B107" s="9">
        <v>947</v>
      </c>
      <c r="C107" s="9" t="s">
        <v>2645</v>
      </c>
      <c r="D107" s="9">
        <v>1667</v>
      </c>
      <c r="E107" s="9">
        <v>2026</v>
      </c>
      <c r="F107" s="9" t="s">
        <v>2753</v>
      </c>
      <c r="G107" s="9">
        <v>62071100</v>
      </c>
      <c r="H107" s="9">
        <v>2020</v>
      </c>
      <c r="I107" s="9">
        <v>1</v>
      </c>
      <c r="J107" s="9" t="s">
        <v>2558</v>
      </c>
      <c r="L107" s="10">
        <v>24352.5</v>
      </c>
      <c r="M107" s="10">
        <v>24352.5</v>
      </c>
      <c r="N107" s="9">
        <v>0</v>
      </c>
      <c r="O107" s="9">
        <v>0</v>
      </c>
      <c r="P107" s="9">
        <v>0</v>
      </c>
      <c r="R107" s="10">
        <v>24352.5</v>
      </c>
      <c r="S107" s="11">
        <v>46289</v>
      </c>
      <c r="T107" s="10">
        <v>24147.9</v>
      </c>
      <c r="U107" s="9">
        <v>1</v>
      </c>
      <c r="V107" s="11">
        <v>46279</v>
      </c>
      <c r="W107" s="9">
        <v>260326210686920</v>
      </c>
      <c r="X107" s="9" t="s">
        <v>2559</v>
      </c>
      <c r="Y107" s="9" t="s">
        <v>2560</v>
      </c>
      <c r="Z107" s="9" t="s">
        <v>2652</v>
      </c>
      <c r="AA107" s="9" t="s">
        <v>2653</v>
      </c>
      <c r="AB107" s="9" t="s">
        <v>2570</v>
      </c>
      <c r="AC107" s="11">
        <v>46288</v>
      </c>
      <c r="AD107" s="9">
        <v>947</v>
      </c>
      <c r="AE107" s="9" t="s">
        <v>2570</v>
      </c>
      <c r="AF107" s="9">
        <v>10</v>
      </c>
      <c r="AG107" s="9" t="s">
        <v>2563</v>
      </c>
      <c r="AH107" s="9">
        <v>50000</v>
      </c>
      <c r="AJ107" s="9">
        <v>585</v>
      </c>
      <c r="AK107" s="11">
        <v>46288</v>
      </c>
      <c r="AL107" s="9">
        <v>2610111</v>
      </c>
      <c r="AM107" s="11">
        <v>46270</v>
      </c>
      <c r="AP107" s="11">
        <v>46270</v>
      </c>
      <c r="AQ107" s="9" t="s">
        <v>2564</v>
      </c>
      <c r="AR107" s="9">
        <v>4</v>
      </c>
      <c r="AT107" s="9">
        <v>6</v>
      </c>
      <c r="AU107" s="9" t="s">
        <v>2566</v>
      </c>
      <c r="AW107" s="9" t="s">
        <v>2754</v>
      </c>
      <c r="AY107" s="11">
        <v>46279</v>
      </c>
      <c r="AZ107" s="9">
        <v>306</v>
      </c>
      <c r="BA107" s="9">
        <v>427160</v>
      </c>
      <c r="BB107" s="11">
        <v>46274</v>
      </c>
      <c r="BC107" s="9">
        <v>1680</v>
      </c>
      <c r="BD107" s="9">
        <v>1</v>
      </c>
    </row>
    <row r="108" spans="1:56" x14ac:dyDescent="0.25">
      <c r="A108" s="9" t="s">
        <v>2644</v>
      </c>
      <c r="B108" s="9">
        <v>947</v>
      </c>
      <c r="C108" s="9" t="s">
        <v>2645</v>
      </c>
      <c r="D108" s="9">
        <v>1473</v>
      </c>
      <c r="E108" s="9">
        <v>2026</v>
      </c>
      <c r="F108" s="9" t="s">
        <v>2755</v>
      </c>
      <c r="G108" s="9">
        <v>61034900</v>
      </c>
      <c r="H108" s="9">
        <v>2109</v>
      </c>
      <c r="I108" s="9">
        <v>1</v>
      </c>
      <c r="J108" s="9" t="s">
        <v>2558</v>
      </c>
      <c r="L108" s="10">
        <v>35069.760000000002</v>
      </c>
      <c r="M108" s="10">
        <v>35069.760000000002</v>
      </c>
      <c r="N108" s="9">
        <v>0</v>
      </c>
      <c r="O108" s="9">
        <v>0</v>
      </c>
      <c r="P108" s="9">
        <v>0</v>
      </c>
      <c r="R108" s="10">
        <v>35069.760000000002</v>
      </c>
      <c r="S108" s="11">
        <v>46289</v>
      </c>
      <c r="T108" s="10">
        <v>35014.720000000001</v>
      </c>
      <c r="U108" s="9">
        <v>1</v>
      </c>
      <c r="V108" s="11">
        <v>46257</v>
      </c>
      <c r="W108" s="9">
        <v>260326210686920</v>
      </c>
      <c r="X108" s="9" t="s">
        <v>2559</v>
      </c>
      <c r="Y108" s="9" t="s">
        <v>2560</v>
      </c>
      <c r="Z108" s="9" t="s">
        <v>2756</v>
      </c>
      <c r="AA108" s="9" t="s">
        <v>2757</v>
      </c>
      <c r="AB108" s="9" t="s">
        <v>2570</v>
      </c>
      <c r="AC108" s="11">
        <v>46263</v>
      </c>
      <c r="AD108" s="9">
        <v>947</v>
      </c>
      <c r="AE108" s="9" t="s">
        <v>2570</v>
      </c>
      <c r="AF108" s="9">
        <v>10</v>
      </c>
      <c r="AG108" s="9" t="s">
        <v>2563</v>
      </c>
      <c r="AH108" s="9">
        <v>26568</v>
      </c>
      <c r="AJ108" s="9">
        <v>526</v>
      </c>
      <c r="AK108" s="11">
        <v>46264</v>
      </c>
      <c r="AL108" s="9">
        <v>2609400</v>
      </c>
      <c r="AM108" s="11">
        <v>46250</v>
      </c>
      <c r="AO108" s="9" t="s">
        <v>2571</v>
      </c>
      <c r="AP108" s="11">
        <v>46251</v>
      </c>
      <c r="AQ108" s="9" t="s">
        <v>2564</v>
      </c>
      <c r="AR108" s="9">
        <v>4</v>
      </c>
      <c r="AS108" s="9" t="s">
        <v>2758</v>
      </c>
      <c r="AT108" s="9">
        <v>1</v>
      </c>
      <c r="AU108" s="9" t="s">
        <v>2566</v>
      </c>
      <c r="AW108" s="9" t="s">
        <v>2759</v>
      </c>
      <c r="AY108" s="11">
        <v>46257</v>
      </c>
      <c r="AZ108" s="9">
        <v>306</v>
      </c>
      <c r="BA108" s="9">
        <v>324262</v>
      </c>
      <c r="BB108" s="11">
        <v>46251</v>
      </c>
      <c r="BC108" s="9">
        <v>1680</v>
      </c>
      <c r="BD108" s="9">
        <v>1</v>
      </c>
    </row>
    <row r="109" spans="1:56" ht="30" x14ac:dyDescent="0.25">
      <c r="A109" s="9" t="s">
        <v>2644</v>
      </c>
      <c r="B109" s="9">
        <v>947</v>
      </c>
      <c r="C109" s="9" t="s">
        <v>2645</v>
      </c>
      <c r="D109" s="9">
        <v>1510</v>
      </c>
      <c r="E109" s="9">
        <v>2026</v>
      </c>
      <c r="F109" s="9" t="s">
        <v>2760</v>
      </c>
      <c r="G109" s="9">
        <v>62050000</v>
      </c>
      <c r="H109" s="9">
        <v>2005</v>
      </c>
      <c r="I109" s="9">
        <v>1</v>
      </c>
      <c r="J109" s="9" t="s">
        <v>2558</v>
      </c>
      <c r="L109" s="10">
        <v>37486.36</v>
      </c>
      <c r="M109" s="10">
        <v>37486.36</v>
      </c>
      <c r="N109" s="9">
        <v>0</v>
      </c>
      <c r="O109" s="9">
        <v>0</v>
      </c>
      <c r="P109" s="9">
        <v>0</v>
      </c>
      <c r="R109" s="10">
        <v>37486.36</v>
      </c>
      <c r="W109" s="9">
        <v>260326210686920</v>
      </c>
      <c r="X109" s="9" t="s">
        <v>2559</v>
      </c>
      <c r="Y109" s="9" t="s">
        <v>2560</v>
      </c>
      <c r="Z109" s="9" t="s">
        <v>2683</v>
      </c>
      <c r="AA109" s="12" t="s">
        <v>2684</v>
      </c>
      <c r="AF109" s="9">
        <v>10</v>
      </c>
      <c r="AG109" s="9" t="s">
        <v>2563</v>
      </c>
      <c r="AH109" s="9">
        <v>7874</v>
      </c>
      <c r="AP109" s="11">
        <v>46255</v>
      </c>
      <c r="AQ109" s="9" t="s">
        <v>2564</v>
      </c>
      <c r="AR109" s="9">
        <v>4</v>
      </c>
      <c r="AU109" s="9" t="s">
        <v>2566</v>
      </c>
      <c r="AZ109" s="9">
        <v>306</v>
      </c>
      <c r="BA109" s="9">
        <v>346137</v>
      </c>
      <c r="BB109" s="11">
        <v>46255</v>
      </c>
      <c r="BC109" s="9">
        <v>1680</v>
      </c>
    </row>
    <row r="110" spans="1:56" x14ac:dyDescent="0.25">
      <c r="A110" s="9" t="s">
        <v>2644</v>
      </c>
      <c r="B110" s="9">
        <v>947</v>
      </c>
      <c r="C110" s="9" t="s">
        <v>2645</v>
      </c>
      <c r="D110" s="9">
        <v>1565</v>
      </c>
      <c r="E110" s="9">
        <v>2026</v>
      </c>
      <c r="F110" s="9" t="s">
        <v>2761</v>
      </c>
      <c r="G110" s="9">
        <v>62052000</v>
      </c>
      <c r="H110" s="9">
        <v>2020</v>
      </c>
      <c r="I110" s="9">
        <v>1</v>
      </c>
      <c r="J110" s="9" t="s">
        <v>2558</v>
      </c>
      <c r="K110" s="10">
        <v>3920.4</v>
      </c>
      <c r="L110" s="10">
        <v>15147</v>
      </c>
      <c r="M110" s="10">
        <v>15147</v>
      </c>
      <c r="N110" s="9">
        <v>0</v>
      </c>
      <c r="O110" s="9">
        <v>0</v>
      </c>
      <c r="P110" s="9">
        <v>0</v>
      </c>
      <c r="Q110" s="9">
        <v>3920.4</v>
      </c>
      <c r="R110" s="10">
        <v>3920.4</v>
      </c>
      <c r="U110" s="9">
        <v>1</v>
      </c>
      <c r="W110" s="9">
        <v>260326210686920</v>
      </c>
      <c r="X110" s="9" t="s">
        <v>2559</v>
      </c>
      <c r="Y110" s="9" t="s">
        <v>2560</v>
      </c>
      <c r="Z110" s="9" t="s">
        <v>2762</v>
      </c>
      <c r="AA110" s="9" t="s">
        <v>2763</v>
      </c>
      <c r="AF110" s="9">
        <v>10</v>
      </c>
      <c r="AG110" s="9" t="s">
        <v>2563</v>
      </c>
      <c r="AH110" s="9">
        <v>3564</v>
      </c>
      <c r="AO110" s="9" t="s">
        <v>2577</v>
      </c>
      <c r="AP110" s="11">
        <v>46261</v>
      </c>
      <c r="AQ110" s="9" t="s">
        <v>2564</v>
      </c>
      <c r="AR110" s="9">
        <v>4</v>
      </c>
      <c r="AS110" s="9" t="s">
        <v>2565</v>
      </c>
      <c r="AU110" s="9" t="s">
        <v>2566</v>
      </c>
      <c r="AV110" s="9" t="s">
        <v>252</v>
      </c>
      <c r="AX110" s="9">
        <v>2609756</v>
      </c>
      <c r="AZ110" s="9">
        <v>306</v>
      </c>
      <c r="BA110" s="9">
        <v>407782</v>
      </c>
      <c r="BB110" s="11">
        <v>46269</v>
      </c>
      <c r="BC110" s="9">
        <v>1680</v>
      </c>
    </row>
    <row r="111" spans="1:56" x14ac:dyDescent="0.25">
      <c r="A111" s="9" t="s">
        <v>2644</v>
      </c>
      <c r="B111" s="9">
        <v>947</v>
      </c>
      <c r="C111" s="9" t="s">
        <v>2645</v>
      </c>
      <c r="D111" s="9">
        <v>1566</v>
      </c>
      <c r="E111" s="9">
        <v>2026</v>
      </c>
      <c r="F111" s="9" t="s">
        <v>2764</v>
      </c>
      <c r="G111" s="9">
        <v>62052000</v>
      </c>
      <c r="H111" s="9">
        <v>2020</v>
      </c>
      <c r="I111" s="9">
        <v>1</v>
      </c>
      <c r="J111" s="9" t="s">
        <v>2558</v>
      </c>
      <c r="K111" s="9">
        <v>957</v>
      </c>
      <c r="L111" s="10">
        <v>3697.5</v>
      </c>
      <c r="M111" s="10">
        <v>3697.5</v>
      </c>
      <c r="N111" s="9">
        <v>0</v>
      </c>
      <c r="O111" s="9">
        <v>0</v>
      </c>
      <c r="P111" s="9">
        <v>0</v>
      </c>
      <c r="Q111" s="9">
        <v>957</v>
      </c>
      <c r="R111" s="9">
        <v>957</v>
      </c>
      <c r="U111" s="9">
        <v>1</v>
      </c>
      <c r="W111" s="9">
        <v>260326210686920</v>
      </c>
      <c r="X111" s="9" t="s">
        <v>2559</v>
      </c>
      <c r="Y111" s="9" t="s">
        <v>2560</v>
      </c>
      <c r="Z111" s="9" t="s">
        <v>2762</v>
      </c>
      <c r="AA111" s="9" t="s">
        <v>2763</v>
      </c>
      <c r="AF111" s="9">
        <v>10</v>
      </c>
      <c r="AG111" s="9" t="s">
        <v>2563</v>
      </c>
      <c r="AH111" s="9">
        <v>870</v>
      </c>
      <c r="AO111" s="9" t="s">
        <v>2577</v>
      </c>
      <c r="AP111" s="11">
        <v>46261</v>
      </c>
      <c r="AQ111" s="9" t="s">
        <v>2564</v>
      </c>
      <c r="AR111" s="9">
        <v>4</v>
      </c>
      <c r="AS111" s="9" t="s">
        <v>2565</v>
      </c>
      <c r="AU111" s="9" t="s">
        <v>2566</v>
      </c>
      <c r="AV111" s="9" t="s">
        <v>262</v>
      </c>
      <c r="AX111" s="9">
        <v>2609757</v>
      </c>
      <c r="AZ111" s="9">
        <v>306</v>
      </c>
      <c r="BA111" s="9">
        <v>397119</v>
      </c>
      <c r="BB111" s="11">
        <v>46267</v>
      </c>
      <c r="BC111" s="9">
        <v>1680</v>
      </c>
    </row>
    <row r="112" spans="1:56" x14ac:dyDescent="0.25">
      <c r="A112" s="9" t="s">
        <v>2644</v>
      </c>
      <c r="B112" s="9">
        <v>947</v>
      </c>
      <c r="C112" s="9" t="s">
        <v>2645</v>
      </c>
      <c r="D112" s="9">
        <v>1567</v>
      </c>
      <c r="E112" s="9">
        <v>2026</v>
      </c>
      <c r="F112" s="9" t="s">
        <v>2765</v>
      </c>
      <c r="G112" s="9">
        <v>62052000</v>
      </c>
      <c r="H112" s="9">
        <v>2020</v>
      </c>
      <c r="I112" s="9">
        <v>1</v>
      </c>
      <c r="J112" s="9" t="s">
        <v>2558</v>
      </c>
      <c r="K112" s="10">
        <v>3894</v>
      </c>
      <c r="L112" s="10">
        <v>15045</v>
      </c>
      <c r="M112" s="10">
        <v>15045</v>
      </c>
      <c r="N112" s="9">
        <v>0</v>
      </c>
      <c r="O112" s="9">
        <v>0</v>
      </c>
      <c r="P112" s="9">
        <v>0</v>
      </c>
      <c r="Q112" s="9">
        <v>3894</v>
      </c>
      <c r="R112" s="10">
        <v>3894</v>
      </c>
      <c r="U112" s="9">
        <v>1</v>
      </c>
      <c r="W112" s="9">
        <v>260326210686920</v>
      </c>
      <c r="X112" s="9" t="s">
        <v>2559</v>
      </c>
      <c r="Y112" s="9" t="s">
        <v>2560</v>
      </c>
      <c r="Z112" s="9" t="s">
        <v>2762</v>
      </c>
      <c r="AA112" s="9" t="s">
        <v>2763</v>
      </c>
      <c r="AF112" s="9">
        <v>10</v>
      </c>
      <c r="AG112" s="9" t="s">
        <v>2563</v>
      </c>
      <c r="AH112" s="9">
        <v>3540</v>
      </c>
      <c r="AO112" s="9" t="s">
        <v>2577</v>
      </c>
      <c r="AP112" s="11">
        <v>46261</v>
      </c>
      <c r="AQ112" s="9" t="s">
        <v>2564</v>
      </c>
      <c r="AR112" s="9">
        <v>4</v>
      </c>
      <c r="AS112" s="9" t="s">
        <v>2565</v>
      </c>
      <c r="AU112" s="9" t="s">
        <v>2566</v>
      </c>
      <c r="AV112" s="9" t="s">
        <v>252</v>
      </c>
      <c r="AX112" s="9">
        <v>2609758</v>
      </c>
      <c r="AZ112" s="9">
        <v>306</v>
      </c>
      <c r="BA112" s="9">
        <v>407784</v>
      </c>
      <c r="BB112" s="11">
        <v>46269</v>
      </c>
      <c r="BC112" s="9">
        <v>1680</v>
      </c>
    </row>
    <row r="113" spans="1:56" x14ac:dyDescent="0.25">
      <c r="A113" s="9" t="s">
        <v>2644</v>
      </c>
      <c r="B113" s="9">
        <v>947</v>
      </c>
      <c r="C113" s="9" t="s">
        <v>2645</v>
      </c>
      <c r="D113" s="9">
        <v>1568</v>
      </c>
      <c r="E113" s="9">
        <v>2026</v>
      </c>
      <c r="F113" s="9" t="s">
        <v>2766</v>
      </c>
      <c r="G113" s="9">
        <v>62052000</v>
      </c>
      <c r="H113" s="9">
        <v>2020</v>
      </c>
      <c r="I113" s="9">
        <v>1</v>
      </c>
      <c r="J113" s="9" t="s">
        <v>2558</v>
      </c>
      <c r="K113" s="10">
        <v>2376</v>
      </c>
      <c r="L113" s="10">
        <v>9180</v>
      </c>
      <c r="M113" s="10">
        <v>9180</v>
      </c>
      <c r="N113" s="9">
        <v>0</v>
      </c>
      <c r="O113" s="9">
        <v>0</v>
      </c>
      <c r="P113" s="9">
        <v>0</v>
      </c>
      <c r="Q113" s="9">
        <v>2376</v>
      </c>
      <c r="R113" s="10">
        <v>2376</v>
      </c>
      <c r="U113" s="9">
        <v>1</v>
      </c>
      <c r="W113" s="9">
        <v>260326210686920</v>
      </c>
      <c r="X113" s="9" t="s">
        <v>2559</v>
      </c>
      <c r="Y113" s="9" t="s">
        <v>2560</v>
      </c>
      <c r="Z113" s="9" t="s">
        <v>2762</v>
      </c>
      <c r="AA113" s="9" t="s">
        <v>2763</v>
      </c>
      <c r="AF113" s="9">
        <v>10</v>
      </c>
      <c r="AG113" s="9" t="s">
        <v>2563</v>
      </c>
      <c r="AH113" s="9">
        <v>2160</v>
      </c>
      <c r="AO113" s="9" t="s">
        <v>2577</v>
      </c>
      <c r="AP113" s="11">
        <v>46261</v>
      </c>
      <c r="AQ113" s="9" t="s">
        <v>2564</v>
      </c>
      <c r="AR113" s="9">
        <v>4</v>
      </c>
      <c r="AS113" s="9" t="s">
        <v>2565</v>
      </c>
      <c r="AU113" s="9" t="s">
        <v>2566</v>
      </c>
      <c r="AV113" s="9" t="s">
        <v>262</v>
      </c>
      <c r="AX113" s="9">
        <v>2609759</v>
      </c>
      <c r="AZ113" s="9">
        <v>306</v>
      </c>
      <c r="BA113" s="9">
        <v>400013</v>
      </c>
      <c r="BB113" s="11">
        <v>46268</v>
      </c>
      <c r="BC113" s="9">
        <v>1680</v>
      </c>
    </row>
    <row r="114" spans="1:56" x14ac:dyDescent="0.25">
      <c r="A114" s="9" t="s">
        <v>2644</v>
      </c>
      <c r="B114" s="9">
        <v>947</v>
      </c>
      <c r="C114" s="9" t="s">
        <v>2645</v>
      </c>
      <c r="D114" s="9">
        <v>1569</v>
      </c>
      <c r="E114" s="9">
        <v>2026</v>
      </c>
      <c r="F114" s="9" t="s">
        <v>2767</v>
      </c>
      <c r="G114" s="9">
        <v>62052000</v>
      </c>
      <c r="H114" s="9">
        <v>2016</v>
      </c>
      <c r="I114" s="9">
        <v>1</v>
      </c>
      <c r="J114" s="9" t="s">
        <v>2558</v>
      </c>
      <c r="K114" s="10">
        <v>5643</v>
      </c>
      <c r="L114" s="10">
        <v>21802.5</v>
      </c>
      <c r="M114" s="10">
        <v>21802.5</v>
      </c>
      <c r="N114" s="9">
        <v>0</v>
      </c>
      <c r="O114" s="9">
        <v>0</v>
      </c>
      <c r="P114" s="9">
        <v>0</v>
      </c>
      <c r="Q114" s="9">
        <v>5643</v>
      </c>
      <c r="R114" s="10">
        <v>5643</v>
      </c>
      <c r="U114" s="9">
        <v>1</v>
      </c>
      <c r="W114" s="9">
        <v>260326210686920</v>
      </c>
      <c r="X114" s="9" t="s">
        <v>2559</v>
      </c>
      <c r="Y114" s="9" t="s">
        <v>2560</v>
      </c>
      <c r="Z114" s="9" t="s">
        <v>2762</v>
      </c>
      <c r="AA114" s="9" t="s">
        <v>2763</v>
      </c>
      <c r="AF114" s="9">
        <v>10</v>
      </c>
      <c r="AG114" s="9" t="s">
        <v>2563</v>
      </c>
      <c r="AH114" s="9">
        <v>5130</v>
      </c>
      <c r="AO114" s="9" t="s">
        <v>2577</v>
      </c>
      <c r="AP114" s="11">
        <v>46261</v>
      </c>
      <c r="AQ114" s="9" t="s">
        <v>2564</v>
      </c>
      <c r="AR114" s="9">
        <v>4</v>
      </c>
      <c r="AS114" s="9" t="s">
        <v>2565</v>
      </c>
      <c r="AU114" s="9" t="s">
        <v>2566</v>
      </c>
      <c r="AV114" s="9" t="s">
        <v>183</v>
      </c>
      <c r="AX114" s="9">
        <v>2609760</v>
      </c>
      <c r="AZ114" s="9">
        <v>306</v>
      </c>
      <c r="BA114" s="9">
        <v>407777</v>
      </c>
      <c r="BB114" s="11">
        <v>46269</v>
      </c>
      <c r="BC114" s="9">
        <v>1680</v>
      </c>
    </row>
    <row r="115" spans="1:56" x14ac:dyDescent="0.25">
      <c r="A115" s="9" t="s">
        <v>2644</v>
      </c>
      <c r="B115" s="9">
        <v>947</v>
      </c>
      <c r="C115" s="9" t="s">
        <v>2645</v>
      </c>
      <c r="D115" s="9">
        <v>1570</v>
      </c>
      <c r="E115" s="9">
        <v>2026</v>
      </c>
      <c r="F115" s="9" t="s">
        <v>2768</v>
      </c>
      <c r="G115" s="9">
        <v>62052000</v>
      </c>
      <c r="H115" s="9">
        <v>2000</v>
      </c>
      <c r="I115" s="9">
        <v>1</v>
      </c>
      <c r="J115" s="9" t="s">
        <v>2558</v>
      </c>
      <c r="L115" s="10">
        <v>14403.85</v>
      </c>
      <c r="M115" s="10">
        <v>14403.85</v>
      </c>
      <c r="N115" s="9">
        <v>0</v>
      </c>
      <c r="O115" s="9">
        <v>0</v>
      </c>
      <c r="P115" s="9">
        <v>0</v>
      </c>
      <c r="R115" s="10">
        <v>14403.85</v>
      </c>
      <c r="U115" s="9">
        <v>8</v>
      </c>
      <c r="W115" s="9">
        <v>260326210686920</v>
      </c>
      <c r="X115" s="9" t="s">
        <v>2559</v>
      </c>
      <c r="Y115" s="9" t="s">
        <v>2560</v>
      </c>
      <c r="Z115" s="9" t="s">
        <v>2769</v>
      </c>
      <c r="AA115" s="9" t="s">
        <v>2770</v>
      </c>
      <c r="AF115" s="9">
        <v>10</v>
      </c>
      <c r="AG115" s="9" t="s">
        <v>2563</v>
      </c>
      <c r="AH115" s="9">
        <v>2611</v>
      </c>
      <c r="AO115" s="9" t="s">
        <v>2577</v>
      </c>
      <c r="AP115" s="11">
        <v>46261</v>
      </c>
      <c r="AQ115" s="9" t="s">
        <v>2564</v>
      </c>
      <c r="AR115" s="9">
        <v>4</v>
      </c>
      <c r="AU115" s="9" t="s">
        <v>2566</v>
      </c>
      <c r="AZ115" s="9">
        <v>101</v>
      </c>
      <c r="BA115" s="9">
        <v>908573</v>
      </c>
      <c r="BB115" s="11">
        <v>46268</v>
      </c>
      <c r="BC115" s="9">
        <v>1680</v>
      </c>
    </row>
    <row r="116" spans="1:56" x14ac:dyDescent="0.25">
      <c r="A116" s="9" t="s">
        <v>2644</v>
      </c>
      <c r="B116" s="9">
        <v>947</v>
      </c>
      <c r="C116" s="9" t="s">
        <v>2645</v>
      </c>
      <c r="D116" s="9">
        <v>1495</v>
      </c>
      <c r="E116" s="9">
        <v>2026</v>
      </c>
      <c r="F116" s="9" t="s">
        <v>2771</v>
      </c>
      <c r="G116" s="9">
        <v>62052000</v>
      </c>
      <c r="H116" s="9">
        <v>2005</v>
      </c>
      <c r="I116" s="9">
        <v>1</v>
      </c>
      <c r="J116" s="9" t="s">
        <v>2558</v>
      </c>
      <c r="K116" s="9">
        <v>0</v>
      </c>
      <c r="L116" s="10">
        <v>28716.6</v>
      </c>
      <c r="M116" s="10">
        <v>28716.6</v>
      </c>
      <c r="N116" s="9">
        <v>0</v>
      </c>
      <c r="O116" s="9">
        <v>0</v>
      </c>
      <c r="P116" s="9">
        <v>0</v>
      </c>
      <c r="R116" s="10">
        <v>28716.6</v>
      </c>
      <c r="S116" s="11">
        <v>46282</v>
      </c>
      <c r="T116" s="10">
        <v>27383.91</v>
      </c>
      <c r="U116" s="9">
        <v>1</v>
      </c>
      <c r="V116" s="11">
        <v>46259</v>
      </c>
      <c r="W116" s="9">
        <v>260326210686920</v>
      </c>
      <c r="X116" s="9" t="s">
        <v>2559</v>
      </c>
      <c r="Y116" s="9" t="s">
        <v>2560</v>
      </c>
      <c r="Z116" s="9" t="s">
        <v>2734</v>
      </c>
      <c r="AA116" s="9" t="s">
        <v>2772</v>
      </c>
      <c r="AB116" s="9" t="s">
        <v>2570</v>
      </c>
      <c r="AC116" s="11">
        <v>46280</v>
      </c>
      <c r="AD116" s="9">
        <v>947</v>
      </c>
      <c r="AE116" s="9" t="s">
        <v>2570</v>
      </c>
      <c r="AF116" s="9">
        <v>10</v>
      </c>
      <c r="AG116" s="9" t="s">
        <v>2563</v>
      </c>
      <c r="AH116" s="9">
        <v>9036</v>
      </c>
      <c r="AJ116" s="9" t="s">
        <v>2773</v>
      </c>
      <c r="AK116" s="11">
        <v>46281</v>
      </c>
      <c r="AL116" s="9">
        <v>2609476</v>
      </c>
      <c r="AM116" s="11">
        <v>46254</v>
      </c>
      <c r="AO116" s="9" t="s">
        <v>2774</v>
      </c>
      <c r="AP116" s="11">
        <v>46254</v>
      </c>
      <c r="AQ116" s="9" t="s">
        <v>2564</v>
      </c>
      <c r="AR116" s="9">
        <v>4</v>
      </c>
      <c r="AS116" s="9" t="s">
        <v>2565</v>
      </c>
      <c r="AT116" s="9">
        <v>1</v>
      </c>
      <c r="AU116" s="9" t="s">
        <v>2566</v>
      </c>
      <c r="AV116" s="9" t="s">
        <v>49</v>
      </c>
      <c r="AW116" s="9" t="s">
        <v>2775</v>
      </c>
      <c r="AX116" s="9">
        <v>2609476</v>
      </c>
      <c r="AY116" s="11">
        <v>46259</v>
      </c>
      <c r="AZ116" s="9">
        <v>306</v>
      </c>
      <c r="BA116" s="9">
        <v>338219</v>
      </c>
      <c r="BB116" s="11">
        <v>46254</v>
      </c>
      <c r="BC116" s="9">
        <v>1680</v>
      </c>
      <c r="BD116" s="9">
        <v>1</v>
      </c>
    </row>
    <row r="117" spans="1:56" x14ac:dyDescent="0.25">
      <c r="A117" s="9" t="s">
        <v>2644</v>
      </c>
      <c r="B117" s="9">
        <v>947</v>
      </c>
      <c r="C117" s="9" t="s">
        <v>2645</v>
      </c>
      <c r="D117" s="9">
        <v>1452</v>
      </c>
      <c r="E117" s="9">
        <v>2026</v>
      </c>
      <c r="F117" s="9" t="s">
        <v>2776</v>
      </c>
      <c r="G117" s="9">
        <v>62071100</v>
      </c>
      <c r="H117" s="9">
        <v>2016</v>
      </c>
      <c r="I117" s="9">
        <v>1</v>
      </c>
      <c r="J117" s="9" t="s">
        <v>2558</v>
      </c>
      <c r="K117" s="9">
        <v>0</v>
      </c>
      <c r="L117" s="10">
        <v>17801.2</v>
      </c>
      <c r="M117" s="10">
        <v>17801.2</v>
      </c>
      <c r="N117" s="9">
        <v>0</v>
      </c>
      <c r="O117" s="9">
        <v>0</v>
      </c>
      <c r="P117" s="9">
        <v>0</v>
      </c>
      <c r="R117" s="10">
        <v>17801.2</v>
      </c>
      <c r="S117" s="11">
        <v>46286</v>
      </c>
      <c r="T117" s="10">
        <v>17665.82</v>
      </c>
      <c r="U117" s="9">
        <v>1</v>
      </c>
      <c r="V117" s="11">
        <v>46263</v>
      </c>
      <c r="W117" s="9">
        <v>260326210686920</v>
      </c>
      <c r="X117" s="9" t="s">
        <v>2559</v>
      </c>
      <c r="Y117" s="9" t="s">
        <v>2560</v>
      </c>
      <c r="Z117" s="9" t="s">
        <v>2652</v>
      </c>
      <c r="AA117" s="9" t="s">
        <v>2653</v>
      </c>
      <c r="AB117" s="9" t="s">
        <v>2570</v>
      </c>
      <c r="AC117" s="11">
        <v>46285</v>
      </c>
      <c r="AD117" s="9">
        <v>947</v>
      </c>
      <c r="AE117" s="9" t="s">
        <v>2570</v>
      </c>
      <c r="AF117" s="9">
        <v>10</v>
      </c>
      <c r="AG117" s="9" t="s">
        <v>2563</v>
      </c>
      <c r="AH117" s="9">
        <v>24000</v>
      </c>
      <c r="AJ117" s="9" t="s">
        <v>2690</v>
      </c>
      <c r="AK117" s="11">
        <v>46285</v>
      </c>
      <c r="AL117" s="9">
        <v>2609262</v>
      </c>
      <c r="AM117" s="11">
        <v>46247</v>
      </c>
      <c r="AP117" s="11">
        <v>46247</v>
      </c>
      <c r="AQ117" s="9" t="s">
        <v>2564</v>
      </c>
      <c r="AR117" s="9">
        <v>4</v>
      </c>
      <c r="AS117" s="9" t="s">
        <v>2565</v>
      </c>
      <c r="AT117" s="9">
        <v>6</v>
      </c>
      <c r="AU117" s="9" t="s">
        <v>2566</v>
      </c>
      <c r="AV117" s="9" t="s">
        <v>183</v>
      </c>
      <c r="AW117" s="9" t="s">
        <v>2777</v>
      </c>
      <c r="AX117" s="9">
        <v>2609262</v>
      </c>
      <c r="AY117" s="11">
        <v>46263</v>
      </c>
      <c r="AZ117" s="9">
        <v>306</v>
      </c>
      <c r="BA117" s="9">
        <v>328149</v>
      </c>
      <c r="BB117" s="11">
        <v>46252</v>
      </c>
      <c r="BC117" s="9">
        <v>1680</v>
      </c>
      <c r="BD117" s="9">
        <v>1</v>
      </c>
    </row>
    <row r="118" spans="1:56" x14ac:dyDescent="0.25">
      <c r="A118" s="9" t="s">
        <v>2644</v>
      </c>
      <c r="B118" s="9">
        <v>947</v>
      </c>
      <c r="C118" s="9" t="s">
        <v>2645</v>
      </c>
      <c r="D118" s="9">
        <v>1453</v>
      </c>
      <c r="E118" s="9">
        <v>2026</v>
      </c>
      <c r="F118" s="9" t="s">
        <v>2778</v>
      </c>
      <c r="G118" s="9">
        <v>62071100</v>
      </c>
      <c r="H118" s="9">
        <v>2020</v>
      </c>
      <c r="I118" s="9">
        <v>1</v>
      </c>
      <c r="J118" s="9" t="s">
        <v>2558</v>
      </c>
      <c r="K118" s="9">
        <v>0</v>
      </c>
      <c r="L118" s="10">
        <v>2558.92</v>
      </c>
      <c r="M118" s="10">
        <v>2558.92</v>
      </c>
      <c r="N118" s="9">
        <v>0</v>
      </c>
      <c r="O118" s="9">
        <v>0</v>
      </c>
      <c r="P118" s="9">
        <v>0</v>
      </c>
      <c r="R118" s="10">
        <v>2558.92</v>
      </c>
      <c r="S118" s="11">
        <v>46275</v>
      </c>
      <c r="T118" s="10">
        <v>2539.66</v>
      </c>
      <c r="U118" s="9">
        <v>1</v>
      </c>
      <c r="V118" s="11">
        <v>46262</v>
      </c>
      <c r="W118" s="9">
        <v>260326210686920</v>
      </c>
      <c r="X118" s="9" t="s">
        <v>2559</v>
      </c>
      <c r="Y118" s="9" t="s">
        <v>2560</v>
      </c>
      <c r="Z118" s="9" t="s">
        <v>2652</v>
      </c>
      <c r="AA118" s="9" t="s">
        <v>2653</v>
      </c>
      <c r="AB118" s="9" t="s">
        <v>2570</v>
      </c>
      <c r="AC118" s="11">
        <v>46272</v>
      </c>
      <c r="AD118" s="9">
        <v>947</v>
      </c>
      <c r="AE118" s="9" t="s">
        <v>2570</v>
      </c>
      <c r="AF118" s="9">
        <v>10</v>
      </c>
      <c r="AG118" s="9" t="s">
        <v>2563</v>
      </c>
      <c r="AH118" s="9">
        <v>3450</v>
      </c>
      <c r="AJ118" s="9" t="s">
        <v>2654</v>
      </c>
      <c r="AK118" s="11">
        <v>46274</v>
      </c>
      <c r="AL118" s="9">
        <v>2609263</v>
      </c>
      <c r="AM118" s="11">
        <v>46247</v>
      </c>
      <c r="AO118" s="9" t="s">
        <v>2577</v>
      </c>
      <c r="AP118" s="11">
        <v>46247</v>
      </c>
      <c r="AQ118" s="9" t="s">
        <v>2564</v>
      </c>
      <c r="AR118" s="9">
        <v>4</v>
      </c>
      <c r="AS118" s="9" t="s">
        <v>2565</v>
      </c>
      <c r="AT118" s="9">
        <v>6</v>
      </c>
      <c r="AU118" s="9" t="s">
        <v>2566</v>
      </c>
      <c r="AV118" s="9" t="s">
        <v>252</v>
      </c>
      <c r="AW118" s="9" t="s">
        <v>2779</v>
      </c>
      <c r="AX118" s="9">
        <v>2609263</v>
      </c>
      <c r="AY118" s="11">
        <v>46262</v>
      </c>
      <c r="AZ118" s="9">
        <v>306</v>
      </c>
      <c r="BA118" s="9">
        <v>328130</v>
      </c>
      <c r="BB118" s="11">
        <v>46252</v>
      </c>
      <c r="BC118" s="9">
        <v>1680</v>
      </c>
      <c r="BD118" s="9">
        <v>1</v>
      </c>
    </row>
    <row r="119" spans="1:56" x14ac:dyDescent="0.25">
      <c r="A119" s="9" t="s">
        <v>2644</v>
      </c>
      <c r="B119" s="9">
        <v>947</v>
      </c>
      <c r="C119" s="9" t="s">
        <v>2645</v>
      </c>
      <c r="D119" s="9">
        <v>1454</v>
      </c>
      <c r="E119" s="9">
        <v>2026</v>
      </c>
      <c r="F119" s="9" t="s">
        <v>2780</v>
      </c>
      <c r="G119" s="9">
        <v>62071100</v>
      </c>
      <c r="H119" s="9">
        <v>2020</v>
      </c>
      <c r="I119" s="9">
        <v>1</v>
      </c>
      <c r="J119" s="9" t="s">
        <v>2558</v>
      </c>
      <c r="K119" s="9">
        <v>0</v>
      </c>
      <c r="L119" s="10">
        <v>3026.2</v>
      </c>
      <c r="M119" s="10">
        <v>3026.2</v>
      </c>
      <c r="N119" s="9">
        <v>0</v>
      </c>
      <c r="O119" s="9">
        <v>0</v>
      </c>
      <c r="P119" s="9">
        <v>0</v>
      </c>
      <c r="R119" s="10">
        <v>3026.2</v>
      </c>
      <c r="S119" s="11">
        <v>46286</v>
      </c>
      <c r="T119" s="10">
        <v>3003.02</v>
      </c>
      <c r="U119" s="9">
        <v>1</v>
      </c>
      <c r="V119" s="11">
        <v>46265</v>
      </c>
      <c r="W119" s="9">
        <v>260326210686920</v>
      </c>
      <c r="X119" s="9" t="s">
        <v>2559</v>
      </c>
      <c r="Y119" s="9" t="s">
        <v>2560</v>
      </c>
      <c r="Z119" s="9" t="s">
        <v>2652</v>
      </c>
      <c r="AA119" s="9" t="s">
        <v>2653</v>
      </c>
      <c r="AB119" s="9" t="s">
        <v>2570</v>
      </c>
      <c r="AC119" s="11">
        <v>46285</v>
      </c>
      <c r="AD119" s="9">
        <v>947</v>
      </c>
      <c r="AE119" s="9" t="s">
        <v>2570</v>
      </c>
      <c r="AF119" s="9">
        <v>10</v>
      </c>
      <c r="AG119" s="9" t="s">
        <v>2563</v>
      </c>
      <c r="AH119" s="9">
        <v>4080</v>
      </c>
      <c r="AJ119" s="9" t="s">
        <v>2690</v>
      </c>
      <c r="AK119" s="11">
        <v>46285</v>
      </c>
      <c r="AL119" s="9">
        <v>2609264</v>
      </c>
      <c r="AM119" s="11">
        <v>46247</v>
      </c>
      <c r="AP119" s="11">
        <v>46247</v>
      </c>
      <c r="AQ119" s="9" t="s">
        <v>2564</v>
      </c>
      <c r="AR119" s="9">
        <v>4</v>
      </c>
      <c r="AS119" s="9" t="s">
        <v>2565</v>
      </c>
      <c r="AT119" s="9">
        <v>6</v>
      </c>
      <c r="AU119" s="9" t="s">
        <v>2566</v>
      </c>
      <c r="AV119" s="9" t="s">
        <v>262</v>
      </c>
      <c r="AW119" s="9" t="s">
        <v>2781</v>
      </c>
      <c r="AX119" s="9">
        <v>2609264</v>
      </c>
      <c r="AY119" s="11">
        <v>46265</v>
      </c>
      <c r="AZ119" s="9">
        <v>306</v>
      </c>
      <c r="BA119" s="9">
        <v>328122</v>
      </c>
      <c r="BB119" s="11">
        <v>46252</v>
      </c>
      <c r="BC119" s="9">
        <v>1680</v>
      </c>
      <c r="BD119" s="9">
        <v>1</v>
      </c>
    </row>
    <row r="120" spans="1:56" x14ac:dyDescent="0.25">
      <c r="A120" s="9" t="s">
        <v>2644</v>
      </c>
      <c r="B120" s="9">
        <v>947</v>
      </c>
      <c r="C120" s="9" t="s">
        <v>2645</v>
      </c>
      <c r="D120" s="9">
        <v>1455</v>
      </c>
      <c r="E120" s="9">
        <v>2026</v>
      </c>
      <c r="F120" s="9" t="s">
        <v>2782</v>
      </c>
      <c r="G120" s="9">
        <v>62071100</v>
      </c>
      <c r="H120" s="9">
        <v>2000</v>
      </c>
      <c r="I120" s="9">
        <v>1</v>
      </c>
      <c r="J120" s="9" t="s">
        <v>2558</v>
      </c>
      <c r="K120" s="9">
        <v>0</v>
      </c>
      <c r="L120" s="10">
        <v>25233.200000000001</v>
      </c>
      <c r="M120" s="10">
        <v>25233.200000000001</v>
      </c>
      <c r="N120" s="9">
        <v>0</v>
      </c>
      <c r="O120" s="9">
        <v>0</v>
      </c>
      <c r="P120" s="9">
        <v>0</v>
      </c>
      <c r="R120" s="10">
        <v>25233.200000000001</v>
      </c>
      <c r="S120" s="11">
        <v>46275</v>
      </c>
      <c r="T120" s="10">
        <v>25043.25</v>
      </c>
      <c r="U120" s="9">
        <v>1</v>
      </c>
      <c r="V120" s="11">
        <v>46262</v>
      </c>
      <c r="W120" s="9">
        <v>260326210686920</v>
      </c>
      <c r="X120" s="9" t="s">
        <v>2559</v>
      </c>
      <c r="Y120" s="9" t="s">
        <v>2560</v>
      </c>
      <c r="Z120" s="9" t="s">
        <v>2652</v>
      </c>
      <c r="AA120" s="9" t="s">
        <v>2653</v>
      </c>
      <c r="AB120" s="9" t="s">
        <v>2570</v>
      </c>
      <c r="AC120" s="11">
        <v>46272</v>
      </c>
      <c r="AD120" s="9">
        <v>947</v>
      </c>
      <c r="AE120" s="9" t="s">
        <v>2570</v>
      </c>
      <c r="AF120" s="9">
        <v>10</v>
      </c>
      <c r="AG120" s="9" t="s">
        <v>2563</v>
      </c>
      <c r="AH120" s="9">
        <v>34020</v>
      </c>
      <c r="AJ120" s="9" t="s">
        <v>2654</v>
      </c>
      <c r="AK120" s="11">
        <v>46274</v>
      </c>
      <c r="AL120" s="9">
        <v>2609265</v>
      </c>
      <c r="AM120" s="11">
        <v>46247</v>
      </c>
      <c r="AP120" s="11">
        <v>46247</v>
      </c>
      <c r="AQ120" s="9" t="s">
        <v>2564</v>
      </c>
      <c r="AR120" s="9">
        <v>4</v>
      </c>
      <c r="AS120" s="9" t="s">
        <v>2565</v>
      </c>
      <c r="AT120" s="9">
        <v>6</v>
      </c>
      <c r="AU120" s="9" t="s">
        <v>2566</v>
      </c>
      <c r="AV120" s="9" t="s">
        <v>258</v>
      </c>
      <c r="AW120" s="9" t="s">
        <v>2783</v>
      </c>
      <c r="AX120" s="9">
        <v>2609265</v>
      </c>
      <c r="AY120" s="11">
        <v>46262</v>
      </c>
      <c r="AZ120" s="9">
        <v>306</v>
      </c>
      <c r="BA120" s="9">
        <v>328135</v>
      </c>
      <c r="BB120" s="11">
        <v>46252</v>
      </c>
      <c r="BC120" s="9">
        <v>1680</v>
      </c>
      <c r="BD120" s="9">
        <v>1</v>
      </c>
    </row>
    <row r="121" spans="1:56" x14ac:dyDescent="0.25">
      <c r="A121" s="9" t="s">
        <v>2644</v>
      </c>
      <c r="B121" s="9">
        <v>947</v>
      </c>
      <c r="C121" s="9" t="s">
        <v>2645</v>
      </c>
      <c r="D121" s="9">
        <v>1456</v>
      </c>
      <c r="E121" s="9">
        <v>2026</v>
      </c>
      <c r="F121" s="9" t="s">
        <v>2784</v>
      </c>
      <c r="G121" s="9">
        <v>62071100</v>
      </c>
      <c r="H121" s="9">
        <v>0</v>
      </c>
      <c r="I121" s="9">
        <v>1</v>
      </c>
      <c r="J121" s="9" t="s">
        <v>2558</v>
      </c>
      <c r="K121" s="9">
        <v>0</v>
      </c>
      <c r="L121" s="10">
        <v>1134.83</v>
      </c>
      <c r="M121" s="10">
        <v>1134.83</v>
      </c>
      <c r="N121" s="9">
        <v>0</v>
      </c>
      <c r="O121" s="9">
        <v>0</v>
      </c>
      <c r="P121" s="9">
        <v>0</v>
      </c>
      <c r="R121" s="10">
        <v>1134.83</v>
      </c>
      <c r="S121" s="11">
        <v>46275</v>
      </c>
      <c r="T121" s="10">
        <v>1126.29</v>
      </c>
      <c r="U121" s="9">
        <v>1</v>
      </c>
      <c r="V121" s="11">
        <v>46263</v>
      </c>
      <c r="W121" s="9">
        <v>260326210686920</v>
      </c>
      <c r="X121" s="9" t="s">
        <v>2559</v>
      </c>
      <c r="Y121" s="9" t="s">
        <v>2560</v>
      </c>
      <c r="Z121" s="9" t="s">
        <v>2652</v>
      </c>
      <c r="AA121" s="9" t="s">
        <v>2653</v>
      </c>
      <c r="AB121" s="9" t="s">
        <v>2570</v>
      </c>
      <c r="AC121" s="11">
        <v>46272</v>
      </c>
      <c r="AD121" s="9">
        <v>947</v>
      </c>
      <c r="AE121" s="9" t="s">
        <v>2570</v>
      </c>
      <c r="AF121" s="9">
        <v>10</v>
      </c>
      <c r="AG121" s="9" t="s">
        <v>2563</v>
      </c>
      <c r="AH121" s="9">
        <v>1530</v>
      </c>
      <c r="AJ121" s="9" t="s">
        <v>2654</v>
      </c>
      <c r="AK121" s="11">
        <v>46274</v>
      </c>
      <c r="AL121" s="9">
        <v>2609266</v>
      </c>
      <c r="AM121" s="11">
        <v>46247</v>
      </c>
      <c r="AP121" s="11">
        <v>46247</v>
      </c>
      <c r="AQ121" s="9" t="s">
        <v>2564</v>
      </c>
      <c r="AR121" s="9">
        <v>4</v>
      </c>
      <c r="AS121" s="9" t="s">
        <v>2565</v>
      </c>
      <c r="AT121" s="9">
        <v>6</v>
      </c>
      <c r="AU121" s="9" t="s">
        <v>2566</v>
      </c>
      <c r="AV121" s="9" t="s">
        <v>269</v>
      </c>
      <c r="AW121" s="9" t="s">
        <v>2785</v>
      </c>
      <c r="AX121" s="9">
        <v>2609266</v>
      </c>
      <c r="AY121" s="11">
        <v>46263</v>
      </c>
      <c r="AZ121" s="9">
        <v>306</v>
      </c>
      <c r="BA121" s="9">
        <v>328141</v>
      </c>
      <c r="BB121" s="11">
        <v>46252</v>
      </c>
      <c r="BC121" s="9">
        <v>1680</v>
      </c>
      <c r="BD121" s="9">
        <v>1</v>
      </c>
    </row>
    <row r="122" spans="1:56" x14ac:dyDescent="0.25">
      <c r="A122" s="9" t="s">
        <v>2644</v>
      </c>
      <c r="B122" s="9">
        <v>947</v>
      </c>
      <c r="C122" s="9" t="s">
        <v>2645</v>
      </c>
      <c r="D122" s="9">
        <v>1457</v>
      </c>
      <c r="E122" s="9">
        <v>2026</v>
      </c>
      <c r="F122" s="9" t="s">
        <v>2786</v>
      </c>
      <c r="G122" s="9">
        <v>62071100</v>
      </c>
      <c r="H122" s="9">
        <v>2020</v>
      </c>
      <c r="I122" s="9">
        <v>1</v>
      </c>
      <c r="J122" s="9" t="s">
        <v>2558</v>
      </c>
      <c r="K122" s="9">
        <v>0</v>
      </c>
      <c r="L122" s="10">
        <v>2358.66</v>
      </c>
      <c r="M122" s="10">
        <v>2358.66</v>
      </c>
      <c r="N122" s="9">
        <v>0</v>
      </c>
      <c r="O122" s="9">
        <v>0</v>
      </c>
      <c r="P122" s="9">
        <v>0</v>
      </c>
      <c r="R122" s="10">
        <v>2358.66</v>
      </c>
      <c r="S122" s="11">
        <v>46275</v>
      </c>
      <c r="T122" s="10">
        <v>2340.9</v>
      </c>
      <c r="U122" s="9">
        <v>1</v>
      </c>
      <c r="V122" s="11">
        <v>46262</v>
      </c>
      <c r="W122" s="9">
        <v>260326210686920</v>
      </c>
      <c r="X122" s="9" t="s">
        <v>2559</v>
      </c>
      <c r="Y122" s="9" t="s">
        <v>2560</v>
      </c>
      <c r="Z122" s="9" t="s">
        <v>2652</v>
      </c>
      <c r="AA122" s="9" t="s">
        <v>2653</v>
      </c>
      <c r="AB122" s="9" t="s">
        <v>2570</v>
      </c>
      <c r="AC122" s="11">
        <v>46272</v>
      </c>
      <c r="AD122" s="9">
        <v>947</v>
      </c>
      <c r="AE122" s="9" t="s">
        <v>2570</v>
      </c>
      <c r="AF122" s="9">
        <v>10</v>
      </c>
      <c r="AG122" s="9" t="s">
        <v>2563</v>
      </c>
      <c r="AH122" s="9">
        <v>3180</v>
      </c>
      <c r="AJ122" s="9" t="s">
        <v>2654</v>
      </c>
      <c r="AK122" s="11">
        <v>46274</v>
      </c>
      <c r="AL122" s="9">
        <v>2609267</v>
      </c>
      <c r="AM122" s="11">
        <v>46247</v>
      </c>
      <c r="AP122" s="11">
        <v>46247</v>
      </c>
      <c r="AQ122" s="9" t="s">
        <v>2564</v>
      </c>
      <c r="AR122" s="9">
        <v>4</v>
      </c>
      <c r="AS122" s="9" t="s">
        <v>2565</v>
      </c>
      <c r="AT122" s="9">
        <v>6</v>
      </c>
      <c r="AU122" s="9" t="s">
        <v>2566</v>
      </c>
      <c r="AV122" s="9" t="s">
        <v>262</v>
      </c>
      <c r="AW122" s="9" t="s">
        <v>2787</v>
      </c>
      <c r="AX122" s="9">
        <v>2609267</v>
      </c>
      <c r="AY122" s="11">
        <v>46262</v>
      </c>
      <c r="AZ122" s="9">
        <v>306</v>
      </c>
      <c r="BA122" s="9">
        <v>328119</v>
      </c>
      <c r="BB122" s="11">
        <v>46252</v>
      </c>
      <c r="BC122" s="9">
        <v>1680</v>
      </c>
      <c r="BD122" s="9">
        <v>1</v>
      </c>
    </row>
    <row r="123" spans="1:56" x14ac:dyDescent="0.25">
      <c r="A123" s="9" t="s">
        <v>2644</v>
      </c>
      <c r="B123" s="9">
        <v>947</v>
      </c>
      <c r="C123" s="9" t="s">
        <v>2645</v>
      </c>
      <c r="D123" s="9">
        <v>1458</v>
      </c>
      <c r="E123" s="9">
        <v>2026</v>
      </c>
      <c r="F123" s="9" t="s">
        <v>2788</v>
      </c>
      <c r="G123" s="9">
        <v>62071100</v>
      </c>
      <c r="H123" s="9">
        <v>2020</v>
      </c>
      <c r="I123" s="9">
        <v>1</v>
      </c>
      <c r="J123" s="9" t="s">
        <v>2558</v>
      </c>
      <c r="K123" s="9">
        <v>0</v>
      </c>
      <c r="L123" s="10">
        <v>10480.459999999999</v>
      </c>
      <c r="M123" s="10">
        <v>10480.459999999999</v>
      </c>
      <c r="N123" s="9">
        <v>0</v>
      </c>
      <c r="O123" s="9">
        <v>0</v>
      </c>
      <c r="P123" s="9">
        <v>0</v>
      </c>
      <c r="R123" s="10">
        <v>10480.459999999999</v>
      </c>
      <c r="S123" s="11">
        <v>46275</v>
      </c>
      <c r="T123" s="10">
        <v>10401.56</v>
      </c>
      <c r="U123" s="9">
        <v>1</v>
      </c>
      <c r="V123" s="11">
        <v>46262</v>
      </c>
      <c r="W123" s="9">
        <v>260326210686920</v>
      </c>
      <c r="X123" s="9" t="s">
        <v>2559</v>
      </c>
      <c r="Y123" s="9" t="s">
        <v>2560</v>
      </c>
      <c r="Z123" s="9" t="s">
        <v>2652</v>
      </c>
      <c r="AA123" s="9" t="s">
        <v>2653</v>
      </c>
      <c r="AB123" s="9" t="s">
        <v>2570</v>
      </c>
      <c r="AC123" s="11">
        <v>46272</v>
      </c>
      <c r="AD123" s="9">
        <v>947</v>
      </c>
      <c r="AE123" s="9" t="s">
        <v>2570</v>
      </c>
      <c r="AF123" s="9">
        <v>10</v>
      </c>
      <c r="AG123" s="9" t="s">
        <v>2563</v>
      </c>
      <c r="AH123" s="9">
        <v>14130</v>
      </c>
      <c r="AJ123" s="9" t="s">
        <v>2654</v>
      </c>
      <c r="AK123" s="11">
        <v>46274</v>
      </c>
      <c r="AL123" s="9">
        <v>2609268</v>
      </c>
      <c r="AM123" s="11">
        <v>46247</v>
      </c>
      <c r="AO123" s="9" t="s">
        <v>2577</v>
      </c>
      <c r="AP123" s="11">
        <v>46247</v>
      </c>
      <c r="AQ123" s="9" t="s">
        <v>2564</v>
      </c>
      <c r="AR123" s="9">
        <v>4</v>
      </c>
      <c r="AS123" s="9" t="s">
        <v>2565</v>
      </c>
      <c r="AT123" s="9">
        <v>6</v>
      </c>
      <c r="AU123" s="9" t="s">
        <v>2566</v>
      </c>
      <c r="AV123" s="9" t="s">
        <v>252</v>
      </c>
      <c r="AW123" s="9" t="s">
        <v>2789</v>
      </c>
      <c r="AX123" s="9">
        <v>2609268</v>
      </c>
      <c r="AY123" s="11">
        <v>46262</v>
      </c>
      <c r="AZ123" s="9">
        <v>306</v>
      </c>
      <c r="BA123" s="9">
        <v>328115</v>
      </c>
      <c r="BB123" s="11">
        <v>46252</v>
      </c>
      <c r="BC123" s="9">
        <v>1680</v>
      </c>
      <c r="BD123" s="9">
        <v>1</v>
      </c>
    </row>
    <row r="124" spans="1:56" x14ac:dyDescent="0.25">
      <c r="A124" s="9" t="s">
        <v>2644</v>
      </c>
      <c r="B124" s="9">
        <v>947</v>
      </c>
      <c r="C124" s="9" t="s">
        <v>2645</v>
      </c>
      <c r="D124" s="9">
        <v>1459</v>
      </c>
      <c r="E124" s="9">
        <v>2026</v>
      </c>
      <c r="F124" s="9" t="s">
        <v>2790</v>
      </c>
      <c r="G124" s="9">
        <v>62082100</v>
      </c>
      <c r="H124" s="9">
        <v>2000</v>
      </c>
      <c r="I124" s="9">
        <v>1</v>
      </c>
      <c r="J124" s="9" t="s">
        <v>2558</v>
      </c>
      <c r="L124" s="10">
        <v>17513.79</v>
      </c>
      <c r="M124" s="10">
        <v>17513.79</v>
      </c>
      <c r="N124" s="9">
        <v>0</v>
      </c>
      <c r="O124" s="9">
        <v>0</v>
      </c>
      <c r="P124" s="9">
        <v>0</v>
      </c>
      <c r="R124" s="10">
        <v>17513.79</v>
      </c>
      <c r="U124" s="9">
        <v>1</v>
      </c>
      <c r="V124" s="11">
        <v>46263</v>
      </c>
      <c r="W124" s="9">
        <v>260326210686920</v>
      </c>
      <c r="X124" s="9" t="s">
        <v>2559</v>
      </c>
      <c r="Y124" s="9" t="s">
        <v>2560</v>
      </c>
      <c r="Z124" s="9" t="s">
        <v>2791</v>
      </c>
      <c r="AA124" s="9" t="s">
        <v>2792</v>
      </c>
      <c r="AB124" s="9" t="s">
        <v>2570</v>
      </c>
      <c r="AC124" s="11">
        <v>46287</v>
      </c>
      <c r="AD124" s="9">
        <v>947</v>
      </c>
      <c r="AF124" s="9">
        <v>10</v>
      </c>
      <c r="AG124" s="9" t="s">
        <v>2563</v>
      </c>
      <c r="AH124" s="9">
        <v>7394</v>
      </c>
      <c r="AL124" s="9">
        <v>2609277</v>
      </c>
      <c r="AM124" s="11">
        <v>46247</v>
      </c>
      <c r="AO124" s="9" t="s">
        <v>2592</v>
      </c>
      <c r="AP124" s="11">
        <v>46247</v>
      </c>
      <c r="AQ124" s="9" t="s">
        <v>2564</v>
      </c>
      <c r="AR124" s="9">
        <v>4</v>
      </c>
      <c r="AS124" s="9" t="s">
        <v>2793</v>
      </c>
      <c r="AT124" s="9">
        <v>1</v>
      </c>
      <c r="AU124" s="9" t="s">
        <v>2566</v>
      </c>
      <c r="AW124" s="9" t="s">
        <v>2794</v>
      </c>
      <c r="AY124" s="11">
        <v>46263</v>
      </c>
      <c r="AZ124" s="9">
        <v>306</v>
      </c>
      <c r="BA124" s="9">
        <v>338192</v>
      </c>
      <c r="BB124" s="11">
        <v>46254</v>
      </c>
      <c r="BC124" s="9">
        <v>1680</v>
      </c>
    </row>
    <row r="125" spans="1:56" ht="45" x14ac:dyDescent="0.25">
      <c r="A125" s="9" t="s">
        <v>2644</v>
      </c>
      <c r="B125" s="9">
        <v>947</v>
      </c>
      <c r="C125" s="9" t="s">
        <v>2645</v>
      </c>
      <c r="D125" s="9">
        <v>1638</v>
      </c>
      <c r="E125" s="9">
        <v>2026</v>
      </c>
      <c r="F125" s="9" t="s">
        <v>210</v>
      </c>
      <c r="G125" s="9">
        <v>61044200</v>
      </c>
      <c r="H125" s="9">
        <v>2000</v>
      </c>
      <c r="I125" s="9">
        <v>1</v>
      </c>
      <c r="J125" s="9" t="s">
        <v>2558</v>
      </c>
      <c r="K125" s="9">
        <v>0</v>
      </c>
      <c r="L125" s="10">
        <v>1286.47</v>
      </c>
      <c r="M125" s="10">
        <v>1286.47</v>
      </c>
      <c r="N125" s="9">
        <v>0</v>
      </c>
      <c r="O125" s="9">
        <v>0</v>
      </c>
      <c r="P125" s="9">
        <v>0</v>
      </c>
      <c r="R125" s="10">
        <v>1286.47</v>
      </c>
      <c r="U125" s="9">
        <v>1</v>
      </c>
      <c r="V125" s="11">
        <v>46274</v>
      </c>
      <c r="W125" s="9">
        <v>260326210686920</v>
      </c>
      <c r="X125" s="9" t="s">
        <v>2559</v>
      </c>
      <c r="Y125" s="9" t="s">
        <v>2560</v>
      </c>
      <c r="Z125" s="9" t="s">
        <v>2661</v>
      </c>
      <c r="AA125" s="12" t="s">
        <v>2668</v>
      </c>
      <c r="AB125" s="9" t="s">
        <v>2570</v>
      </c>
      <c r="AC125" s="11">
        <v>46287</v>
      </c>
      <c r="AD125" s="9">
        <v>947</v>
      </c>
      <c r="AF125" s="9">
        <v>10</v>
      </c>
      <c r="AG125" s="9" t="s">
        <v>2563</v>
      </c>
      <c r="AH125" s="9">
        <v>394</v>
      </c>
      <c r="AL125" s="9">
        <v>2610004</v>
      </c>
      <c r="AM125" s="11">
        <v>46266</v>
      </c>
      <c r="AO125" s="9" t="s">
        <v>2577</v>
      </c>
      <c r="AP125" s="11">
        <v>46266</v>
      </c>
      <c r="AQ125" s="9" t="s">
        <v>2564</v>
      </c>
      <c r="AR125" s="9">
        <v>4</v>
      </c>
      <c r="AS125" s="9" t="s">
        <v>2565</v>
      </c>
      <c r="AT125" s="9">
        <v>1</v>
      </c>
      <c r="AU125" s="9" t="s">
        <v>2566</v>
      </c>
      <c r="AV125" s="9" t="s">
        <v>124</v>
      </c>
      <c r="AW125" s="9" t="s">
        <v>2795</v>
      </c>
      <c r="AX125" s="9">
        <v>2610004</v>
      </c>
      <c r="AY125" s="11">
        <v>46274</v>
      </c>
      <c r="AZ125" s="9">
        <v>306</v>
      </c>
      <c r="BA125" s="9">
        <v>400751</v>
      </c>
      <c r="BB125" s="11">
        <v>46268</v>
      </c>
      <c r="BC125" s="9">
        <v>1680</v>
      </c>
    </row>
    <row r="126" spans="1:56" ht="45" x14ac:dyDescent="0.25">
      <c r="A126" s="9" t="s">
        <v>2644</v>
      </c>
      <c r="B126" s="9">
        <v>947</v>
      </c>
      <c r="C126" s="9" t="s">
        <v>2645</v>
      </c>
      <c r="D126" s="9">
        <v>1679</v>
      </c>
      <c r="E126" s="9">
        <v>2026</v>
      </c>
      <c r="F126" s="9" t="s">
        <v>787</v>
      </c>
      <c r="G126" s="9">
        <v>62063000</v>
      </c>
      <c r="H126" s="9">
        <v>2000</v>
      </c>
      <c r="I126" s="9">
        <v>1</v>
      </c>
      <c r="J126" s="9" t="s">
        <v>2558</v>
      </c>
      <c r="L126" s="10">
        <v>23165.01</v>
      </c>
      <c r="M126" s="10">
        <v>23165.01</v>
      </c>
      <c r="N126" s="9">
        <v>0</v>
      </c>
      <c r="O126" s="9">
        <v>0</v>
      </c>
      <c r="P126" s="9">
        <v>0</v>
      </c>
      <c r="R126" s="10">
        <v>23165.01</v>
      </c>
      <c r="U126" s="9">
        <v>8</v>
      </c>
      <c r="W126" s="9">
        <v>260326210686920</v>
      </c>
      <c r="X126" s="9" t="s">
        <v>2559</v>
      </c>
      <c r="Y126" s="9" t="s">
        <v>2560</v>
      </c>
      <c r="Z126" s="9" t="s">
        <v>2661</v>
      </c>
      <c r="AA126" s="12" t="s">
        <v>2668</v>
      </c>
      <c r="AF126" s="9">
        <v>10</v>
      </c>
      <c r="AG126" s="9" t="s">
        <v>2563</v>
      </c>
      <c r="AH126" s="9">
        <v>8798</v>
      </c>
      <c r="AO126" s="9" t="s">
        <v>2592</v>
      </c>
      <c r="AP126" s="11">
        <v>46272</v>
      </c>
      <c r="AQ126" s="9" t="s">
        <v>2564</v>
      </c>
      <c r="AR126" s="9">
        <v>4</v>
      </c>
      <c r="AU126" s="9" t="s">
        <v>2566</v>
      </c>
      <c r="AZ126" s="9">
        <v>101</v>
      </c>
      <c r="BA126" s="9">
        <v>1012137</v>
      </c>
      <c r="BB126" s="11">
        <v>46293</v>
      </c>
      <c r="BC126" s="9">
        <v>1680</v>
      </c>
    </row>
    <row r="127" spans="1:56" ht="45" x14ac:dyDescent="0.25">
      <c r="A127" s="9" t="s">
        <v>2644</v>
      </c>
      <c r="B127" s="9">
        <v>947</v>
      </c>
      <c r="C127" s="9" t="s">
        <v>2645</v>
      </c>
      <c r="D127" s="9">
        <v>1703</v>
      </c>
      <c r="E127" s="9">
        <v>2026</v>
      </c>
      <c r="F127" s="9" t="s">
        <v>1039</v>
      </c>
      <c r="G127" s="9">
        <v>62052000</v>
      </c>
      <c r="H127" s="9">
        <v>2000</v>
      </c>
      <c r="I127" s="9">
        <v>1</v>
      </c>
      <c r="J127" s="9" t="s">
        <v>2558</v>
      </c>
      <c r="L127" s="10">
        <v>4811.2</v>
      </c>
      <c r="M127" s="10">
        <v>4811.2</v>
      </c>
      <c r="N127" s="9">
        <v>0</v>
      </c>
      <c r="O127" s="9">
        <v>0</v>
      </c>
      <c r="P127" s="9">
        <v>0</v>
      </c>
      <c r="R127" s="10">
        <v>4811.2</v>
      </c>
      <c r="U127" s="9">
        <v>1</v>
      </c>
      <c r="W127" s="9">
        <v>260326210686920</v>
      </c>
      <c r="X127" s="9" t="s">
        <v>2559</v>
      </c>
      <c r="Y127" s="9" t="s">
        <v>2560</v>
      </c>
      <c r="Z127" s="9" t="s">
        <v>2661</v>
      </c>
      <c r="AA127" s="12" t="s">
        <v>2668</v>
      </c>
      <c r="AF127" s="9">
        <v>10</v>
      </c>
      <c r="AG127" s="9" t="s">
        <v>2563</v>
      </c>
      <c r="AH127" s="9">
        <v>784</v>
      </c>
      <c r="AO127" s="9" t="s">
        <v>2577</v>
      </c>
      <c r="AP127" s="11">
        <v>46275</v>
      </c>
      <c r="AQ127" s="9" t="s">
        <v>2564</v>
      </c>
      <c r="AR127" s="9">
        <v>4</v>
      </c>
      <c r="AU127" s="9" t="s">
        <v>2566</v>
      </c>
      <c r="AZ127" s="9">
        <v>306</v>
      </c>
      <c r="BA127" s="9">
        <v>463167</v>
      </c>
      <c r="BB127" s="11">
        <v>46282</v>
      </c>
      <c r="BC127" s="9">
        <v>1680</v>
      </c>
    </row>
    <row r="128" spans="1:56" x14ac:dyDescent="0.25">
      <c r="A128" s="9" t="s">
        <v>2644</v>
      </c>
      <c r="B128" s="9">
        <v>947</v>
      </c>
      <c r="C128" s="9" t="s">
        <v>2645</v>
      </c>
      <c r="D128" s="9">
        <v>1471</v>
      </c>
      <c r="E128" s="9">
        <v>2026</v>
      </c>
      <c r="F128" s="9" t="s">
        <v>2796</v>
      </c>
      <c r="G128" s="9">
        <v>62071100</v>
      </c>
      <c r="H128" s="9">
        <v>2020</v>
      </c>
      <c r="I128" s="9">
        <v>1</v>
      </c>
      <c r="J128" s="9" t="s">
        <v>2558</v>
      </c>
      <c r="L128" s="10">
        <v>9546.18</v>
      </c>
      <c r="M128" s="10">
        <v>9546.18</v>
      </c>
      <c r="N128" s="9">
        <v>0</v>
      </c>
      <c r="O128" s="9">
        <v>0</v>
      </c>
      <c r="P128" s="9">
        <v>0</v>
      </c>
      <c r="R128" s="10">
        <v>9546.18</v>
      </c>
      <c r="S128" s="11">
        <v>46275</v>
      </c>
      <c r="T128" s="10">
        <v>9474.32</v>
      </c>
      <c r="U128" s="9">
        <v>1</v>
      </c>
      <c r="V128" s="11">
        <v>46256</v>
      </c>
      <c r="W128" s="9">
        <v>260326210686920</v>
      </c>
      <c r="X128" s="9" t="s">
        <v>2559</v>
      </c>
      <c r="Y128" s="9" t="s">
        <v>2560</v>
      </c>
      <c r="Z128" s="9" t="s">
        <v>2652</v>
      </c>
      <c r="AA128" s="9" t="s">
        <v>2653</v>
      </c>
      <c r="AB128" s="9" t="s">
        <v>2570</v>
      </c>
      <c r="AC128" s="11">
        <v>46272</v>
      </c>
      <c r="AD128" s="9">
        <v>947</v>
      </c>
      <c r="AE128" s="9" t="s">
        <v>2570</v>
      </c>
      <c r="AF128" s="9">
        <v>10</v>
      </c>
      <c r="AG128" s="9" t="s">
        <v>2563</v>
      </c>
      <c r="AH128" s="9">
        <v>19600</v>
      </c>
      <c r="AJ128" s="9" t="s">
        <v>2654</v>
      </c>
      <c r="AK128" s="11">
        <v>46274</v>
      </c>
      <c r="AL128" s="9">
        <v>2609282</v>
      </c>
      <c r="AM128" s="11">
        <v>46250</v>
      </c>
      <c r="AP128" s="11">
        <v>46250</v>
      </c>
      <c r="AQ128" s="9" t="s">
        <v>2564</v>
      </c>
      <c r="AR128" s="9">
        <v>4</v>
      </c>
      <c r="AT128" s="9">
        <v>6</v>
      </c>
      <c r="AU128" s="9" t="s">
        <v>2566</v>
      </c>
      <c r="AW128" s="9" t="s">
        <v>2797</v>
      </c>
      <c r="AY128" s="11">
        <v>46256</v>
      </c>
      <c r="AZ128" s="9">
        <v>306</v>
      </c>
      <c r="BA128" s="9">
        <v>335199</v>
      </c>
      <c r="BB128" s="11">
        <v>46254</v>
      </c>
      <c r="BC128" s="9">
        <v>1680</v>
      </c>
      <c r="BD128" s="9">
        <v>1</v>
      </c>
    </row>
    <row r="129" spans="1:56" ht="45" x14ac:dyDescent="0.25">
      <c r="A129" s="9" t="s">
        <v>2644</v>
      </c>
      <c r="B129" s="9">
        <v>947</v>
      </c>
      <c r="C129" s="9" t="s">
        <v>2645</v>
      </c>
      <c r="D129" s="9">
        <v>1621</v>
      </c>
      <c r="E129" s="9">
        <v>2026</v>
      </c>
      <c r="F129" s="9" t="s">
        <v>142</v>
      </c>
      <c r="G129" s="9">
        <v>61083100</v>
      </c>
      <c r="H129" s="9">
        <v>2000</v>
      </c>
      <c r="I129" s="9">
        <v>1</v>
      </c>
      <c r="J129" s="9" t="s">
        <v>2558</v>
      </c>
      <c r="K129" s="9">
        <v>0</v>
      </c>
      <c r="L129" s="10">
        <v>4949.5</v>
      </c>
      <c r="M129" s="10">
        <v>4949.5</v>
      </c>
      <c r="N129" s="9">
        <v>0</v>
      </c>
      <c r="O129" s="9">
        <v>0</v>
      </c>
      <c r="P129" s="9">
        <v>0</v>
      </c>
      <c r="R129" s="10">
        <v>4949.5</v>
      </c>
      <c r="U129" s="9">
        <v>1</v>
      </c>
      <c r="V129" s="11">
        <v>46274</v>
      </c>
      <c r="W129" s="9">
        <v>260326210686920</v>
      </c>
      <c r="X129" s="9" t="s">
        <v>2559</v>
      </c>
      <c r="Y129" s="9" t="s">
        <v>2560</v>
      </c>
      <c r="Z129" s="9" t="s">
        <v>2661</v>
      </c>
      <c r="AA129" s="12" t="s">
        <v>2662</v>
      </c>
      <c r="AB129" s="9" t="s">
        <v>2570</v>
      </c>
      <c r="AC129" s="11">
        <v>46287</v>
      </c>
      <c r="AD129" s="9">
        <v>947</v>
      </c>
      <c r="AF129" s="9">
        <v>10</v>
      </c>
      <c r="AG129" s="9" t="s">
        <v>2563</v>
      </c>
      <c r="AH129" s="9">
        <v>1900</v>
      </c>
      <c r="AL129" s="9">
        <v>2609986</v>
      </c>
      <c r="AM129" s="11">
        <v>46265</v>
      </c>
      <c r="AO129" s="9" t="s">
        <v>2685</v>
      </c>
      <c r="AP129" s="11">
        <v>46265</v>
      </c>
      <c r="AQ129" s="9" t="s">
        <v>2564</v>
      </c>
      <c r="AR129" s="9">
        <v>4</v>
      </c>
      <c r="AS129" s="9" t="s">
        <v>2798</v>
      </c>
      <c r="AT129" s="9">
        <v>1</v>
      </c>
      <c r="AU129" s="9" t="s">
        <v>2566</v>
      </c>
      <c r="AV129" s="9" t="s">
        <v>124</v>
      </c>
      <c r="AW129" s="9" t="s">
        <v>2799</v>
      </c>
      <c r="AX129" s="9">
        <v>2609986</v>
      </c>
      <c r="AY129" s="11">
        <v>46274</v>
      </c>
      <c r="AZ129" s="9">
        <v>306</v>
      </c>
      <c r="BA129" s="9">
        <v>387321</v>
      </c>
      <c r="BB129" s="11">
        <v>46265</v>
      </c>
      <c r="BC129" s="9">
        <v>1680</v>
      </c>
    </row>
    <row r="130" spans="1:56" x14ac:dyDescent="0.25">
      <c r="A130" s="9" t="s">
        <v>2644</v>
      </c>
      <c r="B130" s="9">
        <v>947</v>
      </c>
      <c r="C130" s="9" t="s">
        <v>2645</v>
      </c>
      <c r="D130" s="9">
        <v>1622</v>
      </c>
      <c r="E130" s="9">
        <v>2026</v>
      </c>
      <c r="F130" s="9" t="s">
        <v>2800</v>
      </c>
      <c r="G130" s="9">
        <v>62071100</v>
      </c>
      <c r="H130" s="9">
        <v>2020</v>
      </c>
      <c r="I130" s="9">
        <v>1</v>
      </c>
      <c r="J130" s="9" t="s">
        <v>2558</v>
      </c>
      <c r="K130" s="9">
        <v>0</v>
      </c>
      <c r="L130" s="10">
        <v>1613.95</v>
      </c>
      <c r="M130" s="10">
        <v>1613.95</v>
      </c>
      <c r="N130" s="9">
        <v>0</v>
      </c>
      <c r="O130" s="9">
        <v>0</v>
      </c>
      <c r="P130" s="9">
        <v>0</v>
      </c>
      <c r="R130" s="10">
        <v>1613.95</v>
      </c>
      <c r="S130" s="11">
        <v>46289</v>
      </c>
      <c r="T130" s="10">
        <v>1600.39</v>
      </c>
      <c r="U130" s="9">
        <v>1</v>
      </c>
      <c r="V130" s="11">
        <v>46274</v>
      </c>
      <c r="W130" s="9">
        <v>260326210686920</v>
      </c>
      <c r="X130" s="9" t="s">
        <v>2559</v>
      </c>
      <c r="Y130" s="9" t="s">
        <v>2560</v>
      </c>
      <c r="Z130" s="9" t="s">
        <v>2652</v>
      </c>
      <c r="AA130" s="9" t="s">
        <v>2653</v>
      </c>
      <c r="AB130" s="9" t="s">
        <v>2570</v>
      </c>
      <c r="AC130" s="11">
        <v>46288</v>
      </c>
      <c r="AD130" s="9">
        <v>947</v>
      </c>
      <c r="AE130" s="9" t="s">
        <v>2570</v>
      </c>
      <c r="AF130" s="9">
        <v>10</v>
      </c>
      <c r="AG130" s="9" t="s">
        <v>2563</v>
      </c>
      <c r="AH130" s="9">
        <v>5200</v>
      </c>
      <c r="AJ130" s="9">
        <v>585</v>
      </c>
      <c r="AK130" s="11">
        <v>46288</v>
      </c>
      <c r="AL130" s="9">
        <v>2609988</v>
      </c>
      <c r="AM130" s="11">
        <v>46265</v>
      </c>
      <c r="AP130" s="11">
        <v>46265</v>
      </c>
      <c r="AQ130" s="9" t="s">
        <v>2564</v>
      </c>
      <c r="AR130" s="9">
        <v>4</v>
      </c>
      <c r="AS130" s="9" t="s">
        <v>2565</v>
      </c>
      <c r="AT130" s="9">
        <v>6</v>
      </c>
      <c r="AU130" s="9" t="s">
        <v>2566</v>
      </c>
      <c r="AV130" s="9" t="s">
        <v>262</v>
      </c>
      <c r="AW130" s="9" t="s">
        <v>2801</v>
      </c>
      <c r="AX130" s="9">
        <v>2609988</v>
      </c>
      <c r="AY130" s="11">
        <v>46274</v>
      </c>
      <c r="AZ130" s="9">
        <v>306</v>
      </c>
      <c r="BA130" s="9">
        <v>401547</v>
      </c>
      <c r="BB130" s="11">
        <v>46268</v>
      </c>
      <c r="BC130" s="9">
        <v>1680</v>
      </c>
      <c r="BD130" s="9">
        <v>1</v>
      </c>
    </row>
    <row r="131" spans="1:56" x14ac:dyDescent="0.25">
      <c r="A131" s="9" t="s">
        <v>2644</v>
      </c>
      <c r="B131" s="9">
        <v>947</v>
      </c>
      <c r="C131" s="9" t="s">
        <v>2645</v>
      </c>
      <c r="D131" s="9">
        <v>1623</v>
      </c>
      <c r="E131" s="9">
        <v>2026</v>
      </c>
      <c r="F131" s="9" t="s">
        <v>2802</v>
      </c>
      <c r="G131" s="9">
        <v>62071100</v>
      </c>
      <c r="H131" s="9">
        <v>2020</v>
      </c>
      <c r="I131" s="9">
        <v>1</v>
      </c>
      <c r="J131" s="9" t="s">
        <v>2558</v>
      </c>
      <c r="K131" s="9">
        <v>0</v>
      </c>
      <c r="L131" s="10">
        <v>1489.8</v>
      </c>
      <c r="M131" s="10">
        <v>1489.8</v>
      </c>
      <c r="N131" s="9">
        <v>0</v>
      </c>
      <c r="O131" s="9">
        <v>0</v>
      </c>
      <c r="P131" s="9">
        <v>0</v>
      </c>
      <c r="R131" s="10">
        <v>1489.8</v>
      </c>
      <c r="U131" s="9">
        <v>1</v>
      </c>
      <c r="W131" s="9">
        <v>260326210686920</v>
      </c>
      <c r="X131" s="9" t="s">
        <v>2559</v>
      </c>
      <c r="Y131" s="9" t="s">
        <v>2560</v>
      </c>
      <c r="Z131" s="9" t="s">
        <v>2652</v>
      </c>
      <c r="AA131" s="9" t="s">
        <v>2653</v>
      </c>
      <c r="AF131" s="9">
        <v>10</v>
      </c>
      <c r="AG131" s="9" t="s">
        <v>2563</v>
      </c>
      <c r="AH131" s="9">
        <v>4800</v>
      </c>
      <c r="AO131" s="9" t="s">
        <v>2577</v>
      </c>
      <c r="AP131" s="11">
        <v>46265</v>
      </c>
      <c r="AQ131" s="9" t="s">
        <v>2564</v>
      </c>
      <c r="AR131" s="9">
        <v>4</v>
      </c>
      <c r="AS131" s="9" t="s">
        <v>2565</v>
      </c>
      <c r="AU131" s="9" t="s">
        <v>2566</v>
      </c>
      <c r="AV131" s="9" t="s">
        <v>252</v>
      </c>
      <c r="AX131" s="9">
        <v>2609989</v>
      </c>
      <c r="AZ131" s="9">
        <v>306</v>
      </c>
      <c r="BA131" s="9">
        <v>401579</v>
      </c>
      <c r="BB131" s="11">
        <v>46268</v>
      </c>
      <c r="BC131" s="9">
        <v>1680</v>
      </c>
    </row>
    <row r="132" spans="1:56" x14ac:dyDescent="0.25">
      <c r="A132" s="9" t="s">
        <v>2644</v>
      </c>
      <c r="B132" s="9">
        <v>947</v>
      </c>
      <c r="C132" s="9" t="s">
        <v>2645</v>
      </c>
      <c r="D132" s="9">
        <v>1624</v>
      </c>
      <c r="E132" s="9">
        <v>2026</v>
      </c>
      <c r="F132" s="9" t="s">
        <v>2803</v>
      </c>
      <c r="G132" s="9">
        <v>62071100</v>
      </c>
      <c r="H132" s="9">
        <v>2020</v>
      </c>
      <c r="I132" s="9">
        <v>1</v>
      </c>
      <c r="J132" s="9" t="s">
        <v>2558</v>
      </c>
      <c r="K132" s="9">
        <v>0</v>
      </c>
      <c r="L132" s="10">
        <v>3135.17</v>
      </c>
      <c r="M132" s="10">
        <v>3135.17</v>
      </c>
      <c r="N132" s="9">
        <v>0</v>
      </c>
      <c r="O132" s="9">
        <v>0</v>
      </c>
      <c r="P132" s="9">
        <v>0</v>
      </c>
      <c r="R132" s="10">
        <v>3135.17</v>
      </c>
      <c r="S132" s="11">
        <v>46289</v>
      </c>
      <c r="T132" s="10">
        <v>3108.83</v>
      </c>
      <c r="U132" s="9">
        <v>1</v>
      </c>
      <c r="V132" s="11">
        <v>46280</v>
      </c>
      <c r="W132" s="9">
        <v>260326210686920</v>
      </c>
      <c r="X132" s="9" t="s">
        <v>2559</v>
      </c>
      <c r="Y132" s="9" t="s">
        <v>2560</v>
      </c>
      <c r="Z132" s="9" t="s">
        <v>2652</v>
      </c>
      <c r="AA132" s="9" t="s">
        <v>2653</v>
      </c>
      <c r="AB132" s="9" t="s">
        <v>2570</v>
      </c>
      <c r="AC132" s="11">
        <v>46288</v>
      </c>
      <c r="AD132" s="9">
        <v>947</v>
      </c>
      <c r="AE132" s="9" t="s">
        <v>2570</v>
      </c>
      <c r="AF132" s="9">
        <v>10</v>
      </c>
      <c r="AG132" s="9" t="s">
        <v>2563</v>
      </c>
      <c r="AH132" s="9">
        <v>5390</v>
      </c>
      <c r="AJ132" s="9">
        <v>585</v>
      </c>
      <c r="AK132" s="11">
        <v>46288</v>
      </c>
      <c r="AL132" s="9">
        <v>2609990</v>
      </c>
      <c r="AM132" s="11">
        <v>46265</v>
      </c>
      <c r="AP132" s="11">
        <v>46265</v>
      </c>
      <c r="AQ132" s="9" t="s">
        <v>2564</v>
      </c>
      <c r="AR132" s="9">
        <v>4</v>
      </c>
      <c r="AS132" s="9" t="s">
        <v>2565</v>
      </c>
      <c r="AT132" s="9">
        <v>6</v>
      </c>
      <c r="AU132" s="9" t="s">
        <v>2566</v>
      </c>
      <c r="AV132" s="9" t="s">
        <v>262</v>
      </c>
      <c r="AW132" s="9" t="s">
        <v>2804</v>
      </c>
      <c r="AX132" s="9">
        <v>2609990</v>
      </c>
      <c r="AY132" s="11">
        <v>46280</v>
      </c>
      <c r="AZ132" s="9">
        <v>306</v>
      </c>
      <c r="BA132" s="9">
        <v>401573</v>
      </c>
      <c r="BB132" s="11">
        <v>46268</v>
      </c>
      <c r="BC132" s="9">
        <v>1680</v>
      </c>
      <c r="BD132" s="9">
        <v>1</v>
      </c>
    </row>
    <row r="133" spans="1:56" x14ac:dyDescent="0.25">
      <c r="A133" s="9" t="s">
        <v>2644</v>
      </c>
      <c r="B133" s="9">
        <v>947</v>
      </c>
      <c r="C133" s="9" t="s">
        <v>2645</v>
      </c>
      <c r="D133" s="9">
        <v>1828</v>
      </c>
      <c r="E133" s="9">
        <v>2026</v>
      </c>
      <c r="F133" s="9" t="s">
        <v>2459</v>
      </c>
      <c r="G133" s="9">
        <v>62071100</v>
      </c>
      <c r="H133" s="9">
        <v>2020</v>
      </c>
      <c r="I133" s="9">
        <v>1</v>
      </c>
      <c r="J133" s="9" t="s">
        <v>2558</v>
      </c>
      <c r="K133" s="9">
        <v>0</v>
      </c>
      <c r="L133" s="10">
        <v>1913.63</v>
      </c>
      <c r="M133" s="10">
        <v>1913.63</v>
      </c>
      <c r="N133" s="9">
        <v>0</v>
      </c>
      <c r="O133" s="9">
        <v>0</v>
      </c>
      <c r="P133" s="9">
        <v>0</v>
      </c>
      <c r="U133" s="9">
        <v>1</v>
      </c>
      <c r="W133" s="9">
        <v>260326210686920</v>
      </c>
      <c r="X133" s="9" t="s">
        <v>2559</v>
      </c>
      <c r="Y133" s="9" t="s">
        <v>2560</v>
      </c>
      <c r="Z133" s="9" t="s">
        <v>2652</v>
      </c>
      <c r="AA133" s="9" t="s">
        <v>2653</v>
      </c>
      <c r="AF133" s="9">
        <v>10</v>
      </c>
      <c r="AG133" s="9" t="s">
        <v>2563</v>
      </c>
      <c r="AH133" s="9">
        <v>2580</v>
      </c>
      <c r="AP133" s="11">
        <v>46293</v>
      </c>
      <c r="AQ133" s="9" t="s">
        <v>2564</v>
      </c>
      <c r="AR133" s="9">
        <v>4</v>
      </c>
      <c r="AS133" s="9" t="s">
        <v>2565</v>
      </c>
      <c r="AU133" s="9" t="s">
        <v>2566</v>
      </c>
      <c r="AV133" s="9" t="s">
        <v>262</v>
      </c>
      <c r="AX133" s="9">
        <v>2610867</v>
      </c>
      <c r="BC133" s="9">
        <v>1680</v>
      </c>
    </row>
    <row r="134" spans="1:56" x14ac:dyDescent="0.25">
      <c r="A134" s="9" t="s">
        <v>2644</v>
      </c>
      <c r="B134" s="9">
        <v>947</v>
      </c>
      <c r="C134" s="9" t="s">
        <v>2645</v>
      </c>
      <c r="D134" s="9">
        <v>1825</v>
      </c>
      <c r="E134" s="9">
        <v>2026</v>
      </c>
      <c r="F134" s="9" t="s">
        <v>2453</v>
      </c>
      <c r="G134" s="9">
        <v>62071100</v>
      </c>
      <c r="H134" s="9">
        <v>2020</v>
      </c>
      <c r="I134" s="9">
        <v>1</v>
      </c>
      <c r="J134" s="9" t="s">
        <v>2558</v>
      </c>
      <c r="K134" s="9">
        <v>0</v>
      </c>
      <c r="L134" s="10">
        <v>8900.6</v>
      </c>
      <c r="M134" s="10">
        <v>8900.6</v>
      </c>
      <c r="N134" s="9">
        <v>0</v>
      </c>
      <c r="O134" s="9">
        <v>0</v>
      </c>
      <c r="P134" s="9">
        <v>0</v>
      </c>
      <c r="U134" s="9">
        <v>1</v>
      </c>
      <c r="W134" s="9">
        <v>260326210686920</v>
      </c>
      <c r="X134" s="9" t="s">
        <v>2559</v>
      </c>
      <c r="Y134" s="9" t="s">
        <v>2560</v>
      </c>
      <c r="Z134" s="9" t="s">
        <v>2652</v>
      </c>
      <c r="AA134" s="9" t="s">
        <v>2653</v>
      </c>
      <c r="AF134" s="9">
        <v>10</v>
      </c>
      <c r="AG134" s="9" t="s">
        <v>2563</v>
      </c>
      <c r="AH134" s="9">
        <v>12000</v>
      </c>
      <c r="AO134" s="9" t="s">
        <v>2577</v>
      </c>
      <c r="AP134" s="11">
        <v>46293</v>
      </c>
      <c r="AQ134" s="9" t="s">
        <v>2564</v>
      </c>
      <c r="AR134" s="9">
        <v>4</v>
      </c>
      <c r="AS134" s="9" t="s">
        <v>2565</v>
      </c>
      <c r="AU134" s="9" t="s">
        <v>2566</v>
      </c>
      <c r="AV134" s="9" t="s">
        <v>252</v>
      </c>
      <c r="AX134" s="9">
        <v>2610864</v>
      </c>
      <c r="BC134" s="9">
        <v>1680</v>
      </c>
    </row>
    <row r="135" spans="1:56" x14ac:dyDescent="0.25">
      <c r="A135" s="9" t="s">
        <v>2644</v>
      </c>
      <c r="B135" s="9">
        <v>947</v>
      </c>
      <c r="C135" s="9" t="s">
        <v>2645</v>
      </c>
      <c r="D135" s="9">
        <v>1826</v>
      </c>
      <c r="E135" s="9">
        <v>2026</v>
      </c>
      <c r="F135" s="9" t="s">
        <v>2455</v>
      </c>
      <c r="G135" s="9">
        <v>62071100</v>
      </c>
      <c r="H135" s="9">
        <v>2000</v>
      </c>
      <c r="I135" s="9">
        <v>1</v>
      </c>
      <c r="J135" s="9" t="s">
        <v>2558</v>
      </c>
      <c r="K135" s="9">
        <v>0</v>
      </c>
      <c r="L135" s="10">
        <v>8856.1</v>
      </c>
      <c r="M135" s="10">
        <v>8856.1</v>
      </c>
      <c r="N135" s="9">
        <v>0</v>
      </c>
      <c r="O135" s="9">
        <v>0</v>
      </c>
      <c r="P135" s="9">
        <v>0</v>
      </c>
      <c r="U135" s="9">
        <v>1</v>
      </c>
      <c r="W135" s="9">
        <v>260326210686920</v>
      </c>
      <c r="X135" s="9" t="s">
        <v>2559</v>
      </c>
      <c r="Y135" s="9" t="s">
        <v>2560</v>
      </c>
      <c r="Z135" s="9" t="s">
        <v>2652</v>
      </c>
      <c r="AA135" s="9" t="s">
        <v>2653</v>
      </c>
      <c r="AF135" s="9">
        <v>10</v>
      </c>
      <c r="AG135" s="9" t="s">
        <v>2563</v>
      </c>
      <c r="AH135" s="9">
        <v>11940</v>
      </c>
      <c r="AP135" s="11">
        <v>46293</v>
      </c>
      <c r="AQ135" s="9" t="s">
        <v>2564</v>
      </c>
      <c r="AR135" s="9">
        <v>4</v>
      </c>
      <c r="AS135" s="9" t="s">
        <v>2565</v>
      </c>
      <c r="AU135" s="9" t="s">
        <v>2566</v>
      </c>
      <c r="AV135" s="9" t="s">
        <v>258</v>
      </c>
      <c r="AX135" s="9">
        <v>2610865</v>
      </c>
      <c r="BC135" s="9">
        <v>1680</v>
      </c>
    </row>
    <row r="136" spans="1:56" x14ac:dyDescent="0.25">
      <c r="A136" s="9" t="s">
        <v>2644</v>
      </c>
      <c r="B136" s="9">
        <v>947</v>
      </c>
      <c r="C136" s="9" t="s">
        <v>2645</v>
      </c>
      <c r="D136" s="9">
        <v>1827</v>
      </c>
      <c r="E136" s="9">
        <v>2026</v>
      </c>
      <c r="F136" s="9" t="s">
        <v>2457</v>
      </c>
      <c r="G136" s="9">
        <v>62071100</v>
      </c>
      <c r="H136" s="9">
        <v>2020</v>
      </c>
      <c r="I136" s="9">
        <v>1</v>
      </c>
      <c r="J136" s="9" t="s">
        <v>2558</v>
      </c>
      <c r="K136" s="9">
        <v>0</v>
      </c>
      <c r="L136" s="10">
        <v>1668.86</v>
      </c>
      <c r="M136" s="10">
        <v>1668.86</v>
      </c>
      <c r="N136" s="9">
        <v>0</v>
      </c>
      <c r="O136" s="9">
        <v>0</v>
      </c>
      <c r="P136" s="9">
        <v>0</v>
      </c>
      <c r="U136" s="9">
        <v>1</v>
      </c>
      <c r="W136" s="9">
        <v>260326210686920</v>
      </c>
      <c r="X136" s="9" t="s">
        <v>2559</v>
      </c>
      <c r="Y136" s="9" t="s">
        <v>2560</v>
      </c>
      <c r="Z136" s="9" t="s">
        <v>2652</v>
      </c>
      <c r="AA136" s="9" t="s">
        <v>2653</v>
      </c>
      <c r="AF136" s="9">
        <v>10</v>
      </c>
      <c r="AG136" s="9" t="s">
        <v>2563</v>
      </c>
      <c r="AH136" s="9">
        <v>2250</v>
      </c>
      <c r="AO136" s="9" t="s">
        <v>2577</v>
      </c>
      <c r="AP136" s="11">
        <v>46293</v>
      </c>
      <c r="AQ136" s="9" t="s">
        <v>2564</v>
      </c>
      <c r="AR136" s="9">
        <v>4</v>
      </c>
      <c r="AS136" s="9" t="s">
        <v>2565</v>
      </c>
      <c r="AU136" s="9" t="s">
        <v>2566</v>
      </c>
      <c r="AV136" s="9" t="s">
        <v>252</v>
      </c>
      <c r="AX136" s="9">
        <v>2610866</v>
      </c>
      <c r="BC136" s="9">
        <v>1680</v>
      </c>
    </row>
    <row r="137" spans="1:56" x14ac:dyDescent="0.25">
      <c r="A137" s="9" t="s">
        <v>2644</v>
      </c>
      <c r="B137" s="9">
        <v>947</v>
      </c>
      <c r="C137" s="9" t="s">
        <v>2645</v>
      </c>
      <c r="D137" s="9">
        <v>1512</v>
      </c>
      <c r="E137" s="9">
        <v>2026</v>
      </c>
      <c r="F137" s="9" t="s">
        <v>2805</v>
      </c>
      <c r="G137" s="9">
        <v>62071100</v>
      </c>
      <c r="H137" s="9">
        <v>2016</v>
      </c>
      <c r="I137" s="9">
        <v>1</v>
      </c>
      <c r="J137" s="9" t="s">
        <v>2558</v>
      </c>
      <c r="K137" s="9">
        <v>0</v>
      </c>
      <c r="L137" s="10">
        <v>23684</v>
      </c>
      <c r="M137" s="10">
        <v>23684</v>
      </c>
      <c r="N137" s="9">
        <v>0</v>
      </c>
      <c r="O137" s="9">
        <v>0</v>
      </c>
      <c r="P137" s="9">
        <v>0</v>
      </c>
      <c r="R137" s="10">
        <v>23684</v>
      </c>
      <c r="S137" s="11">
        <v>46286</v>
      </c>
      <c r="T137" s="10">
        <v>23502.560000000001</v>
      </c>
      <c r="U137" s="9">
        <v>1</v>
      </c>
      <c r="V137" s="11">
        <v>46267</v>
      </c>
      <c r="W137" s="9">
        <v>260326210686920</v>
      </c>
      <c r="X137" s="9" t="s">
        <v>2559</v>
      </c>
      <c r="Y137" s="9" t="s">
        <v>2560</v>
      </c>
      <c r="Z137" s="9" t="s">
        <v>2652</v>
      </c>
      <c r="AA137" s="9" t="s">
        <v>2653</v>
      </c>
      <c r="AB137" s="9" t="s">
        <v>2570</v>
      </c>
      <c r="AC137" s="11">
        <v>46285</v>
      </c>
      <c r="AD137" s="9">
        <v>947</v>
      </c>
      <c r="AE137" s="9" t="s">
        <v>2570</v>
      </c>
      <c r="AF137" s="9">
        <v>10</v>
      </c>
      <c r="AG137" s="9" t="s">
        <v>2563</v>
      </c>
      <c r="AH137" s="9">
        <v>80000</v>
      </c>
      <c r="AJ137" s="9" t="s">
        <v>2690</v>
      </c>
      <c r="AK137" s="11">
        <v>46285</v>
      </c>
      <c r="AL137" s="9">
        <v>2609621</v>
      </c>
      <c r="AM137" s="11">
        <v>46256</v>
      </c>
      <c r="AP137" s="11">
        <v>46256</v>
      </c>
      <c r="AQ137" s="9" t="s">
        <v>2564</v>
      </c>
      <c r="AR137" s="9">
        <v>4</v>
      </c>
      <c r="AS137" s="9" t="s">
        <v>2565</v>
      </c>
      <c r="AT137" s="9">
        <v>6</v>
      </c>
      <c r="AU137" s="9" t="s">
        <v>2566</v>
      </c>
      <c r="AV137" s="9" t="s">
        <v>183</v>
      </c>
      <c r="AW137" s="9" t="s">
        <v>2806</v>
      </c>
      <c r="AX137" s="9">
        <v>2609621</v>
      </c>
      <c r="AY137" s="11">
        <v>46267</v>
      </c>
      <c r="AZ137" s="9">
        <v>306</v>
      </c>
      <c r="BA137" s="9">
        <v>365431</v>
      </c>
      <c r="BB137" s="11">
        <v>46260</v>
      </c>
      <c r="BC137" s="9">
        <v>1680</v>
      </c>
      <c r="BD137" s="9">
        <v>1</v>
      </c>
    </row>
    <row r="138" spans="1:56" x14ac:dyDescent="0.25">
      <c r="A138" s="9" t="s">
        <v>2644</v>
      </c>
      <c r="B138" s="9">
        <v>947</v>
      </c>
      <c r="C138" s="9" t="s">
        <v>2645</v>
      </c>
      <c r="D138" s="9">
        <v>1513</v>
      </c>
      <c r="E138" s="9">
        <v>2026</v>
      </c>
      <c r="F138" s="9" t="s">
        <v>2807</v>
      </c>
      <c r="G138" s="9">
        <v>62071100</v>
      </c>
      <c r="H138" s="9">
        <v>2020</v>
      </c>
      <c r="I138" s="9">
        <v>1</v>
      </c>
      <c r="J138" s="9" t="s">
        <v>2558</v>
      </c>
      <c r="K138" s="9">
        <v>0</v>
      </c>
      <c r="L138" s="10">
        <v>2368.4</v>
      </c>
      <c r="M138" s="10">
        <v>2368.4</v>
      </c>
      <c r="N138" s="9">
        <v>0</v>
      </c>
      <c r="O138" s="9">
        <v>0</v>
      </c>
      <c r="P138" s="9">
        <v>0</v>
      </c>
      <c r="R138" s="10">
        <v>2368.4</v>
      </c>
      <c r="S138" s="11">
        <v>46286</v>
      </c>
      <c r="T138" s="10">
        <v>2350.2600000000002</v>
      </c>
      <c r="U138" s="9">
        <v>1</v>
      </c>
      <c r="V138" s="11">
        <v>46265</v>
      </c>
      <c r="W138" s="9">
        <v>260326210686920</v>
      </c>
      <c r="X138" s="9" t="s">
        <v>2559</v>
      </c>
      <c r="Y138" s="9" t="s">
        <v>2560</v>
      </c>
      <c r="Z138" s="9" t="s">
        <v>2652</v>
      </c>
      <c r="AA138" s="9" t="s">
        <v>2653</v>
      </c>
      <c r="AB138" s="9" t="s">
        <v>2570</v>
      </c>
      <c r="AC138" s="11">
        <v>46285</v>
      </c>
      <c r="AD138" s="9">
        <v>947</v>
      </c>
      <c r="AE138" s="9" t="s">
        <v>2570</v>
      </c>
      <c r="AF138" s="9">
        <v>10</v>
      </c>
      <c r="AG138" s="9" t="s">
        <v>2563</v>
      </c>
      <c r="AH138" s="9">
        <v>8000</v>
      </c>
      <c r="AJ138" s="9" t="s">
        <v>2690</v>
      </c>
      <c r="AK138" s="11">
        <v>46285</v>
      </c>
      <c r="AL138" s="9">
        <v>2609622</v>
      </c>
      <c r="AM138" s="11">
        <v>46256</v>
      </c>
      <c r="AO138" s="9" t="s">
        <v>2577</v>
      </c>
      <c r="AP138" s="11">
        <v>46256</v>
      </c>
      <c r="AQ138" s="9" t="s">
        <v>2564</v>
      </c>
      <c r="AR138" s="9">
        <v>4</v>
      </c>
      <c r="AS138" s="9" t="s">
        <v>2565</v>
      </c>
      <c r="AT138" s="9">
        <v>6</v>
      </c>
      <c r="AU138" s="9" t="s">
        <v>2566</v>
      </c>
      <c r="AV138" s="9" t="s">
        <v>252</v>
      </c>
      <c r="AW138" s="9" t="s">
        <v>2808</v>
      </c>
      <c r="AX138" s="9">
        <v>2609622</v>
      </c>
      <c r="AY138" s="11">
        <v>46265</v>
      </c>
      <c r="AZ138" s="9">
        <v>306</v>
      </c>
      <c r="BA138" s="9">
        <v>365423</v>
      </c>
      <c r="BB138" s="11">
        <v>46260</v>
      </c>
      <c r="BC138" s="9">
        <v>1680</v>
      </c>
      <c r="BD138" s="9">
        <v>1</v>
      </c>
    </row>
    <row r="139" spans="1:56" x14ac:dyDescent="0.25">
      <c r="A139" s="9" t="s">
        <v>2644</v>
      </c>
      <c r="B139" s="9">
        <v>947</v>
      </c>
      <c r="C139" s="9" t="s">
        <v>2645</v>
      </c>
      <c r="D139" s="9">
        <v>1514</v>
      </c>
      <c r="E139" s="9">
        <v>2026</v>
      </c>
      <c r="F139" s="9" t="s">
        <v>2809</v>
      </c>
      <c r="G139" s="9">
        <v>62071100</v>
      </c>
      <c r="H139" s="9">
        <v>2020</v>
      </c>
      <c r="I139" s="9">
        <v>1</v>
      </c>
      <c r="J139" s="9" t="s">
        <v>2558</v>
      </c>
      <c r="K139" s="9">
        <v>0</v>
      </c>
      <c r="L139" s="10">
        <v>2131.56</v>
      </c>
      <c r="M139" s="10">
        <v>2131.56</v>
      </c>
      <c r="N139" s="9">
        <v>0</v>
      </c>
      <c r="O139" s="9">
        <v>0</v>
      </c>
      <c r="P139" s="9">
        <v>0</v>
      </c>
      <c r="R139" s="10">
        <v>2131.56</v>
      </c>
      <c r="S139" s="11">
        <v>46286</v>
      </c>
      <c r="T139" s="10">
        <v>2115.23</v>
      </c>
      <c r="U139" s="9">
        <v>1</v>
      </c>
      <c r="V139" s="11">
        <v>46267</v>
      </c>
      <c r="W139" s="9">
        <v>260326210686920</v>
      </c>
      <c r="X139" s="9" t="s">
        <v>2559</v>
      </c>
      <c r="Y139" s="9" t="s">
        <v>2560</v>
      </c>
      <c r="Z139" s="9" t="s">
        <v>2652</v>
      </c>
      <c r="AA139" s="9" t="s">
        <v>2653</v>
      </c>
      <c r="AB139" s="9" t="s">
        <v>2570</v>
      </c>
      <c r="AC139" s="11">
        <v>46285</v>
      </c>
      <c r="AD139" s="9">
        <v>947</v>
      </c>
      <c r="AE139" s="9" t="s">
        <v>2570</v>
      </c>
      <c r="AF139" s="9">
        <v>10</v>
      </c>
      <c r="AG139" s="9" t="s">
        <v>2563</v>
      </c>
      <c r="AH139" s="9">
        <v>7200</v>
      </c>
      <c r="AJ139" s="9" t="s">
        <v>2690</v>
      </c>
      <c r="AK139" s="11">
        <v>46285</v>
      </c>
      <c r="AL139" s="9">
        <v>2609623</v>
      </c>
      <c r="AM139" s="11">
        <v>46256</v>
      </c>
      <c r="AP139" s="11">
        <v>46256</v>
      </c>
      <c r="AQ139" s="9" t="s">
        <v>2564</v>
      </c>
      <c r="AR139" s="9">
        <v>4</v>
      </c>
      <c r="AS139" s="9" t="s">
        <v>2565</v>
      </c>
      <c r="AT139" s="9">
        <v>6</v>
      </c>
      <c r="AU139" s="9" t="s">
        <v>2566</v>
      </c>
      <c r="AV139" s="9" t="s">
        <v>262</v>
      </c>
      <c r="AW139" s="9" t="s">
        <v>2810</v>
      </c>
      <c r="AX139" s="9">
        <v>2609623</v>
      </c>
      <c r="AY139" s="11">
        <v>46267</v>
      </c>
      <c r="AZ139" s="9">
        <v>306</v>
      </c>
      <c r="BA139" s="9">
        <v>365410</v>
      </c>
      <c r="BB139" s="11">
        <v>46260</v>
      </c>
      <c r="BC139" s="9">
        <v>1680</v>
      </c>
      <c r="BD139" s="9">
        <v>1</v>
      </c>
    </row>
    <row r="140" spans="1:56" x14ac:dyDescent="0.25">
      <c r="A140" s="9" t="s">
        <v>2644</v>
      </c>
      <c r="B140" s="9">
        <v>947</v>
      </c>
      <c r="C140" s="9" t="s">
        <v>2645</v>
      </c>
      <c r="D140" s="9">
        <v>1515</v>
      </c>
      <c r="E140" s="9">
        <v>2026</v>
      </c>
      <c r="F140" s="9" t="s">
        <v>2811</v>
      </c>
      <c r="G140" s="9">
        <v>62071100</v>
      </c>
      <c r="H140" s="9">
        <v>2020</v>
      </c>
      <c r="I140" s="9">
        <v>1</v>
      </c>
      <c r="J140" s="9" t="s">
        <v>2558</v>
      </c>
      <c r="K140" s="9">
        <v>0</v>
      </c>
      <c r="L140" s="10">
        <v>2960.5</v>
      </c>
      <c r="M140" s="10">
        <v>2960.5</v>
      </c>
      <c r="N140" s="9">
        <v>0</v>
      </c>
      <c r="O140" s="9">
        <v>0</v>
      </c>
      <c r="P140" s="9">
        <v>0</v>
      </c>
      <c r="R140" s="10">
        <v>2960.5</v>
      </c>
      <c r="S140" s="11">
        <v>46289</v>
      </c>
      <c r="T140" s="10">
        <v>2935.63</v>
      </c>
      <c r="U140" s="9">
        <v>1</v>
      </c>
      <c r="V140" s="11">
        <v>46271</v>
      </c>
      <c r="W140" s="9">
        <v>260326210686920</v>
      </c>
      <c r="X140" s="9" t="s">
        <v>2559</v>
      </c>
      <c r="Y140" s="9" t="s">
        <v>2560</v>
      </c>
      <c r="Z140" s="9" t="s">
        <v>2652</v>
      </c>
      <c r="AA140" s="9" t="s">
        <v>2653</v>
      </c>
      <c r="AB140" s="9" t="s">
        <v>2570</v>
      </c>
      <c r="AC140" s="11">
        <v>46288</v>
      </c>
      <c r="AD140" s="9">
        <v>947</v>
      </c>
      <c r="AE140" s="9" t="s">
        <v>2570</v>
      </c>
      <c r="AF140" s="9">
        <v>10</v>
      </c>
      <c r="AG140" s="9" t="s">
        <v>2563</v>
      </c>
      <c r="AH140" s="9">
        <v>10000</v>
      </c>
      <c r="AJ140" s="9">
        <v>585</v>
      </c>
      <c r="AK140" s="11">
        <v>46288</v>
      </c>
      <c r="AL140" s="9">
        <v>2609624</v>
      </c>
      <c r="AM140" s="11">
        <v>46256</v>
      </c>
      <c r="AP140" s="11">
        <v>46256</v>
      </c>
      <c r="AQ140" s="9" t="s">
        <v>2564</v>
      </c>
      <c r="AR140" s="9">
        <v>4</v>
      </c>
      <c r="AS140" s="9" t="s">
        <v>2565</v>
      </c>
      <c r="AT140" s="9">
        <v>6</v>
      </c>
      <c r="AU140" s="9" t="s">
        <v>2566</v>
      </c>
      <c r="AV140" s="9" t="s">
        <v>262</v>
      </c>
      <c r="AW140" s="9" t="s">
        <v>2812</v>
      </c>
      <c r="AX140" s="9">
        <v>2609624</v>
      </c>
      <c r="AY140" s="11">
        <v>46271</v>
      </c>
      <c r="AZ140" s="9">
        <v>306</v>
      </c>
      <c r="BA140" s="9">
        <v>365415</v>
      </c>
      <c r="BB140" s="11">
        <v>46260</v>
      </c>
      <c r="BC140" s="9">
        <v>1680</v>
      </c>
      <c r="BD140" s="9">
        <v>1</v>
      </c>
    </row>
    <row r="141" spans="1:56" x14ac:dyDescent="0.25">
      <c r="A141" s="9" t="s">
        <v>2644</v>
      </c>
      <c r="B141" s="9">
        <v>947</v>
      </c>
      <c r="C141" s="9" t="s">
        <v>2645</v>
      </c>
      <c r="D141" s="9">
        <v>1516</v>
      </c>
      <c r="E141" s="9">
        <v>2026</v>
      </c>
      <c r="F141" s="9" t="s">
        <v>2813</v>
      </c>
      <c r="G141" s="9">
        <v>62071100</v>
      </c>
      <c r="H141" s="9">
        <v>2020</v>
      </c>
      <c r="I141" s="9">
        <v>1</v>
      </c>
      <c r="J141" s="9" t="s">
        <v>2558</v>
      </c>
      <c r="K141" s="9">
        <v>0</v>
      </c>
      <c r="L141" s="10">
        <v>11842</v>
      </c>
      <c r="M141" s="10">
        <v>11842</v>
      </c>
      <c r="N141" s="9">
        <v>0</v>
      </c>
      <c r="O141" s="9">
        <v>0</v>
      </c>
      <c r="P141" s="9">
        <v>0</v>
      </c>
      <c r="R141" s="10">
        <v>11842</v>
      </c>
      <c r="S141" s="11">
        <v>46289</v>
      </c>
      <c r="T141" s="10">
        <v>11742.51</v>
      </c>
      <c r="U141" s="9">
        <v>1</v>
      </c>
      <c r="V141" s="11">
        <v>46271</v>
      </c>
      <c r="W141" s="9">
        <v>260326210686920</v>
      </c>
      <c r="X141" s="9" t="s">
        <v>2559</v>
      </c>
      <c r="Y141" s="9" t="s">
        <v>2560</v>
      </c>
      <c r="Z141" s="9" t="s">
        <v>2652</v>
      </c>
      <c r="AA141" s="9" t="s">
        <v>2653</v>
      </c>
      <c r="AB141" s="9" t="s">
        <v>2570</v>
      </c>
      <c r="AC141" s="11">
        <v>46288</v>
      </c>
      <c r="AD141" s="9">
        <v>947</v>
      </c>
      <c r="AE141" s="9" t="s">
        <v>2570</v>
      </c>
      <c r="AF141" s="9">
        <v>10</v>
      </c>
      <c r="AG141" s="9" t="s">
        <v>2563</v>
      </c>
      <c r="AH141" s="9">
        <v>40000</v>
      </c>
      <c r="AJ141" s="9">
        <v>585</v>
      </c>
      <c r="AK141" s="11">
        <v>46288</v>
      </c>
      <c r="AL141" s="9">
        <v>2609625</v>
      </c>
      <c r="AM141" s="11">
        <v>46256</v>
      </c>
      <c r="AO141" s="9" t="s">
        <v>2577</v>
      </c>
      <c r="AP141" s="11">
        <v>46256</v>
      </c>
      <c r="AQ141" s="9" t="s">
        <v>2564</v>
      </c>
      <c r="AR141" s="9">
        <v>4</v>
      </c>
      <c r="AS141" s="9" t="s">
        <v>2565</v>
      </c>
      <c r="AT141" s="9">
        <v>6</v>
      </c>
      <c r="AU141" s="9" t="s">
        <v>2566</v>
      </c>
      <c r="AV141" s="9" t="s">
        <v>252</v>
      </c>
      <c r="AW141" s="9" t="s">
        <v>2814</v>
      </c>
      <c r="AX141" s="9">
        <v>2609625</v>
      </c>
      <c r="AY141" s="11">
        <v>46271</v>
      </c>
      <c r="AZ141" s="9">
        <v>306</v>
      </c>
      <c r="BA141" s="9">
        <v>365419</v>
      </c>
      <c r="BB141" s="11">
        <v>46260</v>
      </c>
      <c r="BC141" s="9">
        <v>1680</v>
      </c>
      <c r="BD141" s="9">
        <v>1</v>
      </c>
    </row>
    <row r="142" spans="1:56" x14ac:dyDescent="0.25">
      <c r="A142" s="9" t="s">
        <v>2644</v>
      </c>
      <c r="B142" s="9">
        <v>947</v>
      </c>
      <c r="C142" s="9" t="s">
        <v>2645</v>
      </c>
      <c r="D142" s="9">
        <v>1517</v>
      </c>
      <c r="E142" s="9">
        <v>2026</v>
      </c>
      <c r="F142" s="9" t="s">
        <v>2815</v>
      </c>
      <c r="G142" s="9">
        <v>62071100</v>
      </c>
      <c r="H142" s="9">
        <v>2000</v>
      </c>
      <c r="I142" s="9">
        <v>1</v>
      </c>
      <c r="J142" s="9" t="s">
        <v>2558</v>
      </c>
      <c r="K142" s="9">
        <v>0</v>
      </c>
      <c r="L142" s="10">
        <v>26644.5</v>
      </c>
      <c r="M142" s="10">
        <v>26644.5</v>
      </c>
      <c r="N142" s="9">
        <v>0</v>
      </c>
      <c r="O142" s="9">
        <v>0</v>
      </c>
      <c r="P142" s="9">
        <v>0</v>
      </c>
      <c r="R142" s="10">
        <v>26644.5</v>
      </c>
      <c r="S142" s="11">
        <v>46289</v>
      </c>
      <c r="T142" s="10">
        <v>26420.65</v>
      </c>
      <c r="U142" s="9">
        <v>1</v>
      </c>
      <c r="V142" s="11">
        <v>46275</v>
      </c>
      <c r="W142" s="9">
        <v>260326210686920</v>
      </c>
      <c r="X142" s="9" t="s">
        <v>2559</v>
      </c>
      <c r="Y142" s="9" t="s">
        <v>2560</v>
      </c>
      <c r="Z142" s="9" t="s">
        <v>2652</v>
      </c>
      <c r="AA142" s="9" t="s">
        <v>2653</v>
      </c>
      <c r="AB142" s="9" t="s">
        <v>2570</v>
      </c>
      <c r="AC142" s="11">
        <v>46288</v>
      </c>
      <c r="AD142" s="9">
        <v>947</v>
      </c>
      <c r="AE142" s="9" t="s">
        <v>2570</v>
      </c>
      <c r="AF142" s="9">
        <v>10</v>
      </c>
      <c r="AG142" s="9" t="s">
        <v>2563</v>
      </c>
      <c r="AH142" s="9">
        <v>90000</v>
      </c>
      <c r="AJ142" s="9">
        <v>585</v>
      </c>
      <c r="AK142" s="11">
        <v>46288</v>
      </c>
      <c r="AL142" s="9">
        <v>2609626</v>
      </c>
      <c r="AM142" s="11">
        <v>46256</v>
      </c>
      <c r="AP142" s="11">
        <v>46256</v>
      </c>
      <c r="AQ142" s="9" t="s">
        <v>2564</v>
      </c>
      <c r="AR142" s="9">
        <v>4</v>
      </c>
      <c r="AS142" s="9" t="s">
        <v>2565</v>
      </c>
      <c r="AT142" s="9">
        <v>6</v>
      </c>
      <c r="AU142" s="9" t="s">
        <v>2566</v>
      </c>
      <c r="AV142" s="9" t="s">
        <v>258</v>
      </c>
      <c r="AW142" s="9" t="s">
        <v>2816</v>
      </c>
      <c r="AX142" s="9">
        <v>2609626</v>
      </c>
      <c r="AY142" s="11">
        <v>46275</v>
      </c>
      <c r="AZ142" s="9">
        <v>306</v>
      </c>
      <c r="BA142" s="9">
        <v>365852</v>
      </c>
      <c r="BB142" s="11">
        <v>46260</v>
      </c>
      <c r="BC142" s="9">
        <v>1680</v>
      </c>
      <c r="BD142" s="9">
        <v>1</v>
      </c>
    </row>
    <row r="143" spans="1:56" x14ac:dyDescent="0.25">
      <c r="A143" s="9" t="s">
        <v>2644</v>
      </c>
      <c r="B143" s="9">
        <v>947</v>
      </c>
      <c r="C143" s="9" t="s">
        <v>2645</v>
      </c>
      <c r="D143" s="9">
        <v>1518</v>
      </c>
      <c r="E143" s="9">
        <v>2026</v>
      </c>
      <c r="F143" s="9" t="s">
        <v>2817</v>
      </c>
      <c r="G143" s="9">
        <v>62071100</v>
      </c>
      <c r="H143" s="9">
        <v>0</v>
      </c>
      <c r="I143" s="9">
        <v>1</v>
      </c>
      <c r="J143" s="9" t="s">
        <v>2558</v>
      </c>
      <c r="K143" s="9">
        <v>0</v>
      </c>
      <c r="L143" s="10">
        <v>1776.3</v>
      </c>
      <c r="M143" s="10">
        <v>1776.3</v>
      </c>
      <c r="N143" s="9">
        <v>0</v>
      </c>
      <c r="O143" s="9">
        <v>0</v>
      </c>
      <c r="P143" s="9">
        <v>0</v>
      </c>
      <c r="R143" s="10">
        <v>1776.3</v>
      </c>
      <c r="S143" s="11">
        <v>46286</v>
      </c>
      <c r="T143" s="10">
        <v>1762.69</v>
      </c>
      <c r="U143" s="9">
        <v>1</v>
      </c>
      <c r="V143" s="11">
        <v>46268</v>
      </c>
      <c r="W143" s="9">
        <v>260326210686920</v>
      </c>
      <c r="X143" s="9" t="s">
        <v>2559</v>
      </c>
      <c r="Y143" s="9" t="s">
        <v>2560</v>
      </c>
      <c r="Z143" s="9" t="s">
        <v>2652</v>
      </c>
      <c r="AA143" s="9" t="s">
        <v>2653</v>
      </c>
      <c r="AB143" s="9" t="s">
        <v>2570</v>
      </c>
      <c r="AC143" s="11">
        <v>46285</v>
      </c>
      <c r="AD143" s="9">
        <v>947</v>
      </c>
      <c r="AE143" s="9" t="s">
        <v>2570</v>
      </c>
      <c r="AF143" s="9">
        <v>10</v>
      </c>
      <c r="AG143" s="9" t="s">
        <v>2563</v>
      </c>
      <c r="AH143" s="9">
        <v>6000</v>
      </c>
      <c r="AJ143" s="9" t="s">
        <v>2690</v>
      </c>
      <c r="AK143" s="11">
        <v>46285</v>
      </c>
      <c r="AL143" s="9">
        <v>2609627</v>
      </c>
      <c r="AM143" s="11">
        <v>46256</v>
      </c>
      <c r="AP143" s="11">
        <v>46256</v>
      </c>
      <c r="AQ143" s="9" t="s">
        <v>2564</v>
      </c>
      <c r="AR143" s="9">
        <v>4</v>
      </c>
      <c r="AS143" s="9" t="s">
        <v>2565</v>
      </c>
      <c r="AT143" s="9">
        <v>6</v>
      </c>
      <c r="AU143" s="9" t="s">
        <v>2566</v>
      </c>
      <c r="AV143" s="9" t="s">
        <v>269</v>
      </c>
      <c r="AW143" s="9" t="s">
        <v>2818</v>
      </c>
      <c r="AX143" s="9">
        <v>2609627</v>
      </c>
      <c r="AY143" s="11">
        <v>46268</v>
      </c>
      <c r="AZ143" s="9">
        <v>306</v>
      </c>
      <c r="BA143" s="9">
        <v>365428</v>
      </c>
      <c r="BB143" s="11">
        <v>46260</v>
      </c>
      <c r="BC143" s="9">
        <v>1680</v>
      </c>
      <c r="BD143" s="9">
        <v>1</v>
      </c>
    </row>
    <row r="144" spans="1:56" x14ac:dyDescent="0.25">
      <c r="A144" s="9" t="s">
        <v>2644</v>
      </c>
      <c r="B144" s="9">
        <v>947</v>
      </c>
      <c r="C144" s="9" t="s">
        <v>2645</v>
      </c>
      <c r="D144" s="9">
        <v>1519</v>
      </c>
      <c r="E144" s="9">
        <v>2026</v>
      </c>
      <c r="F144" s="9" t="s">
        <v>2819</v>
      </c>
      <c r="G144" s="9">
        <v>62071100</v>
      </c>
      <c r="H144" s="9">
        <v>0</v>
      </c>
      <c r="I144" s="9">
        <v>1</v>
      </c>
      <c r="J144" s="9" t="s">
        <v>2558</v>
      </c>
      <c r="K144" s="9">
        <v>0</v>
      </c>
      <c r="L144" s="9">
        <v>592.1</v>
      </c>
      <c r="M144" s="9">
        <v>592.1</v>
      </c>
      <c r="N144" s="9">
        <v>0</v>
      </c>
      <c r="O144" s="9">
        <v>0</v>
      </c>
      <c r="P144" s="9">
        <v>0</v>
      </c>
      <c r="R144" s="9">
        <v>592.1</v>
      </c>
      <c r="S144" s="11">
        <v>46286</v>
      </c>
      <c r="T144" s="9">
        <v>587.55999999999995</v>
      </c>
      <c r="U144" s="9">
        <v>1</v>
      </c>
      <c r="V144" s="11">
        <v>46268</v>
      </c>
      <c r="W144" s="9">
        <v>260326210686920</v>
      </c>
      <c r="X144" s="9" t="s">
        <v>2559</v>
      </c>
      <c r="Y144" s="9" t="s">
        <v>2560</v>
      </c>
      <c r="Z144" s="9" t="s">
        <v>2652</v>
      </c>
      <c r="AA144" s="9" t="s">
        <v>2653</v>
      </c>
      <c r="AB144" s="9" t="s">
        <v>2570</v>
      </c>
      <c r="AC144" s="11">
        <v>46285</v>
      </c>
      <c r="AD144" s="9">
        <v>947</v>
      </c>
      <c r="AE144" s="9" t="s">
        <v>2570</v>
      </c>
      <c r="AF144" s="9">
        <v>10</v>
      </c>
      <c r="AG144" s="9" t="s">
        <v>2563</v>
      </c>
      <c r="AH144" s="9">
        <v>2000</v>
      </c>
      <c r="AJ144" s="9" t="s">
        <v>2690</v>
      </c>
      <c r="AK144" s="11">
        <v>46285</v>
      </c>
      <c r="AL144" s="9">
        <v>2609628</v>
      </c>
      <c r="AM144" s="11">
        <v>46256</v>
      </c>
      <c r="AP144" s="11">
        <v>46256</v>
      </c>
      <c r="AQ144" s="9" t="s">
        <v>2564</v>
      </c>
      <c r="AR144" s="9">
        <v>4</v>
      </c>
      <c r="AS144" s="9" t="s">
        <v>2565</v>
      </c>
      <c r="AT144" s="9">
        <v>6</v>
      </c>
      <c r="AU144" s="9" t="s">
        <v>2566</v>
      </c>
      <c r="AV144" s="9" t="s">
        <v>1994</v>
      </c>
      <c r="AW144" s="9" t="s">
        <v>2820</v>
      </c>
      <c r="AX144" s="9">
        <v>2609628</v>
      </c>
      <c r="AY144" s="11">
        <v>46268</v>
      </c>
      <c r="AZ144" s="9">
        <v>306</v>
      </c>
      <c r="BA144" s="9">
        <v>365413</v>
      </c>
      <c r="BB144" s="11">
        <v>46260</v>
      </c>
      <c r="BC144" s="9">
        <v>1680</v>
      </c>
      <c r="BD144" s="9">
        <v>1</v>
      </c>
    </row>
    <row r="145" spans="1:55" x14ac:dyDescent="0.25">
      <c r="A145" s="9" t="s">
        <v>2644</v>
      </c>
      <c r="B145" s="9">
        <v>947</v>
      </c>
      <c r="C145" s="9" t="s">
        <v>2645</v>
      </c>
      <c r="D145" s="9">
        <v>1520</v>
      </c>
      <c r="E145" s="9">
        <v>2026</v>
      </c>
      <c r="F145" s="9" t="s">
        <v>2821</v>
      </c>
      <c r="G145" s="9">
        <v>62052000</v>
      </c>
      <c r="H145" s="9">
        <v>2020</v>
      </c>
      <c r="I145" s="9">
        <v>1</v>
      </c>
      <c r="J145" s="9" t="s">
        <v>2558</v>
      </c>
      <c r="K145" s="9">
        <v>677.6</v>
      </c>
      <c r="L145" s="10">
        <v>3665.2</v>
      </c>
      <c r="M145" s="10">
        <v>3665.2</v>
      </c>
      <c r="N145" s="9">
        <v>0</v>
      </c>
      <c r="O145" s="9">
        <v>0</v>
      </c>
      <c r="P145" s="9">
        <v>0</v>
      </c>
      <c r="Q145" s="9">
        <v>677.6</v>
      </c>
      <c r="R145" s="9">
        <v>677.6</v>
      </c>
      <c r="U145" s="9">
        <v>1</v>
      </c>
      <c r="W145" s="9">
        <v>260326210686920</v>
      </c>
      <c r="X145" s="9" t="s">
        <v>2559</v>
      </c>
      <c r="Y145" s="9" t="s">
        <v>2560</v>
      </c>
      <c r="Z145" s="9" t="s">
        <v>2762</v>
      </c>
      <c r="AA145" s="9" t="s">
        <v>2763</v>
      </c>
      <c r="AF145" s="9">
        <v>10</v>
      </c>
      <c r="AG145" s="9" t="s">
        <v>2563</v>
      </c>
      <c r="AH145" s="9">
        <v>616</v>
      </c>
      <c r="AO145" s="9" t="s">
        <v>2577</v>
      </c>
      <c r="AP145" s="11">
        <v>46256</v>
      </c>
      <c r="AQ145" s="9" t="s">
        <v>2564</v>
      </c>
      <c r="AR145" s="9">
        <v>4</v>
      </c>
      <c r="AS145" s="9" t="s">
        <v>2565</v>
      </c>
      <c r="AU145" s="9" t="s">
        <v>2566</v>
      </c>
      <c r="AV145" s="9" t="s">
        <v>262</v>
      </c>
      <c r="AX145" s="9">
        <v>2609629</v>
      </c>
      <c r="AZ145" s="9">
        <v>306</v>
      </c>
      <c r="BA145" s="9">
        <v>397420</v>
      </c>
      <c r="BB145" s="11">
        <v>46267</v>
      </c>
      <c r="BC145" s="9">
        <v>1680</v>
      </c>
    </row>
    <row r="146" spans="1:55" x14ac:dyDescent="0.25">
      <c r="A146" s="9" t="s">
        <v>2644</v>
      </c>
      <c r="B146" s="9">
        <v>947</v>
      </c>
      <c r="C146" s="9" t="s">
        <v>2645</v>
      </c>
      <c r="D146" s="9">
        <v>1521</v>
      </c>
      <c r="E146" s="9">
        <v>2026</v>
      </c>
      <c r="F146" s="9" t="s">
        <v>2822</v>
      </c>
      <c r="G146" s="9">
        <v>62052000</v>
      </c>
      <c r="H146" s="9">
        <v>2016</v>
      </c>
      <c r="I146" s="9">
        <v>1</v>
      </c>
      <c r="J146" s="9" t="s">
        <v>2558</v>
      </c>
      <c r="K146" s="10">
        <v>4247.1000000000004</v>
      </c>
      <c r="L146" s="10">
        <v>22972.95</v>
      </c>
      <c r="M146" s="10">
        <v>22972.95</v>
      </c>
      <c r="N146" s="9">
        <v>0</v>
      </c>
      <c r="O146" s="9">
        <v>0</v>
      </c>
      <c r="P146" s="9">
        <v>0</v>
      </c>
      <c r="Q146" s="9">
        <v>4247.1000000000004</v>
      </c>
      <c r="R146" s="10">
        <v>4247.1000000000004</v>
      </c>
      <c r="U146" s="9">
        <v>1</v>
      </c>
      <c r="W146" s="9">
        <v>260326210686920</v>
      </c>
      <c r="X146" s="9" t="s">
        <v>2559</v>
      </c>
      <c r="Y146" s="9" t="s">
        <v>2560</v>
      </c>
      <c r="Z146" s="9" t="s">
        <v>2762</v>
      </c>
      <c r="AA146" s="9" t="s">
        <v>2763</v>
      </c>
      <c r="AF146" s="9">
        <v>10</v>
      </c>
      <c r="AG146" s="9" t="s">
        <v>2563</v>
      </c>
      <c r="AH146" s="9">
        <v>6861</v>
      </c>
      <c r="AO146" s="9" t="s">
        <v>2577</v>
      </c>
      <c r="AP146" s="11">
        <v>46256</v>
      </c>
      <c r="AQ146" s="9" t="s">
        <v>2564</v>
      </c>
      <c r="AR146" s="9">
        <v>4</v>
      </c>
      <c r="AS146" s="9" t="s">
        <v>2565</v>
      </c>
      <c r="AU146" s="9" t="s">
        <v>2566</v>
      </c>
      <c r="AV146" s="9" t="s">
        <v>183</v>
      </c>
      <c r="AX146" s="9">
        <v>2609634</v>
      </c>
      <c r="AZ146" s="9">
        <v>306</v>
      </c>
      <c r="BA146" s="9">
        <v>407802</v>
      </c>
      <c r="BB146" s="11">
        <v>46269</v>
      </c>
      <c r="BC146" s="9">
        <v>1680</v>
      </c>
    </row>
    <row r="147" spans="1:55" x14ac:dyDescent="0.25">
      <c r="A147" s="9" t="s">
        <v>2644</v>
      </c>
      <c r="B147" s="9">
        <v>947</v>
      </c>
      <c r="C147" s="9" t="s">
        <v>2645</v>
      </c>
      <c r="D147" s="9">
        <v>1522</v>
      </c>
      <c r="E147" s="9">
        <v>2026</v>
      </c>
      <c r="F147" s="9" t="s">
        <v>2823</v>
      </c>
      <c r="G147" s="9">
        <v>62052000</v>
      </c>
      <c r="H147" s="9">
        <v>2020</v>
      </c>
      <c r="I147" s="9">
        <v>1</v>
      </c>
      <c r="J147" s="9" t="s">
        <v>2558</v>
      </c>
      <c r="K147" s="10">
        <v>2032.8</v>
      </c>
      <c r="L147" s="10">
        <v>11519.2</v>
      </c>
      <c r="M147" s="10">
        <v>11519.2</v>
      </c>
      <c r="N147" s="9">
        <v>0</v>
      </c>
      <c r="O147" s="9">
        <v>0</v>
      </c>
      <c r="P147" s="9">
        <v>0</v>
      </c>
      <c r="Q147" s="9">
        <v>2032.8</v>
      </c>
      <c r="R147" s="10">
        <v>2032.8</v>
      </c>
      <c r="U147" s="9">
        <v>1</v>
      </c>
      <c r="W147" s="9">
        <v>260326210686920</v>
      </c>
      <c r="X147" s="9" t="s">
        <v>2559</v>
      </c>
      <c r="Y147" s="9" t="s">
        <v>2560</v>
      </c>
      <c r="Z147" s="9" t="s">
        <v>2762</v>
      </c>
      <c r="AA147" s="9" t="s">
        <v>2763</v>
      </c>
      <c r="AF147" s="9">
        <v>10</v>
      </c>
      <c r="AG147" s="9" t="s">
        <v>2563</v>
      </c>
      <c r="AH147" s="9">
        <v>1846</v>
      </c>
      <c r="AO147" s="9" t="s">
        <v>2592</v>
      </c>
      <c r="AP147" s="11">
        <v>46256</v>
      </c>
      <c r="AQ147" s="9" t="s">
        <v>2564</v>
      </c>
      <c r="AR147" s="9">
        <v>4</v>
      </c>
      <c r="AS147" s="9" t="s">
        <v>2565</v>
      </c>
      <c r="AU147" s="9" t="s">
        <v>2566</v>
      </c>
      <c r="AV147" s="9" t="s">
        <v>262</v>
      </c>
      <c r="AX147" s="9">
        <v>2609635</v>
      </c>
      <c r="AZ147" s="9">
        <v>306</v>
      </c>
      <c r="BA147" s="9">
        <v>407797</v>
      </c>
      <c r="BB147" s="11">
        <v>46269</v>
      </c>
      <c r="BC147" s="9">
        <v>1680</v>
      </c>
    </row>
    <row r="148" spans="1:55" x14ac:dyDescent="0.25">
      <c r="A148" s="9" t="s">
        <v>2644</v>
      </c>
      <c r="B148" s="9">
        <v>947</v>
      </c>
      <c r="C148" s="9" t="s">
        <v>2645</v>
      </c>
      <c r="D148" s="9">
        <v>1523</v>
      </c>
      <c r="E148" s="9">
        <v>2026</v>
      </c>
      <c r="F148" s="9" t="s">
        <v>2824</v>
      </c>
      <c r="G148" s="9">
        <v>62052000</v>
      </c>
      <c r="H148" s="9">
        <v>2020</v>
      </c>
      <c r="I148" s="9">
        <v>1</v>
      </c>
      <c r="J148" s="9" t="s">
        <v>2558</v>
      </c>
      <c r="K148" s="10">
        <v>5049</v>
      </c>
      <c r="L148" s="10">
        <v>19507.5</v>
      </c>
      <c r="M148" s="10">
        <v>19507.5</v>
      </c>
      <c r="N148" s="9">
        <v>0</v>
      </c>
      <c r="O148" s="9">
        <v>0</v>
      </c>
      <c r="P148" s="9">
        <v>0</v>
      </c>
      <c r="Q148" s="9">
        <v>5049</v>
      </c>
      <c r="R148" s="10">
        <v>5049</v>
      </c>
      <c r="U148" s="9">
        <v>1</v>
      </c>
      <c r="W148" s="9">
        <v>260326210686920</v>
      </c>
      <c r="X148" s="9" t="s">
        <v>2559</v>
      </c>
      <c r="Y148" s="9" t="s">
        <v>2560</v>
      </c>
      <c r="Z148" s="9" t="s">
        <v>2762</v>
      </c>
      <c r="AA148" s="9" t="s">
        <v>2763</v>
      </c>
      <c r="AF148" s="9">
        <v>10</v>
      </c>
      <c r="AG148" s="9" t="s">
        <v>2563</v>
      </c>
      <c r="AH148" s="9">
        <v>4590</v>
      </c>
      <c r="AO148" s="9" t="s">
        <v>2577</v>
      </c>
      <c r="AP148" s="11">
        <v>46256</v>
      </c>
      <c r="AQ148" s="9" t="s">
        <v>2564</v>
      </c>
      <c r="AR148" s="9">
        <v>4</v>
      </c>
      <c r="AS148" s="9" t="s">
        <v>2565</v>
      </c>
      <c r="AU148" s="9" t="s">
        <v>2566</v>
      </c>
      <c r="AV148" s="9" t="s">
        <v>252</v>
      </c>
      <c r="AX148" s="9">
        <v>2609636</v>
      </c>
      <c r="AZ148" s="9">
        <v>306</v>
      </c>
      <c r="BA148" s="9">
        <v>407817</v>
      </c>
      <c r="BB148" s="11">
        <v>46269</v>
      </c>
      <c r="BC148" s="9">
        <v>1680</v>
      </c>
    </row>
    <row r="149" spans="1:55" x14ac:dyDescent="0.25">
      <c r="A149" s="9" t="s">
        <v>2644</v>
      </c>
      <c r="B149" s="9">
        <v>947</v>
      </c>
      <c r="C149" s="9" t="s">
        <v>2645</v>
      </c>
      <c r="D149" s="9">
        <v>1524</v>
      </c>
      <c r="E149" s="9">
        <v>2026</v>
      </c>
      <c r="F149" s="9" t="s">
        <v>2825</v>
      </c>
      <c r="G149" s="9">
        <v>62052000</v>
      </c>
      <c r="H149" s="9">
        <v>0</v>
      </c>
      <c r="I149" s="9">
        <v>1</v>
      </c>
      <c r="J149" s="9" t="s">
        <v>2558</v>
      </c>
      <c r="K149" s="9">
        <v>665</v>
      </c>
      <c r="L149" s="10">
        <v>3430</v>
      </c>
      <c r="M149" s="10">
        <v>3430</v>
      </c>
      <c r="N149" s="9">
        <v>0</v>
      </c>
      <c r="O149" s="9">
        <v>0</v>
      </c>
      <c r="P149" s="9">
        <v>0</v>
      </c>
      <c r="Q149" s="9">
        <v>665</v>
      </c>
      <c r="R149" s="9">
        <v>665</v>
      </c>
      <c r="U149" s="9">
        <v>1</v>
      </c>
      <c r="W149" s="9">
        <v>260326210686920</v>
      </c>
      <c r="X149" s="9" t="s">
        <v>2559</v>
      </c>
      <c r="Y149" s="9" t="s">
        <v>2560</v>
      </c>
      <c r="Z149" s="9" t="s">
        <v>2762</v>
      </c>
      <c r="AA149" s="9" t="s">
        <v>2763</v>
      </c>
      <c r="AF149" s="9">
        <v>10</v>
      </c>
      <c r="AG149" s="9" t="s">
        <v>2563</v>
      </c>
      <c r="AH149" s="9">
        <v>700</v>
      </c>
      <c r="AO149" s="9" t="s">
        <v>2592</v>
      </c>
      <c r="AP149" s="11">
        <v>46256</v>
      </c>
      <c r="AQ149" s="9" t="s">
        <v>2564</v>
      </c>
      <c r="AR149" s="9">
        <v>4</v>
      </c>
      <c r="AS149" s="9" t="s">
        <v>2565</v>
      </c>
      <c r="AU149" s="9" t="s">
        <v>2566</v>
      </c>
      <c r="AV149" s="9" t="s">
        <v>269</v>
      </c>
      <c r="AX149" s="9">
        <v>2609637</v>
      </c>
      <c r="AZ149" s="9">
        <v>306</v>
      </c>
      <c r="BA149" s="9">
        <v>380374</v>
      </c>
      <c r="BB149" s="11">
        <v>46263</v>
      </c>
      <c r="BC149" s="9">
        <v>1680</v>
      </c>
    </row>
    <row r="150" spans="1:55" x14ac:dyDescent="0.25">
      <c r="A150" s="9" t="s">
        <v>2644</v>
      </c>
      <c r="B150" s="9">
        <v>947</v>
      </c>
      <c r="C150" s="9" t="s">
        <v>2645</v>
      </c>
      <c r="D150" s="9">
        <v>1525</v>
      </c>
      <c r="E150" s="9">
        <v>2026</v>
      </c>
      <c r="F150" s="9" t="s">
        <v>2826</v>
      </c>
      <c r="G150" s="9">
        <v>62052000</v>
      </c>
      <c r="H150" s="9">
        <v>2000</v>
      </c>
      <c r="I150" s="9">
        <v>1</v>
      </c>
      <c r="J150" s="9" t="s">
        <v>2558</v>
      </c>
      <c r="K150" s="10">
        <v>5339</v>
      </c>
      <c r="L150" s="10">
        <v>27538</v>
      </c>
      <c r="M150" s="10">
        <v>27538</v>
      </c>
      <c r="N150" s="9">
        <v>0</v>
      </c>
      <c r="O150" s="9">
        <v>0</v>
      </c>
      <c r="P150" s="9">
        <v>0</v>
      </c>
      <c r="Q150" s="9">
        <v>5339</v>
      </c>
      <c r="R150" s="10">
        <v>5339</v>
      </c>
      <c r="U150" s="9">
        <v>1</v>
      </c>
      <c r="W150" s="9">
        <v>260326210686920</v>
      </c>
      <c r="X150" s="9" t="s">
        <v>2559</v>
      </c>
      <c r="Y150" s="9" t="s">
        <v>2560</v>
      </c>
      <c r="Z150" s="9" t="s">
        <v>2762</v>
      </c>
      <c r="AA150" s="9" t="s">
        <v>2763</v>
      </c>
      <c r="AF150" s="9">
        <v>10</v>
      </c>
      <c r="AG150" s="9" t="s">
        <v>2563</v>
      </c>
      <c r="AH150" s="9">
        <v>5620</v>
      </c>
      <c r="AO150" s="9" t="s">
        <v>2592</v>
      </c>
      <c r="AP150" s="11">
        <v>46256</v>
      </c>
      <c r="AQ150" s="9" t="s">
        <v>2564</v>
      </c>
      <c r="AR150" s="9">
        <v>4</v>
      </c>
      <c r="AS150" s="9" t="s">
        <v>2565</v>
      </c>
      <c r="AU150" s="9" t="s">
        <v>2566</v>
      </c>
      <c r="AV150" s="9" t="s">
        <v>258</v>
      </c>
      <c r="AX150" s="9">
        <v>2609638</v>
      </c>
      <c r="AZ150" s="9">
        <v>306</v>
      </c>
      <c r="BA150" s="9">
        <v>369527</v>
      </c>
      <c r="BB150" s="11">
        <v>46261</v>
      </c>
      <c r="BC150" s="9">
        <v>1680</v>
      </c>
    </row>
    <row r="151" spans="1:55" x14ac:dyDescent="0.25">
      <c r="A151" s="9" t="s">
        <v>2644</v>
      </c>
      <c r="B151" s="9">
        <v>947</v>
      </c>
      <c r="C151" s="9" t="s">
        <v>2645</v>
      </c>
      <c r="D151" s="9">
        <v>1526</v>
      </c>
      <c r="E151" s="9">
        <v>2026</v>
      </c>
      <c r="F151" s="9" t="s">
        <v>2827</v>
      </c>
      <c r="G151" s="9">
        <v>62052000</v>
      </c>
      <c r="H151" s="9">
        <v>2000</v>
      </c>
      <c r="I151" s="9">
        <v>1</v>
      </c>
      <c r="J151" s="9" t="s">
        <v>2558</v>
      </c>
      <c r="K151" s="9">
        <v>285</v>
      </c>
      <c r="L151" s="10">
        <v>1470</v>
      </c>
      <c r="M151" s="10">
        <v>1470</v>
      </c>
      <c r="N151" s="9">
        <v>0</v>
      </c>
      <c r="O151" s="9">
        <v>0</v>
      </c>
      <c r="P151" s="9">
        <v>0</v>
      </c>
      <c r="Q151" s="9">
        <v>285</v>
      </c>
      <c r="R151" s="9">
        <v>285</v>
      </c>
      <c r="U151" s="9">
        <v>1</v>
      </c>
      <c r="W151" s="9">
        <v>260326210686920</v>
      </c>
      <c r="X151" s="9" t="s">
        <v>2559</v>
      </c>
      <c r="Y151" s="9" t="s">
        <v>2560</v>
      </c>
      <c r="Z151" s="9" t="s">
        <v>2762</v>
      </c>
      <c r="AA151" s="9" t="s">
        <v>2763</v>
      </c>
      <c r="AF151" s="9">
        <v>10</v>
      </c>
      <c r="AG151" s="9" t="s">
        <v>2563</v>
      </c>
      <c r="AH151" s="9">
        <v>300</v>
      </c>
      <c r="AO151" s="9" t="s">
        <v>2592</v>
      </c>
      <c r="AP151" s="11">
        <v>46256</v>
      </c>
      <c r="AQ151" s="9" t="s">
        <v>2564</v>
      </c>
      <c r="AR151" s="9">
        <v>4</v>
      </c>
      <c r="AS151" s="9" t="s">
        <v>2565</v>
      </c>
      <c r="AU151" s="9" t="s">
        <v>2566</v>
      </c>
      <c r="AV151" s="9" t="s">
        <v>258</v>
      </c>
      <c r="AX151" s="9">
        <v>2609639</v>
      </c>
      <c r="AZ151" s="9">
        <v>306</v>
      </c>
      <c r="BA151" s="9">
        <v>380406</v>
      </c>
      <c r="BB151" s="11">
        <v>46263</v>
      </c>
      <c r="BC151" s="9">
        <v>1680</v>
      </c>
    </row>
    <row r="152" spans="1:55" x14ac:dyDescent="0.25">
      <c r="A152" s="9" t="s">
        <v>2644</v>
      </c>
      <c r="B152" s="9">
        <v>947</v>
      </c>
      <c r="C152" s="9" t="s">
        <v>2645</v>
      </c>
      <c r="D152" s="9">
        <v>1527</v>
      </c>
      <c r="E152" s="9">
        <v>2026</v>
      </c>
      <c r="F152" s="9" t="s">
        <v>2828</v>
      </c>
      <c r="G152" s="9">
        <v>62052000</v>
      </c>
      <c r="H152" s="9">
        <v>2020</v>
      </c>
      <c r="I152" s="9">
        <v>1</v>
      </c>
      <c r="J152" s="9" t="s">
        <v>2558</v>
      </c>
      <c r="K152" s="10">
        <v>2468.4</v>
      </c>
      <c r="L152" s="10">
        <v>13351.8</v>
      </c>
      <c r="M152" s="10">
        <v>13351.8</v>
      </c>
      <c r="N152" s="9">
        <v>0</v>
      </c>
      <c r="O152" s="9">
        <v>0</v>
      </c>
      <c r="P152" s="9">
        <v>0</v>
      </c>
      <c r="Q152" s="9">
        <v>2468.4</v>
      </c>
      <c r="R152" s="10">
        <v>2468.4</v>
      </c>
      <c r="U152" s="9">
        <v>1</v>
      </c>
      <c r="W152" s="9">
        <v>260326210686920</v>
      </c>
      <c r="X152" s="9" t="s">
        <v>2559</v>
      </c>
      <c r="Y152" s="9" t="s">
        <v>2560</v>
      </c>
      <c r="Z152" s="9" t="s">
        <v>2762</v>
      </c>
      <c r="AA152" s="9" t="s">
        <v>2763</v>
      </c>
      <c r="AF152" s="9">
        <v>10</v>
      </c>
      <c r="AG152" s="9" t="s">
        <v>2563</v>
      </c>
      <c r="AH152" s="9">
        <v>2244</v>
      </c>
      <c r="AO152" s="9" t="s">
        <v>2577</v>
      </c>
      <c r="AP152" s="11">
        <v>46256</v>
      </c>
      <c r="AQ152" s="9" t="s">
        <v>2564</v>
      </c>
      <c r="AR152" s="9">
        <v>4</v>
      </c>
      <c r="AS152" s="9" t="s">
        <v>2565</v>
      </c>
      <c r="AU152" s="9" t="s">
        <v>2566</v>
      </c>
      <c r="AV152" s="9" t="s">
        <v>252</v>
      </c>
      <c r="AX152" s="9">
        <v>2609640</v>
      </c>
      <c r="AZ152" s="9">
        <v>306</v>
      </c>
      <c r="BA152" s="9">
        <v>407810</v>
      </c>
      <c r="BB152" s="11">
        <v>46269</v>
      </c>
      <c r="BC152" s="9">
        <v>1680</v>
      </c>
    </row>
    <row r="153" spans="1:55" x14ac:dyDescent="0.25">
      <c r="A153" s="9" t="s">
        <v>2644</v>
      </c>
      <c r="B153" s="9">
        <v>947</v>
      </c>
      <c r="C153" s="9" t="s">
        <v>2645</v>
      </c>
      <c r="D153" s="9">
        <v>1528</v>
      </c>
      <c r="E153" s="9">
        <v>2026</v>
      </c>
      <c r="F153" s="9" t="s">
        <v>2829</v>
      </c>
      <c r="G153" s="9">
        <v>62052000</v>
      </c>
      <c r="H153" s="9">
        <v>2020</v>
      </c>
      <c r="I153" s="9">
        <v>1</v>
      </c>
      <c r="J153" s="9" t="s">
        <v>2558</v>
      </c>
      <c r="K153" s="10">
        <v>2948.3</v>
      </c>
      <c r="L153" s="10">
        <v>15732.85</v>
      </c>
      <c r="M153" s="10">
        <v>11322.85</v>
      </c>
      <c r="N153" s="9">
        <v>0</v>
      </c>
      <c r="O153" s="9">
        <v>0</v>
      </c>
      <c r="P153" s="9">
        <v>0</v>
      </c>
      <c r="Q153" s="9">
        <v>2948.3</v>
      </c>
      <c r="R153" s="10">
        <v>2948.3</v>
      </c>
      <c r="U153" s="9">
        <v>1</v>
      </c>
      <c r="W153" s="9">
        <v>260326210686920</v>
      </c>
      <c r="X153" s="9" t="s">
        <v>2559</v>
      </c>
      <c r="Y153" s="9" t="s">
        <v>2560</v>
      </c>
      <c r="Z153" s="9" t="s">
        <v>2762</v>
      </c>
      <c r="AA153" s="9" t="s">
        <v>2763</v>
      </c>
      <c r="AF153" s="9">
        <v>10</v>
      </c>
      <c r="AG153" s="9" t="s">
        <v>2563</v>
      </c>
      <c r="AH153" s="9">
        <v>2803</v>
      </c>
      <c r="AO153" s="9" t="s">
        <v>2592</v>
      </c>
      <c r="AP153" s="11">
        <v>46256</v>
      </c>
      <c r="AQ153" s="9" t="s">
        <v>2564</v>
      </c>
      <c r="AR153" s="9">
        <v>4</v>
      </c>
      <c r="AS153" s="9" t="s">
        <v>2565</v>
      </c>
      <c r="AU153" s="9" t="s">
        <v>2566</v>
      </c>
      <c r="AV153" s="9" t="s">
        <v>262</v>
      </c>
      <c r="AX153" s="9">
        <v>2609641</v>
      </c>
      <c r="AZ153" s="9">
        <v>306</v>
      </c>
      <c r="BA153" s="9">
        <v>407788</v>
      </c>
      <c r="BB153" s="11">
        <v>46269</v>
      </c>
      <c r="BC153" s="9">
        <v>1680</v>
      </c>
    </row>
    <row r="154" spans="1:55" ht="30" x14ac:dyDescent="0.25">
      <c r="A154" s="9" t="s">
        <v>2644</v>
      </c>
      <c r="B154" s="9">
        <v>947</v>
      </c>
      <c r="C154" s="9" t="s">
        <v>2645</v>
      </c>
      <c r="D154" s="9">
        <v>1692</v>
      </c>
      <c r="E154" s="9">
        <v>2026</v>
      </c>
      <c r="F154" s="9" t="s">
        <v>833</v>
      </c>
      <c r="G154" s="9">
        <v>62052000</v>
      </c>
      <c r="H154" s="9">
        <v>2005</v>
      </c>
      <c r="I154" s="9">
        <v>1</v>
      </c>
      <c r="J154" s="9" t="s">
        <v>2558</v>
      </c>
      <c r="L154" s="10">
        <v>35072.839999999997</v>
      </c>
      <c r="M154" s="10">
        <v>35072.839999999997</v>
      </c>
      <c r="N154" s="9">
        <v>0</v>
      </c>
      <c r="O154" s="9">
        <v>0</v>
      </c>
      <c r="P154" s="9">
        <v>0</v>
      </c>
      <c r="R154" s="10">
        <v>35072.839999999997</v>
      </c>
      <c r="U154" s="9">
        <v>1</v>
      </c>
      <c r="W154" s="9">
        <v>260326210686920</v>
      </c>
      <c r="X154" s="9" t="s">
        <v>2559</v>
      </c>
      <c r="Y154" s="9" t="s">
        <v>2560</v>
      </c>
      <c r="Z154" s="9" t="s">
        <v>2683</v>
      </c>
      <c r="AA154" s="12" t="s">
        <v>2684</v>
      </c>
      <c r="AF154" s="9">
        <v>10</v>
      </c>
      <c r="AG154" s="9" t="s">
        <v>2563</v>
      </c>
      <c r="AH154" s="9">
        <v>12216</v>
      </c>
      <c r="AL154" s="9">
        <v>2610198</v>
      </c>
      <c r="AM154" s="11">
        <v>46274</v>
      </c>
      <c r="AO154" s="9" t="s">
        <v>2737</v>
      </c>
      <c r="AP154" s="11">
        <v>46274</v>
      </c>
      <c r="AQ154" s="9" t="s">
        <v>2564</v>
      </c>
      <c r="AR154" s="9">
        <v>4</v>
      </c>
      <c r="AU154" s="9" t="s">
        <v>2566</v>
      </c>
      <c r="AZ154" s="9">
        <v>306</v>
      </c>
      <c r="BA154" s="9">
        <v>429116</v>
      </c>
      <c r="BB154" s="11">
        <v>46274</v>
      </c>
      <c r="BC154" s="9">
        <v>1680</v>
      </c>
    </row>
    <row r="155" spans="1:55" ht="45" x14ac:dyDescent="0.25">
      <c r="A155" s="9" t="s">
        <v>2644</v>
      </c>
      <c r="B155" s="9">
        <v>947</v>
      </c>
      <c r="C155" s="9" t="s">
        <v>2645</v>
      </c>
      <c r="D155" s="9">
        <v>1690</v>
      </c>
      <c r="E155" s="9">
        <v>2026</v>
      </c>
      <c r="F155" s="9" t="s">
        <v>828</v>
      </c>
      <c r="G155" s="9">
        <v>62063000</v>
      </c>
      <c r="H155" s="9">
        <v>2000</v>
      </c>
      <c r="I155" s="9">
        <v>1</v>
      </c>
      <c r="J155" s="9" t="s">
        <v>2558</v>
      </c>
      <c r="L155" s="10">
        <v>1104</v>
      </c>
      <c r="M155" s="10">
        <v>1104</v>
      </c>
      <c r="N155" s="9">
        <v>0</v>
      </c>
      <c r="O155" s="9">
        <v>0</v>
      </c>
      <c r="P155" s="9">
        <v>0</v>
      </c>
      <c r="R155" s="10">
        <v>1104</v>
      </c>
      <c r="U155" s="9">
        <v>8</v>
      </c>
      <c r="W155" s="9">
        <v>260326210686920</v>
      </c>
      <c r="X155" s="9" t="s">
        <v>2559</v>
      </c>
      <c r="Y155" s="9" t="s">
        <v>2560</v>
      </c>
      <c r="Z155" s="9" t="s">
        <v>2661</v>
      </c>
      <c r="AA155" s="12" t="s">
        <v>2830</v>
      </c>
      <c r="AF155" s="9">
        <v>10</v>
      </c>
      <c r="AG155" s="9" t="s">
        <v>2563</v>
      </c>
      <c r="AH155" s="9">
        <v>552</v>
      </c>
      <c r="AO155" s="9" t="s">
        <v>2592</v>
      </c>
      <c r="AP155" s="11">
        <v>46274</v>
      </c>
      <c r="AQ155" s="9" t="s">
        <v>2564</v>
      </c>
      <c r="AR155" s="9">
        <v>4</v>
      </c>
      <c r="AU155" s="9" t="s">
        <v>2566</v>
      </c>
      <c r="AZ155" s="9">
        <v>101</v>
      </c>
      <c r="BA155" s="9">
        <v>959673</v>
      </c>
      <c r="BB155" s="11">
        <v>46281</v>
      </c>
      <c r="BC155" s="9">
        <v>1680</v>
      </c>
    </row>
    <row r="156" spans="1:55" ht="45" x14ac:dyDescent="0.25">
      <c r="A156" s="9" t="s">
        <v>2644</v>
      </c>
      <c r="B156" s="9">
        <v>947</v>
      </c>
      <c r="C156" s="9" t="s">
        <v>2645</v>
      </c>
      <c r="D156" s="9">
        <v>1500</v>
      </c>
      <c r="E156" s="9">
        <v>2026</v>
      </c>
      <c r="F156" s="9" t="s">
        <v>2831</v>
      </c>
      <c r="G156" s="9">
        <v>62044200</v>
      </c>
      <c r="H156" s="9">
        <v>2000</v>
      </c>
      <c r="I156" s="9">
        <v>1</v>
      </c>
      <c r="J156" s="9" t="s">
        <v>2558</v>
      </c>
      <c r="L156" s="10">
        <v>2095.88</v>
      </c>
      <c r="M156" s="10">
        <v>2095.88</v>
      </c>
      <c r="N156" s="9">
        <v>0</v>
      </c>
      <c r="O156" s="9">
        <v>0</v>
      </c>
      <c r="P156" s="9">
        <v>0</v>
      </c>
      <c r="R156" s="10">
        <v>2095.88</v>
      </c>
      <c r="U156" s="9">
        <v>1</v>
      </c>
      <c r="V156" s="11">
        <v>46263</v>
      </c>
      <c r="W156" s="9">
        <v>260326210686920</v>
      </c>
      <c r="X156" s="9" t="s">
        <v>2559</v>
      </c>
      <c r="Y156" s="9" t="s">
        <v>2560</v>
      </c>
      <c r="Z156" s="9" t="s">
        <v>2791</v>
      </c>
      <c r="AA156" s="12" t="s">
        <v>2832</v>
      </c>
      <c r="AB156" s="9" t="s">
        <v>2570</v>
      </c>
      <c r="AC156" s="11">
        <v>46287</v>
      </c>
      <c r="AD156" s="9">
        <v>947</v>
      </c>
      <c r="AF156" s="9">
        <v>10</v>
      </c>
      <c r="AG156" s="9" t="s">
        <v>2563</v>
      </c>
      <c r="AH156" s="9">
        <v>302</v>
      </c>
      <c r="AL156" s="9">
        <v>2609516</v>
      </c>
      <c r="AM156" s="11">
        <v>46285</v>
      </c>
      <c r="AO156" s="9" t="s">
        <v>2571</v>
      </c>
      <c r="AP156" s="11">
        <v>46254</v>
      </c>
      <c r="AQ156" s="9" t="s">
        <v>2564</v>
      </c>
      <c r="AR156" s="9">
        <v>4</v>
      </c>
      <c r="AS156" s="9" t="s">
        <v>2793</v>
      </c>
      <c r="AT156" s="9">
        <v>1</v>
      </c>
      <c r="AU156" s="9" t="s">
        <v>2566</v>
      </c>
      <c r="AW156" s="9" t="s">
        <v>2833</v>
      </c>
      <c r="AY156" s="11">
        <v>46263</v>
      </c>
      <c r="AZ156" s="9">
        <v>306</v>
      </c>
      <c r="BA156" s="9">
        <v>338153</v>
      </c>
      <c r="BB156" s="11">
        <v>46254</v>
      </c>
      <c r="BC156" s="9">
        <v>1680</v>
      </c>
    </row>
    <row r="157" spans="1:55" ht="45" x14ac:dyDescent="0.25">
      <c r="A157" s="9" t="s">
        <v>2644</v>
      </c>
      <c r="B157" s="9">
        <v>947</v>
      </c>
      <c r="C157" s="9" t="s">
        <v>2645</v>
      </c>
      <c r="D157" s="9">
        <v>1501</v>
      </c>
      <c r="E157" s="9">
        <v>2026</v>
      </c>
      <c r="F157" s="9" t="s">
        <v>2834</v>
      </c>
      <c r="G157" s="9">
        <v>62034900</v>
      </c>
      <c r="H157" s="9">
        <v>2000</v>
      </c>
      <c r="I157" s="9">
        <v>1</v>
      </c>
      <c r="J157" s="9" t="s">
        <v>2558</v>
      </c>
      <c r="K157" s="9">
        <v>0</v>
      </c>
      <c r="L157" s="10">
        <v>5605.26</v>
      </c>
      <c r="M157" s="10">
        <v>5605.26</v>
      </c>
      <c r="N157" s="9">
        <v>0</v>
      </c>
      <c r="O157" s="9">
        <v>0</v>
      </c>
      <c r="P157" s="9">
        <v>0</v>
      </c>
      <c r="R157" s="10">
        <v>5605.26</v>
      </c>
      <c r="U157" s="9">
        <v>1</v>
      </c>
      <c r="W157" s="9">
        <v>260326210686920</v>
      </c>
      <c r="X157" s="9" t="s">
        <v>2559</v>
      </c>
      <c r="Y157" s="9" t="s">
        <v>2560</v>
      </c>
      <c r="Z157" s="9" t="s">
        <v>2703</v>
      </c>
      <c r="AA157" s="12" t="s">
        <v>2704</v>
      </c>
      <c r="AF157" s="9">
        <v>10</v>
      </c>
      <c r="AG157" s="9" t="s">
        <v>2563</v>
      </c>
      <c r="AH157" s="9">
        <v>1246</v>
      </c>
      <c r="AO157" s="9" t="s">
        <v>2577</v>
      </c>
      <c r="AP157" s="11">
        <v>46254</v>
      </c>
      <c r="AQ157" s="9" t="s">
        <v>2564</v>
      </c>
      <c r="AR157" s="9">
        <v>4</v>
      </c>
      <c r="AS157" s="9" t="s">
        <v>2565</v>
      </c>
      <c r="AU157" s="9" t="s">
        <v>2566</v>
      </c>
      <c r="AV157" s="9" t="s">
        <v>124</v>
      </c>
      <c r="AX157" s="9">
        <v>2609471</v>
      </c>
      <c r="AZ157" s="9">
        <v>306</v>
      </c>
      <c r="BA157" s="9">
        <v>359491</v>
      </c>
      <c r="BB157" s="11">
        <v>46258</v>
      </c>
      <c r="BC157" s="9">
        <v>1680</v>
      </c>
    </row>
    <row r="158" spans="1:55" ht="45" x14ac:dyDescent="0.25">
      <c r="A158" s="9" t="s">
        <v>2644</v>
      </c>
      <c r="B158" s="9">
        <v>947</v>
      </c>
      <c r="C158" s="9" t="s">
        <v>2645</v>
      </c>
      <c r="D158" s="9">
        <v>1502</v>
      </c>
      <c r="E158" s="9">
        <v>2026</v>
      </c>
      <c r="F158" s="9" t="s">
        <v>2835</v>
      </c>
      <c r="G158" s="9">
        <v>61046900</v>
      </c>
      <c r="H158" s="9">
        <v>2000</v>
      </c>
      <c r="I158" s="9">
        <v>1</v>
      </c>
      <c r="J158" s="9" t="s">
        <v>2558</v>
      </c>
      <c r="K158" s="9">
        <v>0</v>
      </c>
      <c r="L158" s="10">
        <v>2341.11</v>
      </c>
      <c r="M158" s="10">
        <v>2341.11</v>
      </c>
      <c r="N158" s="9">
        <v>892.25</v>
      </c>
      <c r="O158" s="9">
        <v>0</v>
      </c>
      <c r="P158" s="9">
        <v>0</v>
      </c>
      <c r="R158" s="10">
        <v>2341.11</v>
      </c>
      <c r="U158" s="9">
        <v>1</v>
      </c>
      <c r="V158" s="11">
        <v>46269</v>
      </c>
      <c r="W158" s="9">
        <v>260326210686920</v>
      </c>
      <c r="X158" s="9" t="s">
        <v>2559</v>
      </c>
      <c r="Y158" s="9" t="s">
        <v>2560</v>
      </c>
      <c r="Z158" s="9" t="s">
        <v>2703</v>
      </c>
      <c r="AA158" s="12" t="s">
        <v>2704</v>
      </c>
      <c r="AB158" s="9" t="s">
        <v>2570</v>
      </c>
      <c r="AC158" s="11">
        <v>46286</v>
      </c>
      <c r="AD158" s="9">
        <v>947</v>
      </c>
      <c r="AF158" s="9">
        <v>10</v>
      </c>
      <c r="AG158" s="9" t="s">
        <v>2563</v>
      </c>
      <c r="AH158" s="9">
        <v>524</v>
      </c>
      <c r="AL158" s="9">
        <v>2609472</v>
      </c>
      <c r="AM158" s="11">
        <v>46254</v>
      </c>
      <c r="AO158" s="9" t="s">
        <v>2571</v>
      </c>
      <c r="AP158" s="11">
        <v>46254</v>
      </c>
      <c r="AQ158" s="9" t="s">
        <v>2564</v>
      </c>
      <c r="AR158" s="9">
        <v>9</v>
      </c>
      <c r="AS158" s="9" t="s">
        <v>2565</v>
      </c>
      <c r="AT158" s="9">
        <v>1</v>
      </c>
      <c r="AU158" s="9" t="s">
        <v>2566</v>
      </c>
      <c r="AV158" s="9" t="s">
        <v>124</v>
      </c>
      <c r="AW158" s="9" t="s">
        <v>2836</v>
      </c>
      <c r="AX158" s="9">
        <v>2609472</v>
      </c>
      <c r="AY158" s="11">
        <v>46269</v>
      </c>
      <c r="AZ158" s="9">
        <v>306</v>
      </c>
      <c r="BA158" s="9">
        <v>369669</v>
      </c>
      <c r="BB158" s="11">
        <v>46261</v>
      </c>
      <c r="BC158" s="9">
        <v>1680</v>
      </c>
    </row>
    <row r="159" spans="1:55" ht="45" x14ac:dyDescent="0.25">
      <c r="A159" s="9" t="s">
        <v>2644</v>
      </c>
      <c r="B159" s="9">
        <v>947</v>
      </c>
      <c r="C159" s="9" t="s">
        <v>2645</v>
      </c>
      <c r="D159" s="9">
        <v>1503</v>
      </c>
      <c r="E159" s="9">
        <v>2026</v>
      </c>
      <c r="F159" s="9" t="s">
        <v>2837</v>
      </c>
      <c r="G159" s="9">
        <v>61046900</v>
      </c>
      <c r="H159" s="9">
        <v>2000</v>
      </c>
      <c r="I159" s="9">
        <v>1</v>
      </c>
      <c r="J159" s="9" t="s">
        <v>2558</v>
      </c>
      <c r="K159" s="9">
        <v>0</v>
      </c>
      <c r="L159" s="10">
        <v>2340.14</v>
      </c>
      <c r="M159" s="10">
        <v>2340.14</v>
      </c>
      <c r="N159" s="9">
        <v>864.57</v>
      </c>
      <c r="O159" s="9">
        <v>0</v>
      </c>
      <c r="P159" s="9">
        <v>0</v>
      </c>
      <c r="R159" s="10">
        <v>2340.14</v>
      </c>
      <c r="U159" s="9">
        <v>1</v>
      </c>
      <c r="V159" s="11">
        <v>46269</v>
      </c>
      <c r="W159" s="9">
        <v>260326210686920</v>
      </c>
      <c r="X159" s="9" t="s">
        <v>2559</v>
      </c>
      <c r="Y159" s="9" t="s">
        <v>2560</v>
      </c>
      <c r="Z159" s="9" t="s">
        <v>2703</v>
      </c>
      <c r="AA159" s="12" t="s">
        <v>2704</v>
      </c>
      <c r="AB159" s="9" t="s">
        <v>2570</v>
      </c>
      <c r="AC159" s="11">
        <v>46286</v>
      </c>
      <c r="AD159" s="9">
        <v>947</v>
      </c>
      <c r="AF159" s="9">
        <v>10</v>
      </c>
      <c r="AG159" s="9" t="s">
        <v>2563</v>
      </c>
      <c r="AH159" s="9">
        <v>524</v>
      </c>
      <c r="AL159" s="9">
        <v>2609517</v>
      </c>
      <c r="AM159" s="11">
        <v>46254</v>
      </c>
      <c r="AO159" s="9" t="s">
        <v>2571</v>
      </c>
      <c r="AP159" s="11">
        <v>46254</v>
      </c>
      <c r="AQ159" s="9" t="s">
        <v>2564</v>
      </c>
      <c r="AR159" s="9">
        <v>9</v>
      </c>
      <c r="AS159" s="9" t="s">
        <v>2565</v>
      </c>
      <c r="AT159" s="9">
        <v>1</v>
      </c>
      <c r="AU159" s="9" t="s">
        <v>2566</v>
      </c>
      <c r="AV159" s="9" t="s">
        <v>124</v>
      </c>
      <c r="AW159" s="9" t="s">
        <v>2838</v>
      </c>
      <c r="AX159" s="9">
        <v>2609517</v>
      </c>
      <c r="AY159" s="11">
        <v>46269</v>
      </c>
      <c r="AZ159" s="9">
        <v>306</v>
      </c>
      <c r="BA159" s="9">
        <v>369673</v>
      </c>
      <c r="BB159" s="11">
        <v>46261</v>
      </c>
      <c r="BC159" s="9">
        <v>1680</v>
      </c>
    </row>
    <row r="160" spans="1:55" ht="45" x14ac:dyDescent="0.25">
      <c r="A160" s="9" t="s">
        <v>2644</v>
      </c>
      <c r="B160" s="9">
        <v>947</v>
      </c>
      <c r="C160" s="9" t="s">
        <v>2645</v>
      </c>
      <c r="D160" s="9">
        <v>1504</v>
      </c>
      <c r="E160" s="9">
        <v>2026</v>
      </c>
      <c r="F160" s="9" t="s">
        <v>2839</v>
      </c>
      <c r="G160" s="9">
        <v>62034900</v>
      </c>
      <c r="H160" s="9">
        <v>1219</v>
      </c>
      <c r="I160" s="9">
        <v>1</v>
      </c>
      <c r="J160" s="9" t="s">
        <v>2558</v>
      </c>
      <c r="K160" s="9">
        <v>0</v>
      </c>
      <c r="L160" s="10">
        <v>1644.72</v>
      </c>
      <c r="M160" s="10">
        <v>1644.72</v>
      </c>
      <c r="N160" s="9">
        <v>0</v>
      </c>
      <c r="O160" s="9">
        <v>0</v>
      </c>
      <c r="P160" s="9">
        <v>0</v>
      </c>
      <c r="R160" s="10">
        <v>1644.72</v>
      </c>
      <c r="U160" s="9">
        <v>1</v>
      </c>
      <c r="W160" s="9">
        <v>260326210686920</v>
      </c>
      <c r="X160" s="9" t="s">
        <v>2559</v>
      </c>
      <c r="Y160" s="9" t="s">
        <v>2560</v>
      </c>
      <c r="Z160" s="9" t="s">
        <v>2703</v>
      </c>
      <c r="AA160" s="12" t="s">
        <v>2840</v>
      </c>
      <c r="AF160" s="9">
        <v>10</v>
      </c>
      <c r="AG160" s="9" t="s">
        <v>2563</v>
      </c>
      <c r="AH160" s="9">
        <v>370</v>
      </c>
      <c r="AO160" s="9" t="s">
        <v>2577</v>
      </c>
      <c r="AP160" s="11">
        <v>46254</v>
      </c>
      <c r="AQ160" s="9" t="s">
        <v>2564</v>
      </c>
      <c r="AR160" s="9">
        <v>4</v>
      </c>
      <c r="AS160" s="9" t="s">
        <v>2565</v>
      </c>
      <c r="AU160" s="9" t="s">
        <v>2566</v>
      </c>
      <c r="AV160" s="9" t="s">
        <v>540</v>
      </c>
      <c r="AX160" s="9">
        <v>2609518</v>
      </c>
      <c r="AZ160" s="9">
        <v>306</v>
      </c>
      <c r="BA160" s="9">
        <v>344234</v>
      </c>
      <c r="BB160" s="11">
        <v>46255</v>
      </c>
      <c r="BC160" s="9">
        <v>1680</v>
      </c>
    </row>
    <row r="161" spans="1:55" x14ac:dyDescent="0.25">
      <c r="A161" s="9" t="s">
        <v>2644</v>
      </c>
      <c r="B161" s="9">
        <v>947</v>
      </c>
      <c r="C161" s="9" t="s">
        <v>2645</v>
      </c>
      <c r="D161" s="9">
        <v>1530</v>
      </c>
      <c r="E161" s="9">
        <v>2026</v>
      </c>
      <c r="F161" s="9" t="s">
        <v>2841</v>
      </c>
      <c r="G161" s="9">
        <v>62052000</v>
      </c>
      <c r="H161" s="9">
        <v>2000</v>
      </c>
      <c r="I161" s="9">
        <v>1</v>
      </c>
      <c r="J161" s="9" t="s">
        <v>2558</v>
      </c>
      <c r="K161" s="10">
        <v>3110</v>
      </c>
      <c r="L161" s="10">
        <v>12735</v>
      </c>
      <c r="M161" s="10">
        <v>12735</v>
      </c>
      <c r="N161" s="9">
        <v>0</v>
      </c>
      <c r="O161" s="9">
        <v>0</v>
      </c>
      <c r="P161" s="9">
        <v>0</v>
      </c>
      <c r="Q161" s="9">
        <v>3110</v>
      </c>
      <c r="R161" s="10">
        <v>3110</v>
      </c>
      <c r="U161" s="9">
        <v>1</v>
      </c>
      <c r="W161" s="9">
        <v>260326210686920</v>
      </c>
      <c r="X161" s="9" t="s">
        <v>2559</v>
      </c>
      <c r="Y161" s="9" t="s">
        <v>2560</v>
      </c>
      <c r="Z161" s="9" t="s">
        <v>2665</v>
      </c>
      <c r="AA161" s="9" t="s">
        <v>2666</v>
      </c>
      <c r="AF161" s="9">
        <v>10</v>
      </c>
      <c r="AG161" s="9" t="s">
        <v>2563</v>
      </c>
      <c r="AH161" s="9">
        <v>1900</v>
      </c>
      <c r="AO161" s="9" t="s">
        <v>2577</v>
      </c>
      <c r="AP161" s="11">
        <v>46257</v>
      </c>
      <c r="AQ161" s="9" t="s">
        <v>2564</v>
      </c>
      <c r="AR161" s="9">
        <v>4</v>
      </c>
      <c r="AS161" s="9" t="s">
        <v>2565</v>
      </c>
      <c r="AU161" s="9" t="s">
        <v>2566</v>
      </c>
      <c r="AV161" s="9" t="s">
        <v>124</v>
      </c>
      <c r="AX161" s="9">
        <v>2609632</v>
      </c>
      <c r="AZ161" s="9">
        <v>306</v>
      </c>
      <c r="BA161" s="9">
        <v>354883</v>
      </c>
      <c r="BB161" s="11">
        <v>46258</v>
      </c>
      <c r="BC161" s="9">
        <v>1680</v>
      </c>
    </row>
    <row r="162" spans="1:55" x14ac:dyDescent="0.25">
      <c r="A162" s="9" t="s">
        <v>2644</v>
      </c>
      <c r="B162" s="9">
        <v>947</v>
      </c>
      <c r="C162" s="9" t="s">
        <v>2645</v>
      </c>
      <c r="D162" s="9">
        <v>1531</v>
      </c>
      <c r="E162" s="9">
        <v>2026</v>
      </c>
      <c r="F162" s="9" t="s">
        <v>2842</v>
      </c>
      <c r="G162" s="9">
        <v>62052000</v>
      </c>
      <c r="H162" s="9">
        <v>2020</v>
      </c>
      <c r="I162" s="9">
        <v>1</v>
      </c>
      <c r="J162" s="9" t="s">
        <v>2558</v>
      </c>
      <c r="K162" s="9">
        <v>665</v>
      </c>
      <c r="L162" s="10">
        <v>3430</v>
      </c>
      <c r="M162" s="10">
        <v>3430</v>
      </c>
      <c r="N162" s="9">
        <v>0</v>
      </c>
      <c r="O162" s="9">
        <v>0</v>
      </c>
      <c r="P162" s="9">
        <v>0</v>
      </c>
      <c r="Q162" s="9">
        <v>665</v>
      </c>
      <c r="R162" s="9">
        <v>665</v>
      </c>
      <c r="U162" s="9">
        <v>1</v>
      </c>
      <c r="W162" s="9">
        <v>260326210686920</v>
      </c>
      <c r="X162" s="9" t="s">
        <v>2559</v>
      </c>
      <c r="Y162" s="9" t="s">
        <v>2560</v>
      </c>
      <c r="Z162" s="9" t="s">
        <v>2762</v>
      </c>
      <c r="AA162" s="9" t="s">
        <v>2763</v>
      </c>
      <c r="AF162" s="9">
        <v>10</v>
      </c>
      <c r="AG162" s="9" t="s">
        <v>2563</v>
      </c>
      <c r="AH162" s="9">
        <v>700</v>
      </c>
      <c r="AO162" s="9" t="s">
        <v>2577</v>
      </c>
      <c r="AP162" s="11">
        <v>46257</v>
      </c>
      <c r="AQ162" s="9" t="s">
        <v>2564</v>
      </c>
      <c r="AR162" s="9">
        <v>4</v>
      </c>
      <c r="AS162" s="9" t="s">
        <v>2565</v>
      </c>
      <c r="AU162" s="9" t="s">
        <v>2566</v>
      </c>
      <c r="AV162" s="9" t="s">
        <v>262</v>
      </c>
      <c r="AX162" s="9">
        <v>2609671</v>
      </c>
      <c r="AZ162" s="9">
        <v>306</v>
      </c>
      <c r="BA162" s="9">
        <v>380378</v>
      </c>
      <c r="BB162" s="11">
        <v>46263</v>
      </c>
      <c r="BC162" s="9">
        <v>1680</v>
      </c>
    </row>
    <row r="163" spans="1:55" x14ac:dyDescent="0.25">
      <c r="A163" s="9" t="s">
        <v>2644</v>
      </c>
      <c r="B163" s="9">
        <v>947</v>
      </c>
      <c r="C163" s="9" t="s">
        <v>2645</v>
      </c>
      <c r="D163" s="9">
        <v>1532</v>
      </c>
      <c r="E163" s="9">
        <v>2026</v>
      </c>
      <c r="F163" s="9" t="s">
        <v>2843</v>
      </c>
      <c r="G163" s="9">
        <v>62052000</v>
      </c>
      <c r="H163" s="9">
        <v>2020</v>
      </c>
      <c r="I163" s="9">
        <v>1</v>
      </c>
      <c r="J163" s="9" t="s">
        <v>2558</v>
      </c>
      <c r="K163" s="9">
        <v>855</v>
      </c>
      <c r="L163" s="10">
        <v>4410</v>
      </c>
      <c r="M163" s="10">
        <v>4410</v>
      </c>
      <c r="N163" s="9">
        <v>0</v>
      </c>
      <c r="O163" s="9">
        <v>0</v>
      </c>
      <c r="P163" s="9">
        <v>0</v>
      </c>
      <c r="Q163" s="9">
        <v>855</v>
      </c>
      <c r="R163" s="9">
        <v>855</v>
      </c>
      <c r="U163" s="9">
        <v>8</v>
      </c>
      <c r="W163" s="9">
        <v>260326210686920</v>
      </c>
      <c r="X163" s="9" t="s">
        <v>2559</v>
      </c>
      <c r="Y163" s="9" t="s">
        <v>2560</v>
      </c>
      <c r="Z163" s="9" t="s">
        <v>2762</v>
      </c>
      <c r="AA163" s="9" t="s">
        <v>2763</v>
      </c>
      <c r="AF163" s="9">
        <v>10</v>
      </c>
      <c r="AG163" s="9" t="s">
        <v>2563</v>
      </c>
      <c r="AH163" s="9">
        <v>900</v>
      </c>
      <c r="AO163" s="9" t="s">
        <v>2577</v>
      </c>
      <c r="AP163" s="11">
        <v>46257</v>
      </c>
      <c r="AQ163" s="9" t="s">
        <v>2564</v>
      </c>
      <c r="AR163" s="9">
        <v>4</v>
      </c>
      <c r="AS163" s="9" t="s">
        <v>2565</v>
      </c>
      <c r="AU163" s="9" t="s">
        <v>2566</v>
      </c>
      <c r="AV163" s="9" t="s">
        <v>262</v>
      </c>
      <c r="AX163" s="9">
        <v>2609672</v>
      </c>
      <c r="AZ163" s="9">
        <v>306</v>
      </c>
      <c r="BA163" s="9">
        <v>380381</v>
      </c>
      <c r="BB163" s="11">
        <v>46263</v>
      </c>
      <c r="BC163" s="9">
        <v>1680</v>
      </c>
    </row>
    <row r="164" spans="1:55" x14ac:dyDescent="0.25">
      <c r="A164" s="9" t="s">
        <v>2644</v>
      </c>
      <c r="B164" s="9">
        <v>947</v>
      </c>
      <c r="C164" s="9" t="s">
        <v>2645</v>
      </c>
      <c r="D164" s="9">
        <v>1533</v>
      </c>
      <c r="E164" s="9">
        <v>2026</v>
      </c>
      <c r="F164" s="9" t="s">
        <v>2844</v>
      </c>
      <c r="G164" s="9">
        <v>62052000</v>
      </c>
      <c r="H164" s="9">
        <v>2020</v>
      </c>
      <c r="I164" s="9">
        <v>1</v>
      </c>
      <c r="J164" s="9" t="s">
        <v>2558</v>
      </c>
      <c r="K164" s="9">
        <v>950</v>
      </c>
      <c r="L164" s="10">
        <v>4900</v>
      </c>
      <c r="M164" s="10">
        <v>4900</v>
      </c>
      <c r="N164" s="9">
        <v>0</v>
      </c>
      <c r="O164" s="9">
        <v>0</v>
      </c>
      <c r="P164" s="9">
        <v>0</v>
      </c>
      <c r="Q164" s="9">
        <v>950</v>
      </c>
      <c r="R164" s="9">
        <v>950</v>
      </c>
      <c r="U164" s="9">
        <v>1</v>
      </c>
      <c r="W164" s="9">
        <v>260326210686920</v>
      </c>
      <c r="X164" s="9" t="s">
        <v>2559</v>
      </c>
      <c r="Y164" s="9" t="s">
        <v>2560</v>
      </c>
      <c r="Z164" s="9" t="s">
        <v>2762</v>
      </c>
      <c r="AA164" s="9" t="s">
        <v>2763</v>
      </c>
      <c r="AF164" s="9">
        <v>10</v>
      </c>
      <c r="AG164" s="9" t="s">
        <v>2563</v>
      </c>
      <c r="AH164" s="9">
        <v>1000</v>
      </c>
      <c r="AO164" s="9" t="s">
        <v>2577</v>
      </c>
      <c r="AP164" s="11">
        <v>46257</v>
      </c>
      <c r="AQ164" s="9" t="s">
        <v>2564</v>
      </c>
      <c r="AR164" s="9">
        <v>4</v>
      </c>
      <c r="AS164" s="9" t="s">
        <v>2565</v>
      </c>
      <c r="AU164" s="9" t="s">
        <v>2566</v>
      </c>
      <c r="AV164" s="9" t="s">
        <v>252</v>
      </c>
      <c r="AX164" s="9">
        <v>2609673</v>
      </c>
      <c r="AZ164" s="9">
        <v>306</v>
      </c>
      <c r="BA164" s="9">
        <v>380385</v>
      </c>
      <c r="BB164" s="11">
        <v>46263</v>
      </c>
      <c r="BC164" s="9">
        <v>1680</v>
      </c>
    </row>
    <row r="165" spans="1:55" x14ac:dyDescent="0.25">
      <c r="A165" s="9" t="s">
        <v>2644</v>
      </c>
      <c r="B165" s="9">
        <v>947</v>
      </c>
      <c r="C165" s="9" t="s">
        <v>2645</v>
      </c>
      <c r="D165" s="9">
        <v>1534</v>
      </c>
      <c r="E165" s="9">
        <v>2026</v>
      </c>
      <c r="F165" s="9" t="s">
        <v>2845</v>
      </c>
      <c r="G165" s="9">
        <v>62052000</v>
      </c>
      <c r="H165" s="9">
        <v>2020</v>
      </c>
      <c r="I165" s="9">
        <v>1</v>
      </c>
      <c r="J165" s="9" t="s">
        <v>2558</v>
      </c>
      <c r="K165" s="10">
        <v>1425</v>
      </c>
      <c r="L165" s="10">
        <v>7350</v>
      </c>
      <c r="M165" s="10">
        <v>7350</v>
      </c>
      <c r="N165" s="9">
        <v>0</v>
      </c>
      <c r="O165" s="9">
        <v>0</v>
      </c>
      <c r="P165" s="9">
        <v>0</v>
      </c>
      <c r="Q165" s="9">
        <v>1425</v>
      </c>
      <c r="R165" s="10">
        <v>1425</v>
      </c>
      <c r="U165" s="9">
        <v>1</v>
      </c>
      <c r="W165" s="9">
        <v>260326210686920</v>
      </c>
      <c r="X165" s="9" t="s">
        <v>2559</v>
      </c>
      <c r="Y165" s="9" t="s">
        <v>2560</v>
      </c>
      <c r="Z165" s="9" t="s">
        <v>2762</v>
      </c>
      <c r="AA165" s="9" t="s">
        <v>2763</v>
      </c>
      <c r="AF165" s="9">
        <v>10</v>
      </c>
      <c r="AG165" s="9" t="s">
        <v>2563</v>
      </c>
      <c r="AH165" s="9">
        <v>1500</v>
      </c>
      <c r="AO165" s="9" t="s">
        <v>2577</v>
      </c>
      <c r="AP165" s="11">
        <v>46257</v>
      </c>
      <c r="AQ165" s="9" t="s">
        <v>2564</v>
      </c>
      <c r="AR165" s="9">
        <v>4</v>
      </c>
      <c r="AS165" s="9" t="s">
        <v>2565</v>
      </c>
      <c r="AU165" s="9" t="s">
        <v>2566</v>
      </c>
      <c r="AV165" s="9" t="s">
        <v>252</v>
      </c>
      <c r="AX165" s="9">
        <v>2609674</v>
      </c>
      <c r="AZ165" s="9">
        <v>306</v>
      </c>
      <c r="BA165" s="9">
        <v>380389</v>
      </c>
      <c r="BB165" s="11">
        <v>46263</v>
      </c>
      <c r="BC165" s="9">
        <v>1680</v>
      </c>
    </row>
    <row r="166" spans="1:55" x14ac:dyDescent="0.25">
      <c r="A166" s="9" t="s">
        <v>2644</v>
      </c>
      <c r="B166" s="9">
        <v>947</v>
      </c>
      <c r="C166" s="9" t="s">
        <v>2645</v>
      </c>
      <c r="D166" s="9">
        <v>1535</v>
      </c>
      <c r="E166" s="9">
        <v>2026</v>
      </c>
      <c r="F166" s="9" t="s">
        <v>2846</v>
      </c>
      <c r="G166" s="9">
        <v>62052000</v>
      </c>
      <c r="H166" s="9">
        <v>2016</v>
      </c>
      <c r="I166" s="9">
        <v>1</v>
      </c>
      <c r="J166" s="9" t="s">
        <v>2558</v>
      </c>
      <c r="K166" s="10">
        <v>1007</v>
      </c>
      <c r="L166" s="10">
        <v>5194</v>
      </c>
      <c r="M166" s="10">
        <v>5194</v>
      </c>
      <c r="N166" s="9">
        <v>0</v>
      </c>
      <c r="O166" s="9">
        <v>0</v>
      </c>
      <c r="P166" s="9">
        <v>0</v>
      </c>
      <c r="Q166" s="9">
        <v>1007</v>
      </c>
      <c r="R166" s="10">
        <v>1007</v>
      </c>
      <c r="U166" s="9">
        <v>1</v>
      </c>
      <c r="W166" s="9">
        <v>260326210686920</v>
      </c>
      <c r="X166" s="9" t="s">
        <v>2559</v>
      </c>
      <c r="Y166" s="9" t="s">
        <v>2560</v>
      </c>
      <c r="Z166" s="9" t="s">
        <v>2762</v>
      </c>
      <c r="AA166" s="9" t="s">
        <v>2763</v>
      </c>
      <c r="AF166" s="9">
        <v>10</v>
      </c>
      <c r="AG166" s="9" t="s">
        <v>2563</v>
      </c>
      <c r="AH166" s="9">
        <v>1060</v>
      </c>
      <c r="AO166" s="9" t="s">
        <v>2577</v>
      </c>
      <c r="AP166" s="11">
        <v>46257</v>
      </c>
      <c r="AQ166" s="9" t="s">
        <v>2564</v>
      </c>
      <c r="AR166" s="9">
        <v>4</v>
      </c>
      <c r="AS166" s="9" t="s">
        <v>2565</v>
      </c>
      <c r="AU166" s="9" t="s">
        <v>2566</v>
      </c>
      <c r="AV166" s="9" t="s">
        <v>183</v>
      </c>
      <c r="AX166" s="9">
        <v>2609675</v>
      </c>
      <c r="AZ166" s="9">
        <v>306</v>
      </c>
      <c r="BA166" s="9">
        <v>380393</v>
      </c>
      <c r="BB166" s="11">
        <v>46263</v>
      </c>
      <c r="BC166" s="9">
        <v>1680</v>
      </c>
    </row>
    <row r="167" spans="1:55" x14ac:dyDescent="0.25">
      <c r="A167" s="9" t="s">
        <v>2644</v>
      </c>
      <c r="B167" s="9">
        <v>947</v>
      </c>
      <c r="C167" s="9" t="s">
        <v>2645</v>
      </c>
      <c r="D167" s="9">
        <v>1536</v>
      </c>
      <c r="E167" s="9">
        <v>2026</v>
      </c>
      <c r="F167" s="9" t="s">
        <v>2847</v>
      </c>
      <c r="G167" s="9">
        <v>62052000</v>
      </c>
      <c r="H167" s="9">
        <v>2020</v>
      </c>
      <c r="I167" s="9">
        <v>1</v>
      </c>
      <c r="J167" s="9" t="s">
        <v>2558</v>
      </c>
      <c r="K167" s="9">
        <v>133</v>
      </c>
      <c r="L167" s="9">
        <v>686</v>
      </c>
      <c r="M167" s="9">
        <v>686</v>
      </c>
      <c r="N167" s="9">
        <v>0</v>
      </c>
      <c r="O167" s="9">
        <v>0</v>
      </c>
      <c r="P167" s="9">
        <v>0</v>
      </c>
      <c r="Q167" s="9">
        <v>133</v>
      </c>
      <c r="R167" s="9">
        <v>133</v>
      </c>
      <c r="U167" s="9">
        <v>1</v>
      </c>
      <c r="W167" s="9">
        <v>260326210686920</v>
      </c>
      <c r="X167" s="9" t="s">
        <v>2559</v>
      </c>
      <c r="Y167" s="9" t="s">
        <v>2560</v>
      </c>
      <c r="Z167" s="9" t="s">
        <v>2762</v>
      </c>
      <c r="AA167" s="9" t="s">
        <v>2763</v>
      </c>
      <c r="AF167" s="9">
        <v>10</v>
      </c>
      <c r="AG167" s="9" t="s">
        <v>2563</v>
      </c>
      <c r="AH167" s="9">
        <v>140</v>
      </c>
      <c r="AO167" s="9" t="s">
        <v>2577</v>
      </c>
      <c r="AP167" s="11">
        <v>46257</v>
      </c>
      <c r="AQ167" s="9" t="s">
        <v>2564</v>
      </c>
      <c r="AR167" s="9">
        <v>4</v>
      </c>
      <c r="AS167" s="9" t="s">
        <v>2565</v>
      </c>
      <c r="AU167" s="9" t="s">
        <v>2566</v>
      </c>
      <c r="AV167" s="9" t="s">
        <v>2848</v>
      </c>
      <c r="AX167" s="9">
        <v>2609676</v>
      </c>
      <c r="AZ167" s="9">
        <v>306</v>
      </c>
      <c r="BA167" s="9">
        <v>380397</v>
      </c>
      <c r="BB167" s="11">
        <v>46263</v>
      </c>
      <c r="BC167" s="9">
        <v>1680</v>
      </c>
    </row>
    <row r="168" spans="1:55" ht="45" x14ac:dyDescent="0.25">
      <c r="A168" s="9" t="s">
        <v>2644</v>
      </c>
      <c r="B168" s="9">
        <v>947</v>
      </c>
      <c r="C168" s="9" t="s">
        <v>2645</v>
      </c>
      <c r="D168" s="9">
        <v>1656</v>
      </c>
      <c r="E168" s="9">
        <v>2026</v>
      </c>
      <c r="F168" s="9" t="s">
        <v>280</v>
      </c>
      <c r="G168" s="9">
        <v>62052000</v>
      </c>
      <c r="H168" s="9">
        <v>2000</v>
      </c>
      <c r="I168" s="9">
        <v>1</v>
      </c>
      <c r="J168" s="9" t="s">
        <v>2558</v>
      </c>
      <c r="L168" s="10">
        <v>12320.21</v>
      </c>
      <c r="M168" s="10">
        <v>12320.21</v>
      </c>
      <c r="N168" s="9">
        <v>0</v>
      </c>
      <c r="O168" s="9">
        <v>0</v>
      </c>
      <c r="P168" s="9">
        <v>0</v>
      </c>
      <c r="R168" s="10">
        <v>12320.21</v>
      </c>
      <c r="U168" s="9">
        <v>1</v>
      </c>
      <c r="W168" s="9">
        <v>260326210686920</v>
      </c>
      <c r="X168" s="9" t="s">
        <v>2559</v>
      </c>
      <c r="Y168" s="9" t="s">
        <v>2560</v>
      </c>
      <c r="Z168" s="9" t="s">
        <v>2769</v>
      </c>
      <c r="AA168" s="12" t="s">
        <v>2849</v>
      </c>
      <c r="AF168" s="9">
        <v>10</v>
      </c>
      <c r="AG168" s="9" t="s">
        <v>2563</v>
      </c>
      <c r="AH168" s="9">
        <v>3451</v>
      </c>
      <c r="AO168" s="9" t="s">
        <v>2685</v>
      </c>
      <c r="AP168" s="11">
        <v>46268</v>
      </c>
      <c r="AQ168" s="9" t="s">
        <v>2564</v>
      </c>
      <c r="AR168" s="9">
        <v>4</v>
      </c>
      <c r="AU168" s="9" t="s">
        <v>2566</v>
      </c>
      <c r="AZ168" s="9">
        <v>306</v>
      </c>
      <c r="BA168" s="9">
        <v>401092</v>
      </c>
      <c r="BB168" s="11">
        <v>46268</v>
      </c>
      <c r="BC168" s="9">
        <v>1680</v>
      </c>
    </row>
    <row r="169" spans="1:55" x14ac:dyDescent="0.25">
      <c r="A169" s="9" t="s">
        <v>2644</v>
      </c>
      <c r="B169" s="9">
        <v>947</v>
      </c>
      <c r="C169" s="9" t="s">
        <v>2645</v>
      </c>
      <c r="D169" s="9">
        <v>1555</v>
      </c>
      <c r="E169" s="9">
        <v>2026</v>
      </c>
      <c r="F169" s="9" t="s">
        <v>2850</v>
      </c>
      <c r="G169" s="9">
        <v>62052000</v>
      </c>
      <c r="H169" s="9">
        <v>2016</v>
      </c>
      <c r="I169" s="9">
        <v>1</v>
      </c>
      <c r="J169" s="9" t="s">
        <v>2558</v>
      </c>
      <c r="K169" s="9">
        <v>754.4</v>
      </c>
      <c r="L169" s="10">
        <v>5799.45</v>
      </c>
      <c r="M169" s="10">
        <v>5799.45</v>
      </c>
      <c r="N169" s="9">
        <v>0</v>
      </c>
      <c r="O169" s="9">
        <v>0</v>
      </c>
      <c r="P169" s="9">
        <v>0</v>
      </c>
      <c r="Q169" s="9">
        <v>754.4</v>
      </c>
      <c r="R169" s="9">
        <v>754.4</v>
      </c>
      <c r="U169" s="9">
        <v>1</v>
      </c>
      <c r="W169" s="9">
        <v>260326210686920</v>
      </c>
      <c r="X169" s="9" t="s">
        <v>2559</v>
      </c>
      <c r="Y169" s="9" t="s">
        <v>2560</v>
      </c>
      <c r="Z169" s="9" t="s">
        <v>2762</v>
      </c>
      <c r="AA169" s="9" t="s">
        <v>2763</v>
      </c>
      <c r="AF169" s="9">
        <v>10</v>
      </c>
      <c r="AG169" s="9" t="s">
        <v>2563</v>
      </c>
      <c r="AH169" s="9">
        <v>943</v>
      </c>
      <c r="AO169" s="9" t="s">
        <v>2592</v>
      </c>
      <c r="AP169" s="11">
        <v>46259</v>
      </c>
      <c r="AQ169" s="9" t="s">
        <v>2564</v>
      </c>
      <c r="AR169" s="9">
        <v>4</v>
      </c>
      <c r="AS169" s="9" t="s">
        <v>2565</v>
      </c>
      <c r="AU169" s="9" t="s">
        <v>2566</v>
      </c>
      <c r="AV169" s="9" t="s">
        <v>2851</v>
      </c>
      <c r="AX169" s="9">
        <v>2609748</v>
      </c>
      <c r="AZ169" s="9">
        <v>306</v>
      </c>
      <c r="BA169" s="9">
        <v>401583</v>
      </c>
      <c r="BB169" s="11">
        <v>46268</v>
      </c>
      <c r="BC169" s="9">
        <v>1680</v>
      </c>
    </row>
    <row r="170" spans="1:55" x14ac:dyDescent="0.25">
      <c r="A170" s="9" t="s">
        <v>2644</v>
      </c>
      <c r="B170" s="9">
        <v>947</v>
      </c>
      <c r="C170" s="9" t="s">
        <v>2645</v>
      </c>
      <c r="D170" s="9">
        <v>1556</v>
      </c>
      <c r="E170" s="9">
        <v>2026</v>
      </c>
      <c r="F170" s="9" t="s">
        <v>2852</v>
      </c>
      <c r="G170" s="9">
        <v>62052000</v>
      </c>
      <c r="H170" s="9">
        <v>2020</v>
      </c>
      <c r="I170" s="9">
        <v>1</v>
      </c>
      <c r="J170" s="9" t="s">
        <v>2558</v>
      </c>
      <c r="K170" s="10">
        <v>1030.4000000000001</v>
      </c>
      <c r="L170" s="10">
        <v>7921.2</v>
      </c>
      <c r="M170" s="10">
        <v>7921.2</v>
      </c>
      <c r="N170" s="9">
        <v>0</v>
      </c>
      <c r="O170" s="9">
        <v>0</v>
      </c>
      <c r="P170" s="9">
        <v>0</v>
      </c>
      <c r="Q170" s="9">
        <v>1030.4000000000001</v>
      </c>
      <c r="R170" s="10">
        <v>1030.4000000000001</v>
      </c>
      <c r="U170" s="9">
        <v>1</v>
      </c>
      <c r="W170" s="9">
        <v>260326210686920</v>
      </c>
      <c r="X170" s="9" t="s">
        <v>2559</v>
      </c>
      <c r="Y170" s="9" t="s">
        <v>2560</v>
      </c>
      <c r="Z170" s="9" t="s">
        <v>2762</v>
      </c>
      <c r="AA170" s="9" t="s">
        <v>2763</v>
      </c>
      <c r="AF170" s="9">
        <v>10</v>
      </c>
      <c r="AG170" s="9" t="s">
        <v>2563</v>
      </c>
      <c r="AH170" s="9">
        <v>1288</v>
      </c>
      <c r="AO170" s="9" t="s">
        <v>2577</v>
      </c>
      <c r="AP170" s="11">
        <v>46259</v>
      </c>
      <c r="AQ170" s="9" t="s">
        <v>2564</v>
      </c>
      <c r="AR170" s="9">
        <v>4</v>
      </c>
      <c r="AS170" s="9" t="s">
        <v>2565</v>
      </c>
      <c r="AU170" s="9" t="s">
        <v>2566</v>
      </c>
      <c r="AV170" s="9" t="s">
        <v>252</v>
      </c>
      <c r="AX170" s="9">
        <v>2609749</v>
      </c>
      <c r="AZ170" s="9">
        <v>306</v>
      </c>
      <c r="BA170" s="9">
        <v>401544</v>
      </c>
      <c r="BB170" s="11">
        <v>46268</v>
      </c>
      <c r="BC170" s="9">
        <v>1680</v>
      </c>
    </row>
    <row r="171" spans="1:55" x14ac:dyDescent="0.25">
      <c r="A171" s="9" t="s">
        <v>2644</v>
      </c>
      <c r="B171" s="9">
        <v>947</v>
      </c>
      <c r="C171" s="9" t="s">
        <v>2645</v>
      </c>
      <c r="D171" s="9">
        <v>1557</v>
      </c>
      <c r="E171" s="9">
        <v>2026</v>
      </c>
      <c r="F171" s="9" t="s">
        <v>2853</v>
      </c>
      <c r="G171" s="9">
        <v>62052000</v>
      </c>
      <c r="H171" s="9">
        <v>2020</v>
      </c>
      <c r="I171" s="9">
        <v>1</v>
      </c>
      <c r="J171" s="9" t="s">
        <v>2558</v>
      </c>
      <c r="K171" s="9">
        <v>662.4</v>
      </c>
      <c r="L171" s="10">
        <v>5092.2</v>
      </c>
      <c r="M171" s="10">
        <v>5092.2</v>
      </c>
      <c r="N171" s="9">
        <v>0</v>
      </c>
      <c r="O171" s="9">
        <v>0</v>
      </c>
      <c r="P171" s="9">
        <v>0</v>
      </c>
      <c r="Q171" s="9">
        <v>662.4</v>
      </c>
      <c r="R171" s="9">
        <v>662.4</v>
      </c>
      <c r="U171" s="9">
        <v>1</v>
      </c>
      <c r="W171" s="9">
        <v>260326210686920</v>
      </c>
      <c r="X171" s="9" t="s">
        <v>2559</v>
      </c>
      <c r="Y171" s="9" t="s">
        <v>2560</v>
      </c>
      <c r="Z171" s="9" t="s">
        <v>2762</v>
      </c>
      <c r="AA171" s="9" t="s">
        <v>2763</v>
      </c>
      <c r="AF171" s="9">
        <v>10</v>
      </c>
      <c r="AG171" s="9" t="s">
        <v>2563</v>
      </c>
      <c r="AH171" s="9">
        <v>828</v>
      </c>
      <c r="AO171" s="9" t="s">
        <v>2577</v>
      </c>
      <c r="AP171" s="11">
        <v>46259</v>
      </c>
      <c r="AQ171" s="9" t="s">
        <v>2564</v>
      </c>
      <c r="AR171" s="9">
        <v>4</v>
      </c>
      <c r="AS171" s="9" t="s">
        <v>2565</v>
      </c>
      <c r="AU171" s="9" t="s">
        <v>2566</v>
      </c>
      <c r="AV171" s="9" t="s">
        <v>252</v>
      </c>
      <c r="AX171" s="9">
        <v>2609750</v>
      </c>
      <c r="AZ171" s="9">
        <v>306</v>
      </c>
      <c r="BA171" s="9">
        <v>401541</v>
      </c>
      <c r="BB171" s="11">
        <v>46268</v>
      </c>
      <c r="BC171" s="9">
        <v>1680</v>
      </c>
    </row>
    <row r="172" spans="1:55" x14ac:dyDescent="0.25">
      <c r="A172" s="9" t="s">
        <v>2644</v>
      </c>
      <c r="B172" s="9">
        <v>947</v>
      </c>
      <c r="C172" s="9" t="s">
        <v>2645</v>
      </c>
      <c r="D172" s="9">
        <v>1558</v>
      </c>
      <c r="E172" s="9">
        <v>2026</v>
      </c>
      <c r="F172" s="9" t="s">
        <v>2854</v>
      </c>
      <c r="G172" s="9">
        <v>62052000</v>
      </c>
      <c r="H172" s="9">
        <v>2020</v>
      </c>
      <c r="I172" s="9">
        <v>1</v>
      </c>
      <c r="J172" s="9" t="s">
        <v>2558</v>
      </c>
      <c r="K172" s="9">
        <v>662.4</v>
      </c>
      <c r="L172" s="10">
        <v>5092.2</v>
      </c>
      <c r="M172" s="10">
        <v>5092.2</v>
      </c>
      <c r="N172" s="9">
        <v>0</v>
      </c>
      <c r="O172" s="9">
        <v>0</v>
      </c>
      <c r="P172" s="9">
        <v>0</v>
      </c>
      <c r="Q172" s="9">
        <v>662.4</v>
      </c>
      <c r="R172" s="9">
        <v>662.4</v>
      </c>
      <c r="U172" s="9">
        <v>1</v>
      </c>
      <c r="W172" s="9">
        <v>260326210686920</v>
      </c>
      <c r="X172" s="9" t="s">
        <v>2559</v>
      </c>
      <c r="Y172" s="9" t="s">
        <v>2560</v>
      </c>
      <c r="Z172" s="9" t="s">
        <v>2762</v>
      </c>
      <c r="AA172" s="9" t="s">
        <v>2763</v>
      </c>
      <c r="AF172" s="9">
        <v>10</v>
      </c>
      <c r="AG172" s="9" t="s">
        <v>2563</v>
      </c>
      <c r="AH172" s="9">
        <v>828</v>
      </c>
      <c r="AO172" s="9" t="s">
        <v>2592</v>
      </c>
      <c r="AP172" s="11">
        <v>46259</v>
      </c>
      <c r="AQ172" s="9" t="s">
        <v>2564</v>
      </c>
      <c r="AR172" s="9">
        <v>4</v>
      </c>
      <c r="AS172" s="9" t="s">
        <v>2565</v>
      </c>
      <c r="AU172" s="9" t="s">
        <v>2566</v>
      </c>
      <c r="AV172" s="9" t="s">
        <v>262</v>
      </c>
      <c r="AX172" s="9">
        <v>2609751</v>
      </c>
      <c r="AZ172" s="9">
        <v>306</v>
      </c>
      <c r="BA172" s="9">
        <v>401536</v>
      </c>
      <c r="BB172" s="11">
        <v>46268</v>
      </c>
      <c r="BC172" s="9">
        <v>1680</v>
      </c>
    </row>
    <row r="173" spans="1:55" x14ac:dyDescent="0.25">
      <c r="A173" s="9" t="s">
        <v>2644</v>
      </c>
      <c r="B173" s="9">
        <v>947</v>
      </c>
      <c r="C173" s="9" t="s">
        <v>2645</v>
      </c>
      <c r="D173" s="9">
        <v>1559</v>
      </c>
      <c r="E173" s="9">
        <v>2026</v>
      </c>
      <c r="F173" s="9" t="s">
        <v>2855</v>
      </c>
      <c r="G173" s="9">
        <v>62052000</v>
      </c>
      <c r="H173" s="9">
        <v>2020</v>
      </c>
      <c r="I173" s="9">
        <v>1</v>
      </c>
      <c r="J173" s="9" t="s">
        <v>2558</v>
      </c>
      <c r="K173" s="9">
        <v>552</v>
      </c>
      <c r="L173" s="10">
        <v>4243.5</v>
      </c>
      <c r="M173" s="10">
        <v>4243.5</v>
      </c>
      <c r="N173" s="9">
        <v>0</v>
      </c>
      <c r="O173" s="9">
        <v>0</v>
      </c>
      <c r="P173" s="9">
        <v>0</v>
      </c>
      <c r="Q173" s="9">
        <v>552</v>
      </c>
      <c r="R173" s="9">
        <v>552</v>
      </c>
      <c r="U173" s="9">
        <v>1</v>
      </c>
      <c r="W173" s="9">
        <v>260326210686920</v>
      </c>
      <c r="X173" s="9" t="s">
        <v>2559</v>
      </c>
      <c r="Y173" s="9" t="s">
        <v>2560</v>
      </c>
      <c r="Z173" s="9" t="s">
        <v>2762</v>
      </c>
      <c r="AA173" s="9" t="s">
        <v>2763</v>
      </c>
      <c r="AF173" s="9">
        <v>10</v>
      </c>
      <c r="AG173" s="9" t="s">
        <v>2563</v>
      </c>
      <c r="AH173" s="9">
        <v>690</v>
      </c>
      <c r="AO173" s="9" t="s">
        <v>2592</v>
      </c>
      <c r="AP173" s="11">
        <v>46259</v>
      </c>
      <c r="AQ173" s="9" t="s">
        <v>2564</v>
      </c>
      <c r="AR173" s="9">
        <v>4</v>
      </c>
      <c r="AS173" s="9" t="s">
        <v>2565</v>
      </c>
      <c r="AU173" s="9" t="s">
        <v>2566</v>
      </c>
      <c r="AV173" s="9" t="s">
        <v>262</v>
      </c>
      <c r="AX173" s="9">
        <v>2609752</v>
      </c>
      <c r="AZ173" s="9">
        <v>306</v>
      </c>
      <c r="BA173" s="9">
        <v>401532</v>
      </c>
      <c r="BB173" s="11">
        <v>46268</v>
      </c>
      <c r="BC173" s="9">
        <v>1680</v>
      </c>
    </row>
    <row r="174" spans="1:55" x14ac:dyDescent="0.25">
      <c r="A174" s="9" t="s">
        <v>2644</v>
      </c>
      <c r="B174" s="9">
        <v>947</v>
      </c>
      <c r="C174" s="9" t="s">
        <v>2645</v>
      </c>
      <c r="D174" s="9">
        <v>1560</v>
      </c>
      <c r="E174" s="9">
        <v>2026</v>
      </c>
      <c r="F174" s="9" t="s">
        <v>2856</v>
      </c>
      <c r="G174" s="9">
        <v>62052000</v>
      </c>
      <c r="H174" s="9">
        <v>2000</v>
      </c>
      <c r="I174" s="9">
        <v>1</v>
      </c>
      <c r="J174" s="9" t="s">
        <v>2558</v>
      </c>
      <c r="K174" s="10">
        <v>2134.4</v>
      </c>
      <c r="L174" s="10">
        <v>16408.2</v>
      </c>
      <c r="M174" s="10">
        <v>16408.2</v>
      </c>
      <c r="N174" s="9">
        <v>0</v>
      </c>
      <c r="O174" s="9">
        <v>0</v>
      </c>
      <c r="P174" s="9">
        <v>0</v>
      </c>
      <c r="Q174" s="9">
        <v>2134.4</v>
      </c>
      <c r="R174" s="10">
        <v>2134.4</v>
      </c>
      <c r="U174" s="9">
        <v>1</v>
      </c>
      <c r="W174" s="9">
        <v>260326210686920</v>
      </c>
      <c r="X174" s="9" t="s">
        <v>2559</v>
      </c>
      <c r="Y174" s="9" t="s">
        <v>2560</v>
      </c>
      <c r="Z174" s="9" t="s">
        <v>2762</v>
      </c>
      <c r="AA174" s="9" t="s">
        <v>2763</v>
      </c>
      <c r="AF174" s="9">
        <v>10</v>
      </c>
      <c r="AG174" s="9" t="s">
        <v>2563</v>
      </c>
      <c r="AH174" s="9">
        <v>2668</v>
      </c>
      <c r="AO174" s="9" t="s">
        <v>2592</v>
      </c>
      <c r="AP174" s="11">
        <v>46259</v>
      </c>
      <c r="AQ174" s="9" t="s">
        <v>2564</v>
      </c>
      <c r="AR174" s="9">
        <v>4</v>
      </c>
      <c r="AS174" s="9" t="s">
        <v>2565</v>
      </c>
      <c r="AU174" s="9" t="s">
        <v>2566</v>
      </c>
      <c r="AV174" s="9" t="s">
        <v>258</v>
      </c>
      <c r="AX174" s="9">
        <v>2609753</v>
      </c>
      <c r="AZ174" s="9">
        <v>306</v>
      </c>
      <c r="BA174" s="9">
        <v>401587</v>
      </c>
      <c r="BB174" s="11">
        <v>46268</v>
      </c>
      <c r="BC174" s="9">
        <v>1680</v>
      </c>
    </row>
    <row r="175" spans="1:55" x14ac:dyDescent="0.25">
      <c r="A175" s="9" t="s">
        <v>2644</v>
      </c>
      <c r="B175" s="9">
        <v>947</v>
      </c>
      <c r="C175" s="9" t="s">
        <v>2645</v>
      </c>
      <c r="D175" s="9">
        <v>1561</v>
      </c>
      <c r="E175" s="9">
        <v>2026</v>
      </c>
      <c r="F175" s="9" t="s">
        <v>2857</v>
      </c>
      <c r="G175" s="9">
        <v>62052000</v>
      </c>
      <c r="H175" s="9">
        <v>2020</v>
      </c>
      <c r="I175" s="9">
        <v>1</v>
      </c>
      <c r="J175" s="9" t="s">
        <v>2558</v>
      </c>
      <c r="K175" s="9">
        <v>92</v>
      </c>
      <c r="L175" s="9">
        <v>707.25</v>
      </c>
      <c r="M175" s="9">
        <v>707.25</v>
      </c>
      <c r="N175" s="9">
        <v>0</v>
      </c>
      <c r="O175" s="9">
        <v>0</v>
      </c>
      <c r="P175" s="9">
        <v>0</v>
      </c>
      <c r="Q175" s="9">
        <v>92</v>
      </c>
      <c r="R175" s="9">
        <v>92</v>
      </c>
      <c r="U175" s="9">
        <v>1</v>
      </c>
      <c r="W175" s="9">
        <v>260326210686920</v>
      </c>
      <c r="X175" s="9" t="s">
        <v>2559</v>
      </c>
      <c r="Y175" s="9" t="s">
        <v>2560</v>
      </c>
      <c r="Z175" s="9" t="s">
        <v>2762</v>
      </c>
      <c r="AA175" s="9" t="s">
        <v>2763</v>
      </c>
      <c r="AF175" s="9">
        <v>10</v>
      </c>
      <c r="AG175" s="9" t="s">
        <v>2563</v>
      </c>
      <c r="AH175" s="9">
        <v>115</v>
      </c>
      <c r="AO175" s="9" t="s">
        <v>2592</v>
      </c>
      <c r="AP175" s="11">
        <v>46259</v>
      </c>
      <c r="AQ175" s="9" t="s">
        <v>2564</v>
      </c>
      <c r="AR175" s="9">
        <v>4</v>
      </c>
      <c r="AS175" s="9" t="s">
        <v>2565</v>
      </c>
      <c r="AU175" s="9" t="s">
        <v>2566</v>
      </c>
      <c r="AV175" s="9" t="s">
        <v>262</v>
      </c>
      <c r="AX175" s="9">
        <v>2609754</v>
      </c>
      <c r="AZ175" s="9">
        <v>306</v>
      </c>
      <c r="BA175" s="9">
        <v>401592</v>
      </c>
      <c r="BB175" s="11">
        <v>46268</v>
      </c>
      <c r="BC175" s="9">
        <v>1680</v>
      </c>
    </row>
    <row r="176" spans="1:55" x14ac:dyDescent="0.25">
      <c r="A176" s="9" t="s">
        <v>2644</v>
      </c>
      <c r="B176" s="9">
        <v>947</v>
      </c>
      <c r="C176" s="9" t="s">
        <v>2645</v>
      </c>
      <c r="D176" s="9">
        <v>1612</v>
      </c>
      <c r="E176" s="9">
        <v>2026</v>
      </c>
      <c r="F176" s="9" t="s">
        <v>2858</v>
      </c>
      <c r="G176" s="9">
        <v>62052000</v>
      </c>
      <c r="H176" s="9">
        <v>0</v>
      </c>
      <c r="I176" s="9">
        <v>1</v>
      </c>
      <c r="J176" s="9" t="s">
        <v>2558</v>
      </c>
      <c r="K176" s="9">
        <v>36.799999999999997</v>
      </c>
      <c r="L176" s="9">
        <v>282.89999999999998</v>
      </c>
      <c r="M176" s="9">
        <v>282.89999999999998</v>
      </c>
      <c r="N176" s="9">
        <v>0</v>
      </c>
      <c r="O176" s="9">
        <v>0</v>
      </c>
      <c r="P176" s="9">
        <v>0</v>
      </c>
      <c r="Q176" s="9">
        <v>36.799999999999997</v>
      </c>
      <c r="R176" s="9">
        <v>36.799999999999997</v>
      </c>
      <c r="U176" s="9">
        <v>1</v>
      </c>
      <c r="W176" s="9">
        <v>260326210686920</v>
      </c>
      <c r="X176" s="9" t="s">
        <v>2559</v>
      </c>
      <c r="Y176" s="9" t="s">
        <v>2560</v>
      </c>
      <c r="Z176" s="9" t="s">
        <v>2762</v>
      </c>
      <c r="AA176" s="9" t="s">
        <v>2763</v>
      </c>
      <c r="AF176" s="9">
        <v>10</v>
      </c>
      <c r="AG176" s="9" t="s">
        <v>2563</v>
      </c>
      <c r="AH176" s="9">
        <v>46</v>
      </c>
      <c r="AO176" s="9" t="s">
        <v>2577</v>
      </c>
      <c r="AP176" s="11">
        <v>46264</v>
      </c>
      <c r="AQ176" s="9" t="s">
        <v>2564</v>
      </c>
      <c r="AR176" s="9">
        <v>4</v>
      </c>
      <c r="AS176" s="9" t="s">
        <v>2565</v>
      </c>
      <c r="AU176" s="9" t="s">
        <v>2566</v>
      </c>
      <c r="AV176" s="9" t="s">
        <v>269</v>
      </c>
      <c r="AX176" s="9">
        <v>2609949</v>
      </c>
      <c r="AZ176" s="9">
        <v>306</v>
      </c>
      <c r="BA176" s="9">
        <v>393387</v>
      </c>
      <c r="BB176" s="11">
        <v>46266</v>
      </c>
      <c r="BC176" s="9">
        <v>1680</v>
      </c>
    </row>
    <row r="177" spans="1:56" x14ac:dyDescent="0.25">
      <c r="A177" s="9" t="s">
        <v>2644</v>
      </c>
      <c r="B177" s="9">
        <v>947</v>
      </c>
      <c r="C177" s="9" t="s">
        <v>2645</v>
      </c>
      <c r="D177" s="9">
        <v>1613</v>
      </c>
      <c r="E177" s="9">
        <v>2026</v>
      </c>
      <c r="F177" s="9" t="s">
        <v>2859</v>
      </c>
      <c r="G177" s="9">
        <v>62052000</v>
      </c>
      <c r="H177" s="9">
        <v>2000</v>
      </c>
      <c r="I177" s="9">
        <v>1</v>
      </c>
      <c r="J177" s="9" t="s">
        <v>2558</v>
      </c>
      <c r="K177" s="9">
        <v>184</v>
      </c>
      <c r="L177" s="10">
        <v>1414.5</v>
      </c>
      <c r="M177" s="10">
        <v>1414.5</v>
      </c>
      <c r="N177" s="9">
        <v>0</v>
      </c>
      <c r="O177" s="9">
        <v>0</v>
      </c>
      <c r="P177" s="9">
        <v>0</v>
      </c>
      <c r="Q177" s="9">
        <v>184</v>
      </c>
      <c r="R177" s="9">
        <v>184</v>
      </c>
      <c r="U177" s="9">
        <v>1</v>
      </c>
      <c r="W177" s="9">
        <v>260326210686920</v>
      </c>
      <c r="X177" s="9" t="s">
        <v>2559</v>
      </c>
      <c r="Y177" s="9" t="s">
        <v>2560</v>
      </c>
      <c r="Z177" s="9" t="s">
        <v>2762</v>
      </c>
      <c r="AA177" s="9" t="s">
        <v>2763</v>
      </c>
      <c r="AF177" s="9">
        <v>10</v>
      </c>
      <c r="AG177" s="9" t="s">
        <v>2563</v>
      </c>
      <c r="AH177" s="9">
        <v>230</v>
      </c>
      <c r="AO177" s="9" t="s">
        <v>2577</v>
      </c>
      <c r="AP177" s="11">
        <v>46264</v>
      </c>
      <c r="AQ177" s="9" t="s">
        <v>2564</v>
      </c>
      <c r="AR177" s="9">
        <v>4</v>
      </c>
      <c r="AS177" s="9" t="s">
        <v>2565</v>
      </c>
      <c r="AU177" s="9" t="s">
        <v>2566</v>
      </c>
      <c r="AV177" s="9" t="s">
        <v>258</v>
      </c>
      <c r="AX177" s="9">
        <v>2609978</v>
      </c>
      <c r="AZ177" s="9">
        <v>306</v>
      </c>
      <c r="BA177" s="9">
        <v>393363</v>
      </c>
      <c r="BB177" s="11">
        <v>46266</v>
      </c>
      <c r="BC177" s="9">
        <v>1680</v>
      </c>
    </row>
    <row r="178" spans="1:56" x14ac:dyDescent="0.25">
      <c r="A178" s="9" t="s">
        <v>2644</v>
      </c>
      <c r="B178" s="9">
        <v>947</v>
      </c>
      <c r="C178" s="9" t="s">
        <v>2645</v>
      </c>
      <c r="D178" s="9">
        <v>1614</v>
      </c>
      <c r="E178" s="9">
        <v>2026</v>
      </c>
      <c r="F178" s="9" t="s">
        <v>2860</v>
      </c>
      <c r="G178" s="9">
        <v>62052000</v>
      </c>
      <c r="H178" s="9">
        <v>2000</v>
      </c>
      <c r="I178" s="9">
        <v>1</v>
      </c>
      <c r="J178" s="9" t="s">
        <v>2558</v>
      </c>
      <c r="K178" s="9">
        <v>220.8</v>
      </c>
      <c r="L178" s="10">
        <v>1697.4</v>
      </c>
      <c r="M178" s="10">
        <v>1697.4</v>
      </c>
      <c r="N178" s="9">
        <v>0</v>
      </c>
      <c r="O178" s="9">
        <v>0</v>
      </c>
      <c r="P178" s="9">
        <v>0</v>
      </c>
      <c r="Q178" s="9">
        <v>220.8</v>
      </c>
      <c r="R178" s="9">
        <v>220.8</v>
      </c>
      <c r="U178" s="9">
        <v>1</v>
      </c>
      <c r="W178" s="9">
        <v>260326210686920</v>
      </c>
      <c r="X178" s="9" t="s">
        <v>2559</v>
      </c>
      <c r="Y178" s="9" t="s">
        <v>2560</v>
      </c>
      <c r="Z178" s="9" t="s">
        <v>2762</v>
      </c>
      <c r="AA178" s="9" t="s">
        <v>2763</v>
      </c>
      <c r="AF178" s="9">
        <v>10</v>
      </c>
      <c r="AG178" s="9" t="s">
        <v>2563</v>
      </c>
      <c r="AH178" s="9">
        <v>276</v>
      </c>
      <c r="AO178" s="9" t="s">
        <v>2577</v>
      </c>
      <c r="AP178" s="11">
        <v>46264</v>
      </c>
      <c r="AQ178" s="9" t="s">
        <v>2564</v>
      </c>
      <c r="AR178" s="9">
        <v>4</v>
      </c>
      <c r="AS178" s="9" t="s">
        <v>2565</v>
      </c>
      <c r="AU178" s="9" t="s">
        <v>2566</v>
      </c>
      <c r="AV178" s="9" t="s">
        <v>258</v>
      </c>
      <c r="AX178" s="9">
        <v>2609979</v>
      </c>
      <c r="AZ178" s="9">
        <v>306</v>
      </c>
      <c r="BA178" s="9">
        <v>393368</v>
      </c>
      <c r="BB178" s="11">
        <v>46266</v>
      </c>
      <c r="BC178" s="9">
        <v>1680</v>
      </c>
    </row>
    <row r="179" spans="1:56" x14ac:dyDescent="0.25">
      <c r="A179" s="9" t="s">
        <v>2644</v>
      </c>
      <c r="B179" s="9">
        <v>947</v>
      </c>
      <c r="C179" s="9" t="s">
        <v>2645</v>
      </c>
      <c r="D179" s="9">
        <v>1615</v>
      </c>
      <c r="E179" s="9">
        <v>2026</v>
      </c>
      <c r="F179" s="9" t="s">
        <v>2861</v>
      </c>
      <c r="G179" s="9">
        <v>62052000</v>
      </c>
      <c r="H179" s="9">
        <v>2020</v>
      </c>
      <c r="I179" s="9">
        <v>1</v>
      </c>
      <c r="J179" s="9" t="s">
        <v>2558</v>
      </c>
      <c r="K179" s="9">
        <v>36.799999999999997</v>
      </c>
      <c r="L179" s="9">
        <v>282.89999999999998</v>
      </c>
      <c r="M179" s="9">
        <v>282.89999999999998</v>
      </c>
      <c r="N179" s="9">
        <v>0</v>
      </c>
      <c r="O179" s="9">
        <v>0</v>
      </c>
      <c r="P179" s="9">
        <v>0</v>
      </c>
      <c r="Q179" s="9">
        <v>36.799999999999997</v>
      </c>
      <c r="R179" s="9">
        <v>36.799999999999997</v>
      </c>
      <c r="U179" s="9">
        <v>1</v>
      </c>
      <c r="W179" s="9">
        <v>260326210686920</v>
      </c>
      <c r="X179" s="9" t="s">
        <v>2559</v>
      </c>
      <c r="Y179" s="9" t="s">
        <v>2560</v>
      </c>
      <c r="Z179" s="9" t="s">
        <v>2762</v>
      </c>
      <c r="AA179" s="9" t="s">
        <v>2763</v>
      </c>
      <c r="AF179" s="9">
        <v>10</v>
      </c>
      <c r="AG179" s="9" t="s">
        <v>2563</v>
      </c>
      <c r="AH179" s="9">
        <v>46</v>
      </c>
      <c r="AO179" s="9" t="s">
        <v>2577</v>
      </c>
      <c r="AP179" s="11">
        <v>46264</v>
      </c>
      <c r="AQ179" s="9" t="s">
        <v>2564</v>
      </c>
      <c r="AR179" s="9">
        <v>4</v>
      </c>
      <c r="AS179" s="9" t="s">
        <v>2565</v>
      </c>
      <c r="AU179" s="9" t="s">
        <v>2566</v>
      </c>
      <c r="AV179" s="9" t="s">
        <v>262</v>
      </c>
      <c r="AX179" s="9">
        <v>2609980</v>
      </c>
      <c r="AZ179" s="9">
        <v>306</v>
      </c>
      <c r="BA179" s="9">
        <v>393337</v>
      </c>
      <c r="BB179" s="11">
        <v>46266</v>
      </c>
      <c r="BC179" s="9">
        <v>1680</v>
      </c>
    </row>
    <row r="180" spans="1:56" x14ac:dyDescent="0.25">
      <c r="A180" s="9" t="s">
        <v>2644</v>
      </c>
      <c r="B180" s="9">
        <v>947</v>
      </c>
      <c r="C180" s="9" t="s">
        <v>2645</v>
      </c>
      <c r="D180" s="9">
        <v>1616</v>
      </c>
      <c r="E180" s="9">
        <v>2026</v>
      </c>
      <c r="F180" s="9" t="s">
        <v>2862</v>
      </c>
      <c r="G180" s="9">
        <v>62052000</v>
      </c>
      <c r="H180" s="9">
        <v>2020</v>
      </c>
      <c r="I180" s="9">
        <v>1</v>
      </c>
      <c r="J180" s="9" t="s">
        <v>2558</v>
      </c>
      <c r="K180" s="9">
        <v>73.599999999999994</v>
      </c>
      <c r="L180" s="9">
        <v>565.79999999999995</v>
      </c>
      <c r="M180" s="9">
        <v>565.79999999999995</v>
      </c>
      <c r="N180" s="9">
        <v>0</v>
      </c>
      <c r="O180" s="9">
        <v>0</v>
      </c>
      <c r="P180" s="9">
        <v>0</v>
      </c>
      <c r="Q180" s="9">
        <v>73.599999999999994</v>
      </c>
      <c r="R180" s="9">
        <v>73.599999999999994</v>
      </c>
      <c r="U180" s="9">
        <v>1</v>
      </c>
      <c r="W180" s="9">
        <v>260326210686920</v>
      </c>
      <c r="X180" s="9" t="s">
        <v>2559</v>
      </c>
      <c r="Y180" s="9" t="s">
        <v>2560</v>
      </c>
      <c r="Z180" s="9" t="s">
        <v>2762</v>
      </c>
      <c r="AA180" s="9" t="s">
        <v>2763</v>
      </c>
      <c r="AF180" s="9">
        <v>10</v>
      </c>
      <c r="AG180" s="9" t="s">
        <v>2563</v>
      </c>
      <c r="AH180" s="9">
        <v>92</v>
      </c>
      <c r="AO180" s="9" t="s">
        <v>2577</v>
      </c>
      <c r="AP180" s="11">
        <v>46264</v>
      </c>
      <c r="AQ180" s="9" t="s">
        <v>2564</v>
      </c>
      <c r="AR180" s="9">
        <v>4</v>
      </c>
      <c r="AS180" s="9" t="s">
        <v>2565</v>
      </c>
      <c r="AU180" s="9" t="s">
        <v>2566</v>
      </c>
      <c r="AV180" s="9" t="s">
        <v>262</v>
      </c>
      <c r="AX180" s="9">
        <v>2609981</v>
      </c>
      <c r="AZ180" s="9">
        <v>306</v>
      </c>
      <c r="BA180" s="9">
        <v>393392</v>
      </c>
      <c r="BB180" s="11">
        <v>46266</v>
      </c>
      <c r="BC180" s="9">
        <v>1680</v>
      </c>
    </row>
    <row r="181" spans="1:56" x14ac:dyDescent="0.25">
      <c r="A181" s="9" t="s">
        <v>2644</v>
      </c>
      <c r="B181" s="9">
        <v>947</v>
      </c>
      <c r="C181" s="9" t="s">
        <v>2645</v>
      </c>
      <c r="D181" s="9">
        <v>1617</v>
      </c>
      <c r="E181" s="9">
        <v>2026</v>
      </c>
      <c r="F181" s="9" t="s">
        <v>2863</v>
      </c>
      <c r="G181" s="9">
        <v>62052000</v>
      </c>
      <c r="H181" s="9">
        <v>2020</v>
      </c>
      <c r="I181" s="9">
        <v>1</v>
      </c>
      <c r="J181" s="9" t="s">
        <v>2558</v>
      </c>
      <c r="K181" s="9">
        <v>36.799999999999997</v>
      </c>
      <c r="L181" s="9">
        <v>282.89999999999998</v>
      </c>
      <c r="M181" s="9">
        <v>282.89999999999998</v>
      </c>
      <c r="N181" s="9">
        <v>0</v>
      </c>
      <c r="O181" s="9">
        <v>0</v>
      </c>
      <c r="P181" s="9">
        <v>0</v>
      </c>
      <c r="Q181" s="9">
        <v>36.799999999999997</v>
      </c>
      <c r="R181" s="9">
        <v>36.799999999999997</v>
      </c>
      <c r="U181" s="9">
        <v>1</v>
      </c>
      <c r="W181" s="9">
        <v>260326210686920</v>
      </c>
      <c r="X181" s="9" t="s">
        <v>2559</v>
      </c>
      <c r="Y181" s="9" t="s">
        <v>2560</v>
      </c>
      <c r="Z181" s="9" t="s">
        <v>2762</v>
      </c>
      <c r="AA181" s="9" t="s">
        <v>2763</v>
      </c>
      <c r="AF181" s="9">
        <v>10</v>
      </c>
      <c r="AG181" s="9" t="s">
        <v>2563</v>
      </c>
      <c r="AH181" s="9">
        <v>46</v>
      </c>
      <c r="AO181" s="9" t="s">
        <v>2577</v>
      </c>
      <c r="AP181" s="11">
        <v>46264</v>
      </c>
      <c r="AQ181" s="9" t="s">
        <v>2564</v>
      </c>
      <c r="AR181" s="9">
        <v>4</v>
      </c>
      <c r="AS181" s="9" t="s">
        <v>2565</v>
      </c>
      <c r="AU181" s="9" t="s">
        <v>2566</v>
      </c>
      <c r="AV181" s="9" t="s">
        <v>252</v>
      </c>
      <c r="AX181" s="9">
        <v>2609982</v>
      </c>
      <c r="AZ181" s="9">
        <v>306</v>
      </c>
      <c r="BA181" s="9">
        <v>393343</v>
      </c>
      <c r="BB181" s="11">
        <v>46266</v>
      </c>
      <c r="BC181" s="9">
        <v>1680</v>
      </c>
    </row>
    <row r="182" spans="1:56" x14ac:dyDescent="0.25">
      <c r="A182" s="9" t="s">
        <v>2644</v>
      </c>
      <c r="B182" s="9">
        <v>947</v>
      </c>
      <c r="C182" s="9" t="s">
        <v>2645</v>
      </c>
      <c r="D182" s="9">
        <v>1618</v>
      </c>
      <c r="E182" s="9">
        <v>2026</v>
      </c>
      <c r="F182" s="9" t="s">
        <v>2864</v>
      </c>
      <c r="G182" s="9">
        <v>62052000</v>
      </c>
      <c r="H182" s="9">
        <v>2020</v>
      </c>
      <c r="I182" s="9">
        <v>1</v>
      </c>
      <c r="J182" s="9" t="s">
        <v>2558</v>
      </c>
      <c r="K182" s="9">
        <v>0</v>
      </c>
      <c r="L182" s="9">
        <v>565.79999999999995</v>
      </c>
      <c r="M182" s="9">
        <v>565.79999999999995</v>
      </c>
      <c r="N182" s="9">
        <v>0</v>
      </c>
      <c r="O182" s="9">
        <v>0</v>
      </c>
      <c r="P182" s="9">
        <v>0</v>
      </c>
      <c r="R182" s="9">
        <v>565.79999999999995</v>
      </c>
      <c r="U182" s="9">
        <v>1</v>
      </c>
      <c r="W182" s="9">
        <v>260326210686920</v>
      </c>
      <c r="X182" s="9" t="s">
        <v>2559</v>
      </c>
      <c r="Y182" s="9" t="s">
        <v>2560</v>
      </c>
      <c r="Z182" s="9" t="s">
        <v>2762</v>
      </c>
      <c r="AA182" s="9" t="s">
        <v>2763</v>
      </c>
      <c r="AF182" s="9">
        <v>10</v>
      </c>
      <c r="AG182" s="9" t="s">
        <v>2563</v>
      </c>
      <c r="AH182" s="9">
        <v>92</v>
      </c>
      <c r="AO182" s="9" t="s">
        <v>2577</v>
      </c>
      <c r="AP182" s="11">
        <v>46264</v>
      </c>
      <c r="AQ182" s="9" t="s">
        <v>2564</v>
      </c>
      <c r="AR182" s="9">
        <v>4</v>
      </c>
      <c r="AS182" s="9" t="s">
        <v>2565</v>
      </c>
      <c r="AU182" s="9" t="s">
        <v>2566</v>
      </c>
      <c r="AV182" s="9" t="s">
        <v>252</v>
      </c>
      <c r="AX182" s="9">
        <v>2609983</v>
      </c>
      <c r="AZ182" s="9">
        <v>306</v>
      </c>
      <c r="BA182" s="9">
        <v>397105</v>
      </c>
      <c r="BB182" s="11">
        <v>46267</v>
      </c>
      <c r="BC182" s="9">
        <v>1680</v>
      </c>
    </row>
    <row r="183" spans="1:56" x14ac:dyDescent="0.25">
      <c r="A183" s="9" t="s">
        <v>2644</v>
      </c>
      <c r="B183" s="9">
        <v>947</v>
      </c>
      <c r="C183" s="9" t="s">
        <v>2645</v>
      </c>
      <c r="D183" s="9">
        <v>1619</v>
      </c>
      <c r="E183" s="9">
        <v>2026</v>
      </c>
      <c r="F183" s="9" t="s">
        <v>2865</v>
      </c>
      <c r="G183" s="9">
        <v>62052000</v>
      </c>
      <c r="H183" s="9">
        <v>2016</v>
      </c>
      <c r="I183" s="9">
        <v>1</v>
      </c>
      <c r="J183" s="9" t="s">
        <v>2558</v>
      </c>
      <c r="K183" s="9">
        <v>73.599999999999994</v>
      </c>
      <c r="L183" s="9">
        <v>565.79999999999995</v>
      </c>
      <c r="M183" s="9">
        <v>565.79999999999995</v>
      </c>
      <c r="N183" s="9">
        <v>0</v>
      </c>
      <c r="O183" s="9">
        <v>0</v>
      </c>
      <c r="P183" s="9">
        <v>0</v>
      </c>
      <c r="Q183" s="9">
        <v>73.599999999999994</v>
      </c>
      <c r="R183" s="9">
        <v>73.599999999999994</v>
      </c>
      <c r="U183" s="9">
        <v>1</v>
      </c>
      <c r="W183" s="9">
        <v>260326210686920</v>
      </c>
      <c r="X183" s="9" t="s">
        <v>2559</v>
      </c>
      <c r="Y183" s="9" t="s">
        <v>2560</v>
      </c>
      <c r="Z183" s="9" t="s">
        <v>2762</v>
      </c>
      <c r="AA183" s="9" t="s">
        <v>2763</v>
      </c>
      <c r="AF183" s="9">
        <v>10</v>
      </c>
      <c r="AG183" s="9" t="s">
        <v>2563</v>
      </c>
      <c r="AH183" s="9">
        <v>92</v>
      </c>
      <c r="AO183" s="9" t="s">
        <v>2577</v>
      </c>
      <c r="AP183" s="11">
        <v>46264</v>
      </c>
      <c r="AQ183" s="9" t="s">
        <v>2564</v>
      </c>
      <c r="AR183" s="9">
        <v>4</v>
      </c>
      <c r="AS183" s="9" t="s">
        <v>2565</v>
      </c>
      <c r="AU183" s="9" t="s">
        <v>2566</v>
      </c>
      <c r="AV183" s="9" t="s">
        <v>183</v>
      </c>
      <c r="AX183" s="9">
        <v>2609984</v>
      </c>
      <c r="AZ183" s="9">
        <v>306</v>
      </c>
      <c r="BA183" s="9">
        <v>393350</v>
      </c>
      <c r="BB183" s="11">
        <v>46266</v>
      </c>
      <c r="BC183" s="9">
        <v>1680</v>
      </c>
    </row>
    <row r="184" spans="1:56" x14ac:dyDescent="0.25">
      <c r="A184" s="9" t="s">
        <v>2644</v>
      </c>
      <c r="B184" s="9">
        <v>947</v>
      </c>
      <c r="C184" s="9" t="s">
        <v>2645</v>
      </c>
      <c r="D184" s="9">
        <v>1676</v>
      </c>
      <c r="E184" s="9">
        <v>2026</v>
      </c>
      <c r="F184" s="9" t="s">
        <v>2866</v>
      </c>
      <c r="G184" s="9">
        <v>62050000</v>
      </c>
      <c r="H184" s="9">
        <v>2000</v>
      </c>
      <c r="I184" s="9">
        <v>1</v>
      </c>
      <c r="J184" s="9" t="s">
        <v>2558</v>
      </c>
      <c r="K184" s="10">
        <v>1425</v>
      </c>
      <c r="L184" s="10">
        <v>5100</v>
      </c>
      <c r="M184" s="10">
        <v>5100</v>
      </c>
      <c r="N184" s="9">
        <v>0</v>
      </c>
      <c r="O184" s="9">
        <v>0</v>
      </c>
      <c r="P184" s="9">
        <v>0</v>
      </c>
      <c r="Q184" s="9">
        <v>1425</v>
      </c>
      <c r="R184" s="10">
        <v>1425</v>
      </c>
      <c r="W184" s="9">
        <v>260326210686920</v>
      </c>
      <c r="X184" s="9" t="s">
        <v>2559</v>
      </c>
      <c r="Y184" s="9" t="s">
        <v>2560</v>
      </c>
      <c r="Z184" s="9" t="s">
        <v>2665</v>
      </c>
      <c r="AA184" s="9" t="s">
        <v>2666</v>
      </c>
      <c r="AF184" s="9">
        <v>10</v>
      </c>
      <c r="AG184" s="9" t="s">
        <v>2563</v>
      </c>
      <c r="AH184" s="9">
        <v>800</v>
      </c>
      <c r="AP184" s="11">
        <v>46271</v>
      </c>
      <c r="AQ184" s="9" t="s">
        <v>2564</v>
      </c>
      <c r="AR184" s="9">
        <v>4</v>
      </c>
      <c r="AU184" s="9" t="s">
        <v>2566</v>
      </c>
      <c r="AZ184" s="9">
        <v>306</v>
      </c>
      <c r="BA184" s="9">
        <v>415391</v>
      </c>
      <c r="BB184" s="11">
        <v>46271</v>
      </c>
      <c r="BC184" s="9">
        <v>1680</v>
      </c>
    </row>
    <row r="185" spans="1:56" x14ac:dyDescent="0.25">
      <c r="A185" s="9" t="s">
        <v>2644</v>
      </c>
      <c r="B185" s="9">
        <v>947</v>
      </c>
      <c r="C185" s="9" t="s">
        <v>2645</v>
      </c>
      <c r="D185" s="9">
        <v>1509</v>
      </c>
      <c r="E185" s="9">
        <v>2026</v>
      </c>
      <c r="F185" s="9" t="s">
        <v>2867</v>
      </c>
      <c r="G185" s="9">
        <v>62052000</v>
      </c>
      <c r="H185" s="9">
        <v>2005</v>
      </c>
      <c r="I185" s="9">
        <v>1</v>
      </c>
      <c r="J185" s="9" t="s">
        <v>2558</v>
      </c>
      <c r="L185" s="10">
        <v>3561.56</v>
      </c>
      <c r="M185" s="10">
        <v>3561.56</v>
      </c>
      <c r="N185" s="9">
        <v>0</v>
      </c>
      <c r="O185" s="9">
        <v>0</v>
      </c>
      <c r="P185" s="9">
        <v>0</v>
      </c>
      <c r="R185" s="10">
        <v>3561.56</v>
      </c>
      <c r="S185" s="11">
        <v>46282</v>
      </c>
      <c r="T185" s="10">
        <v>3396.29</v>
      </c>
      <c r="U185" s="9">
        <v>1</v>
      </c>
      <c r="V185" s="11">
        <v>46263</v>
      </c>
      <c r="W185" s="9">
        <v>260326210686920</v>
      </c>
      <c r="X185" s="9" t="s">
        <v>2559</v>
      </c>
      <c r="Y185" s="9" t="s">
        <v>2560</v>
      </c>
      <c r="Z185" s="9" t="s">
        <v>2734</v>
      </c>
      <c r="AA185" s="9" t="s">
        <v>2735</v>
      </c>
      <c r="AB185" s="9" t="s">
        <v>2570</v>
      </c>
      <c r="AC185" s="11">
        <v>46280</v>
      </c>
      <c r="AD185" s="9">
        <v>947</v>
      </c>
      <c r="AE185" s="9" t="s">
        <v>2570</v>
      </c>
      <c r="AF185" s="9">
        <v>10</v>
      </c>
      <c r="AG185" s="9" t="s">
        <v>2563</v>
      </c>
      <c r="AH185" s="9">
        <v>1324</v>
      </c>
      <c r="AJ185" s="9" t="s">
        <v>2773</v>
      </c>
      <c r="AK185" s="11">
        <v>46281</v>
      </c>
      <c r="AL185" s="9">
        <v>2609610</v>
      </c>
      <c r="AM185" s="11">
        <v>46255</v>
      </c>
      <c r="AP185" s="11">
        <v>46255</v>
      </c>
      <c r="AQ185" s="9" t="s">
        <v>2564</v>
      </c>
      <c r="AR185" s="9">
        <v>4</v>
      </c>
      <c r="AT185" s="9">
        <v>1</v>
      </c>
      <c r="AU185" s="9" t="s">
        <v>2566</v>
      </c>
      <c r="AW185" s="9" t="s">
        <v>2868</v>
      </c>
      <c r="AY185" s="11">
        <v>46263</v>
      </c>
      <c r="AZ185" s="9">
        <v>306</v>
      </c>
      <c r="BA185" s="9">
        <v>344927</v>
      </c>
      <c r="BB185" s="11">
        <v>46255</v>
      </c>
      <c r="BC185" s="9">
        <v>1680</v>
      </c>
      <c r="BD185" s="9">
        <v>1</v>
      </c>
    </row>
    <row r="186" spans="1:56" x14ac:dyDescent="0.25">
      <c r="A186" s="9" t="s">
        <v>2644</v>
      </c>
      <c r="B186" s="9">
        <v>947</v>
      </c>
      <c r="C186" s="9" t="s">
        <v>2645</v>
      </c>
      <c r="D186" s="9">
        <v>1699</v>
      </c>
      <c r="E186" s="9">
        <v>2026</v>
      </c>
      <c r="F186" s="9" t="s">
        <v>870</v>
      </c>
      <c r="G186" s="9">
        <v>62052000</v>
      </c>
      <c r="H186" s="9">
        <v>2016</v>
      </c>
      <c r="I186" s="9">
        <v>1</v>
      </c>
      <c r="J186" s="9" t="s">
        <v>2558</v>
      </c>
      <c r="K186" s="9">
        <v>0</v>
      </c>
      <c r="L186" s="10">
        <v>6207.5</v>
      </c>
      <c r="M186" s="10">
        <v>6207.5</v>
      </c>
      <c r="N186" s="9">
        <v>0</v>
      </c>
      <c r="O186" s="9">
        <v>0</v>
      </c>
      <c r="P186" s="9">
        <v>0</v>
      </c>
      <c r="R186" s="10">
        <v>6207.5</v>
      </c>
      <c r="U186" s="9">
        <v>1</v>
      </c>
      <c r="W186" s="9">
        <v>260326210686920</v>
      </c>
      <c r="X186" s="9" t="s">
        <v>2559</v>
      </c>
      <c r="Y186" s="9" t="s">
        <v>2560</v>
      </c>
      <c r="Z186" s="9" t="s">
        <v>2652</v>
      </c>
      <c r="AA186" s="9" t="s">
        <v>2653</v>
      </c>
      <c r="AF186" s="9">
        <v>10</v>
      </c>
      <c r="AG186" s="9" t="s">
        <v>2563</v>
      </c>
      <c r="AH186" s="9">
        <v>20000</v>
      </c>
      <c r="AO186" s="9" t="s">
        <v>2577</v>
      </c>
      <c r="AP186" s="11">
        <v>46275</v>
      </c>
      <c r="AQ186" s="9" t="s">
        <v>2564</v>
      </c>
      <c r="AR186" s="9">
        <v>4</v>
      </c>
      <c r="AS186" s="9" t="s">
        <v>2565</v>
      </c>
      <c r="AU186" s="9" t="s">
        <v>2566</v>
      </c>
      <c r="AV186" s="9" t="s">
        <v>2851</v>
      </c>
      <c r="AX186" s="9">
        <v>2610207</v>
      </c>
      <c r="AZ186" s="9">
        <v>306</v>
      </c>
      <c r="BA186" s="9">
        <v>485980</v>
      </c>
      <c r="BB186" s="11">
        <v>46287</v>
      </c>
      <c r="BC186" s="9">
        <v>1680</v>
      </c>
    </row>
    <row r="187" spans="1:56" x14ac:dyDescent="0.25">
      <c r="A187" s="9" t="s">
        <v>2644</v>
      </c>
      <c r="B187" s="9">
        <v>947</v>
      </c>
      <c r="C187" s="9" t="s">
        <v>2645</v>
      </c>
      <c r="D187" s="9">
        <v>1579</v>
      </c>
      <c r="E187" s="9">
        <v>2026</v>
      </c>
      <c r="F187" s="9" t="s">
        <v>2869</v>
      </c>
      <c r="G187" s="9">
        <v>62052000</v>
      </c>
      <c r="H187" s="9">
        <v>2000</v>
      </c>
      <c r="I187" s="9">
        <v>1</v>
      </c>
      <c r="J187" s="9" t="s">
        <v>2558</v>
      </c>
      <c r="K187" s="10">
        <v>6933.3</v>
      </c>
      <c r="L187" s="10">
        <v>37502.85</v>
      </c>
      <c r="M187" s="10">
        <v>37502.85</v>
      </c>
      <c r="N187" s="9">
        <v>0</v>
      </c>
      <c r="O187" s="9">
        <v>0</v>
      </c>
      <c r="P187" s="9">
        <v>0</v>
      </c>
      <c r="Q187" s="9">
        <v>6933.3</v>
      </c>
      <c r="R187" s="10">
        <v>6933.3</v>
      </c>
      <c r="U187" s="9">
        <v>1</v>
      </c>
      <c r="W187" s="9">
        <v>260326210686920</v>
      </c>
      <c r="X187" s="9" t="s">
        <v>2559</v>
      </c>
      <c r="Y187" s="9" t="s">
        <v>2560</v>
      </c>
      <c r="Z187" s="9" t="s">
        <v>2762</v>
      </c>
      <c r="AA187" s="9" t="s">
        <v>2763</v>
      </c>
      <c r="AF187" s="9">
        <v>10</v>
      </c>
      <c r="AG187" s="9" t="s">
        <v>2563</v>
      </c>
      <c r="AH187" s="9">
        <v>6303</v>
      </c>
      <c r="AO187" s="9" t="s">
        <v>2577</v>
      </c>
      <c r="AP187" s="11">
        <v>46261</v>
      </c>
      <c r="AQ187" s="9" t="s">
        <v>2564</v>
      </c>
      <c r="AR187" s="9">
        <v>4</v>
      </c>
      <c r="AS187" s="9" t="s">
        <v>2565</v>
      </c>
      <c r="AU187" s="9" t="s">
        <v>2566</v>
      </c>
      <c r="AV187" s="9" t="s">
        <v>258</v>
      </c>
      <c r="AX187" s="9">
        <v>2609852</v>
      </c>
      <c r="AZ187" s="9">
        <v>306</v>
      </c>
      <c r="BA187" s="9">
        <v>407862</v>
      </c>
      <c r="BB187" s="11">
        <v>46269</v>
      </c>
      <c r="BC187" s="9">
        <v>1680</v>
      </c>
    </row>
    <row r="188" spans="1:56" x14ac:dyDescent="0.25">
      <c r="A188" s="9" t="s">
        <v>2644</v>
      </c>
      <c r="B188" s="9">
        <v>947</v>
      </c>
      <c r="C188" s="9" t="s">
        <v>2645</v>
      </c>
      <c r="D188" s="9">
        <v>1580</v>
      </c>
      <c r="E188" s="9">
        <v>2026</v>
      </c>
      <c r="F188" s="9" t="s">
        <v>2870</v>
      </c>
      <c r="G188" s="9">
        <v>62052000</v>
      </c>
      <c r="H188" s="9">
        <v>0</v>
      </c>
      <c r="I188" s="9">
        <v>1</v>
      </c>
      <c r="J188" s="9" t="s">
        <v>2558</v>
      </c>
      <c r="K188" s="9">
        <v>895.4</v>
      </c>
      <c r="L188" s="10">
        <v>4843.3</v>
      </c>
      <c r="M188" s="10">
        <v>4843.3</v>
      </c>
      <c r="N188" s="9">
        <v>0</v>
      </c>
      <c r="O188" s="9">
        <v>0</v>
      </c>
      <c r="P188" s="9">
        <v>0</v>
      </c>
      <c r="Q188" s="9">
        <v>895.4</v>
      </c>
      <c r="R188" s="9">
        <v>895.4</v>
      </c>
      <c r="U188" s="9">
        <v>1</v>
      </c>
      <c r="W188" s="9">
        <v>260326210686920</v>
      </c>
      <c r="X188" s="9" t="s">
        <v>2559</v>
      </c>
      <c r="Y188" s="9" t="s">
        <v>2560</v>
      </c>
      <c r="Z188" s="9" t="s">
        <v>2762</v>
      </c>
      <c r="AA188" s="9" t="s">
        <v>2763</v>
      </c>
      <c r="AF188" s="9">
        <v>10</v>
      </c>
      <c r="AG188" s="9" t="s">
        <v>2563</v>
      </c>
      <c r="AH188" s="9">
        <v>814</v>
      </c>
      <c r="AO188" s="9" t="s">
        <v>2577</v>
      </c>
      <c r="AP188" s="11">
        <v>46261</v>
      </c>
      <c r="AQ188" s="9" t="s">
        <v>2564</v>
      </c>
      <c r="AR188" s="9">
        <v>4</v>
      </c>
      <c r="AS188" s="9" t="s">
        <v>2565</v>
      </c>
      <c r="AU188" s="9" t="s">
        <v>2566</v>
      </c>
      <c r="AV188" s="9" t="s">
        <v>1994</v>
      </c>
      <c r="AX188" s="9">
        <v>2609853</v>
      </c>
      <c r="AZ188" s="9">
        <v>306</v>
      </c>
      <c r="BA188" s="9">
        <v>407871</v>
      </c>
      <c r="BB188" s="11">
        <v>46269</v>
      </c>
      <c r="BC188" s="9">
        <v>1680</v>
      </c>
    </row>
    <row r="189" spans="1:56" x14ac:dyDescent="0.25">
      <c r="A189" s="9" t="s">
        <v>2644</v>
      </c>
      <c r="B189" s="9">
        <v>947</v>
      </c>
      <c r="C189" s="9" t="s">
        <v>2645</v>
      </c>
      <c r="D189" s="9">
        <v>1581</v>
      </c>
      <c r="E189" s="9">
        <v>2026</v>
      </c>
      <c r="F189" s="9" t="s">
        <v>2871</v>
      </c>
      <c r="G189" s="9">
        <v>62052000</v>
      </c>
      <c r="H189" s="9">
        <v>2000</v>
      </c>
      <c r="I189" s="9">
        <v>1</v>
      </c>
      <c r="J189" s="9" t="s">
        <v>2558</v>
      </c>
      <c r="K189" s="9">
        <v>418</v>
      </c>
      <c r="L189" s="10">
        <v>2261</v>
      </c>
      <c r="M189" s="10">
        <v>2261</v>
      </c>
      <c r="N189" s="9">
        <v>0</v>
      </c>
      <c r="O189" s="9">
        <v>0</v>
      </c>
      <c r="P189" s="9">
        <v>0</v>
      </c>
      <c r="Q189" s="9">
        <v>418</v>
      </c>
      <c r="R189" s="9">
        <v>418</v>
      </c>
      <c r="U189" s="9">
        <v>1</v>
      </c>
      <c r="W189" s="9">
        <v>260326210686920</v>
      </c>
      <c r="X189" s="9" t="s">
        <v>2559</v>
      </c>
      <c r="Y189" s="9" t="s">
        <v>2560</v>
      </c>
      <c r="Z189" s="9" t="s">
        <v>2762</v>
      </c>
      <c r="AA189" s="9" t="s">
        <v>2763</v>
      </c>
      <c r="AF189" s="9">
        <v>10</v>
      </c>
      <c r="AG189" s="9" t="s">
        <v>2563</v>
      </c>
      <c r="AH189" s="9">
        <v>380</v>
      </c>
      <c r="AO189" s="9" t="s">
        <v>2577</v>
      </c>
      <c r="AP189" s="11">
        <v>46261</v>
      </c>
      <c r="AQ189" s="9" t="s">
        <v>2564</v>
      </c>
      <c r="AR189" s="9">
        <v>4</v>
      </c>
      <c r="AS189" s="9" t="s">
        <v>2565</v>
      </c>
      <c r="AU189" s="9" t="s">
        <v>2566</v>
      </c>
      <c r="AV189" s="9" t="s">
        <v>258</v>
      </c>
      <c r="AX189" s="9">
        <v>2609854</v>
      </c>
      <c r="AZ189" s="9">
        <v>306</v>
      </c>
      <c r="BA189" s="9">
        <v>407776</v>
      </c>
      <c r="BB189" s="11">
        <v>46269</v>
      </c>
      <c r="BC189" s="9">
        <v>1680</v>
      </c>
    </row>
    <row r="190" spans="1:56" x14ac:dyDescent="0.25">
      <c r="A190" s="9" t="s">
        <v>2644</v>
      </c>
      <c r="B190" s="9">
        <v>947</v>
      </c>
      <c r="C190" s="9" t="s">
        <v>2645</v>
      </c>
      <c r="D190" s="9">
        <v>1582</v>
      </c>
      <c r="E190" s="9">
        <v>2026</v>
      </c>
      <c r="F190" s="9" t="s">
        <v>2872</v>
      </c>
      <c r="G190" s="9">
        <v>62052000</v>
      </c>
      <c r="H190" s="9">
        <v>0</v>
      </c>
      <c r="I190" s="9">
        <v>1</v>
      </c>
      <c r="J190" s="9" t="s">
        <v>2558</v>
      </c>
      <c r="K190" s="10">
        <v>2407.9</v>
      </c>
      <c r="L190" s="10">
        <v>13024.55</v>
      </c>
      <c r="M190" s="10">
        <v>13024.55</v>
      </c>
      <c r="N190" s="9">
        <v>0</v>
      </c>
      <c r="O190" s="9">
        <v>0</v>
      </c>
      <c r="P190" s="9">
        <v>0</v>
      </c>
      <c r="Q190" s="9">
        <v>2407.9</v>
      </c>
      <c r="R190" s="10">
        <v>2407.9</v>
      </c>
      <c r="U190" s="9">
        <v>1</v>
      </c>
      <c r="W190" s="9">
        <v>260326210686920</v>
      </c>
      <c r="X190" s="9" t="s">
        <v>2559</v>
      </c>
      <c r="Y190" s="9" t="s">
        <v>2560</v>
      </c>
      <c r="Z190" s="9" t="s">
        <v>2762</v>
      </c>
      <c r="AA190" s="9" t="s">
        <v>2763</v>
      </c>
      <c r="AF190" s="9">
        <v>10</v>
      </c>
      <c r="AG190" s="9" t="s">
        <v>2563</v>
      </c>
      <c r="AH190" s="9">
        <v>2189</v>
      </c>
      <c r="AO190" s="9" t="s">
        <v>2577</v>
      </c>
      <c r="AP190" s="11">
        <v>46261</v>
      </c>
      <c r="AQ190" s="9" t="s">
        <v>2564</v>
      </c>
      <c r="AR190" s="9">
        <v>4</v>
      </c>
      <c r="AS190" s="9" t="s">
        <v>2565</v>
      </c>
      <c r="AU190" s="9" t="s">
        <v>2566</v>
      </c>
      <c r="AV190" s="9" t="s">
        <v>269</v>
      </c>
      <c r="AX190" s="9">
        <v>2609855</v>
      </c>
      <c r="AZ190" s="9">
        <v>306</v>
      </c>
      <c r="BA190" s="9">
        <v>407826</v>
      </c>
      <c r="BB190" s="11">
        <v>46269</v>
      </c>
      <c r="BC190" s="9">
        <v>1680</v>
      </c>
    </row>
    <row r="191" spans="1:56" x14ac:dyDescent="0.25">
      <c r="A191" s="9" t="s">
        <v>2644</v>
      </c>
      <c r="B191" s="9">
        <v>947</v>
      </c>
      <c r="C191" s="9" t="s">
        <v>2645</v>
      </c>
      <c r="D191" s="9">
        <v>1583</v>
      </c>
      <c r="E191" s="9">
        <v>2026</v>
      </c>
      <c r="F191" s="9" t="s">
        <v>2873</v>
      </c>
      <c r="G191" s="9">
        <v>62052000</v>
      </c>
      <c r="H191" s="9">
        <v>2000</v>
      </c>
      <c r="I191" s="9">
        <v>1</v>
      </c>
      <c r="J191" s="9" t="s">
        <v>2558</v>
      </c>
      <c r="K191" s="9">
        <v>880</v>
      </c>
      <c r="L191" s="10">
        <v>3400</v>
      </c>
      <c r="M191" s="10">
        <v>3400</v>
      </c>
      <c r="N191" s="9">
        <v>0</v>
      </c>
      <c r="O191" s="9">
        <v>0</v>
      </c>
      <c r="P191" s="9">
        <v>0</v>
      </c>
      <c r="Q191" s="9">
        <v>880</v>
      </c>
      <c r="R191" s="9">
        <v>880</v>
      </c>
      <c r="U191" s="9">
        <v>1</v>
      </c>
      <c r="W191" s="9">
        <v>260326210686920</v>
      </c>
      <c r="X191" s="9" t="s">
        <v>2559</v>
      </c>
      <c r="Y191" s="9" t="s">
        <v>2560</v>
      </c>
      <c r="Z191" s="9" t="s">
        <v>2762</v>
      </c>
      <c r="AA191" s="9" t="s">
        <v>2763</v>
      </c>
      <c r="AF191" s="9">
        <v>10</v>
      </c>
      <c r="AG191" s="9" t="s">
        <v>2563</v>
      </c>
      <c r="AH191" s="9">
        <v>800</v>
      </c>
      <c r="AO191" s="9" t="s">
        <v>2577</v>
      </c>
      <c r="AP191" s="11">
        <v>46261</v>
      </c>
      <c r="AQ191" s="9" t="s">
        <v>2564</v>
      </c>
      <c r="AR191" s="9">
        <v>4</v>
      </c>
      <c r="AS191" s="9" t="s">
        <v>2565</v>
      </c>
      <c r="AU191" s="9" t="s">
        <v>2566</v>
      </c>
      <c r="AV191" s="9" t="s">
        <v>258</v>
      </c>
      <c r="AX191" s="9">
        <v>2609856</v>
      </c>
      <c r="AZ191" s="9">
        <v>306</v>
      </c>
      <c r="BA191" s="9">
        <v>407852</v>
      </c>
      <c r="BB191" s="11">
        <v>46269</v>
      </c>
      <c r="BC191" s="9">
        <v>1680</v>
      </c>
    </row>
    <row r="192" spans="1:56" x14ac:dyDescent="0.25">
      <c r="A192" s="9" t="s">
        <v>2644</v>
      </c>
      <c r="B192" s="9">
        <v>947</v>
      </c>
      <c r="C192" s="9" t="s">
        <v>2645</v>
      </c>
      <c r="D192" s="9">
        <v>1584</v>
      </c>
      <c r="E192" s="9">
        <v>2026</v>
      </c>
      <c r="F192" s="9" t="s">
        <v>2874</v>
      </c>
      <c r="G192" s="9">
        <v>62052000</v>
      </c>
      <c r="H192" s="9">
        <v>0</v>
      </c>
      <c r="I192" s="9">
        <v>1</v>
      </c>
      <c r="J192" s="9" t="s">
        <v>2558</v>
      </c>
      <c r="K192" s="10">
        <v>2838</v>
      </c>
      <c r="L192" s="10">
        <v>10965</v>
      </c>
      <c r="M192" s="10">
        <v>10965</v>
      </c>
      <c r="N192" s="9">
        <v>0</v>
      </c>
      <c r="O192" s="9">
        <v>0</v>
      </c>
      <c r="P192" s="9">
        <v>0</v>
      </c>
      <c r="Q192" s="9">
        <v>2838</v>
      </c>
      <c r="R192" s="10">
        <v>2838</v>
      </c>
      <c r="U192" s="9">
        <v>1</v>
      </c>
      <c r="W192" s="9">
        <v>260326210686920</v>
      </c>
      <c r="X192" s="9" t="s">
        <v>2559</v>
      </c>
      <c r="Y192" s="9" t="s">
        <v>2560</v>
      </c>
      <c r="Z192" s="9" t="s">
        <v>2762</v>
      </c>
      <c r="AA192" s="9" t="s">
        <v>2763</v>
      </c>
      <c r="AF192" s="9">
        <v>10</v>
      </c>
      <c r="AG192" s="9" t="s">
        <v>2563</v>
      </c>
      <c r="AH192" s="9">
        <v>2580</v>
      </c>
      <c r="AO192" s="9" t="s">
        <v>2577</v>
      </c>
      <c r="AP192" s="11">
        <v>46261</v>
      </c>
      <c r="AQ192" s="9" t="s">
        <v>2564</v>
      </c>
      <c r="AR192" s="9">
        <v>4</v>
      </c>
      <c r="AS192" s="9" t="s">
        <v>2565</v>
      </c>
      <c r="AU192" s="9" t="s">
        <v>2566</v>
      </c>
      <c r="AV192" s="9" t="s">
        <v>269</v>
      </c>
      <c r="AX192" s="9">
        <v>2609857</v>
      </c>
      <c r="AZ192" s="9">
        <v>306</v>
      </c>
      <c r="BA192" s="9">
        <v>407832</v>
      </c>
      <c r="BB192" s="11">
        <v>46269</v>
      </c>
      <c r="BC192" s="9">
        <v>1680</v>
      </c>
    </row>
    <row r="193" spans="1:56" x14ac:dyDescent="0.25">
      <c r="A193" s="9" t="s">
        <v>2644</v>
      </c>
      <c r="B193" s="9">
        <v>947</v>
      </c>
      <c r="C193" s="9" t="s">
        <v>2645</v>
      </c>
      <c r="D193" s="9">
        <v>1585</v>
      </c>
      <c r="E193" s="9">
        <v>2026</v>
      </c>
      <c r="F193" s="9" t="s">
        <v>2875</v>
      </c>
      <c r="G193" s="9">
        <v>62052000</v>
      </c>
      <c r="H193" s="9">
        <v>2020</v>
      </c>
      <c r="I193" s="9">
        <v>1</v>
      </c>
      <c r="J193" s="9" t="s">
        <v>2558</v>
      </c>
      <c r="K193" s="10">
        <v>3201</v>
      </c>
      <c r="L193" s="10">
        <v>12367.5</v>
      </c>
      <c r="M193" s="10">
        <v>12367.5</v>
      </c>
      <c r="N193" s="9">
        <v>0</v>
      </c>
      <c r="O193" s="9">
        <v>0</v>
      </c>
      <c r="P193" s="9">
        <v>0</v>
      </c>
      <c r="Q193" s="9">
        <v>3201</v>
      </c>
      <c r="R193" s="10">
        <v>3201</v>
      </c>
      <c r="U193" s="9">
        <v>1</v>
      </c>
      <c r="W193" s="9">
        <v>260326210686920</v>
      </c>
      <c r="X193" s="9" t="s">
        <v>2559</v>
      </c>
      <c r="Y193" s="9" t="s">
        <v>2560</v>
      </c>
      <c r="Z193" s="9" t="s">
        <v>2762</v>
      </c>
      <c r="AA193" s="9" t="s">
        <v>2763</v>
      </c>
      <c r="AF193" s="9">
        <v>10</v>
      </c>
      <c r="AG193" s="9" t="s">
        <v>2563</v>
      </c>
      <c r="AH193" s="9">
        <v>2910</v>
      </c>
      <c r="AO193" s="9" t="s">
        <v>2577</v>
      </c>
      <c r="AP193" s="11">
        <v>46261</v>
      </c>
      <c r="AQ193" s="9" t="s">
        <v>2564</v>
      </c>
      <c r="AR193" s="9">
        <v>4</v>
      </c>
      <c r="AS193" s="9" t="s">
        <v>2565</v>
      </c>
      <c r="AU193" s="9" t="s">
        <v>2566</v>
      </c>
      <c r="AV193" s="9" t="s">
        <v>262</v>
      </c>
      <c r="AX193" s="9">
        <v>2609858</v>
      </c>
      <c r="AZ193" s="9">
        <v>306</v>
      </c>
      <c r="BA193" s="9">
        <v>407845</v>
      </c>
      <c r="BB193" s="11">
        <v>46269</v>
      </c>
      <c r="BC193" s="9">
        <v>1680</v>
      </c>
    </row>
    <row r="194" spans="1:56" x14ac:dyDescent="0.25">
      <c r="A194" s="9" t="s">
        <v>2644</v>
      </c>
      <c r="B194" s="9">
        <v>947</v>
      </c>
      <c r="C194" s="9" t="s">
        <v>2645</v>
      </c>
      <c r="D194" s="9">
        <v>1586</v>
      </c>
      <c r="E194" s="9">
        <v>2026</v>
      </c>
      <c r="F194" s="9" t="s">
        <v>2876</v>
      </c>
      <c r="G194" s="9">
        <v>62052000</v>
      </c>
      <c r="H194" s="9">
        <v>0</v>
      </c>
      <c r="I194" s="9">
        <v>1</v>
      </c>
      <c r="J194" s="9" t="s">
        <v>2558</v>
      </c>
      <c r="K194" s="10">
        <v>1056</v>
      </c>
      <c r="L194" s="10">
        <v>4080</v>
      </c>
      <c r="M194" s="10">
        <v>4080</v>
      </c>
      <c r="N194" s="9">
        <v>0</v>
      </c>
      <c r="O194" s="9">
        <v>0</v>
      </c>
      <c r="P194" s="9">
        <v>0</v>
      </c>
      <c r="Q194" s="9">
        <v>1056</v>
      </c>
      <c r="R194" s="10">
        <v>1056</v>
      </c>
      <c r="U194" s="9">
        <v>1</v>
      </c>
      <c r="W194" s="9">
        <v>260326210686920</v>
      </c>
      <c r="X194" s="9" t="s">
        <v>2559</v>
      </c>
      <c r="Y194" s="9" t="s">
        <v>2560</v>
      </c>
      <c r="Z194" s="9" t="s">
        <v>2762</v>
      </c>
      <c r="AA194" s="9" t="s">
        <v>2763</v>
      </c>
      <c r="AF194" s="9">
        <v>10</v>
      </c>
      <c r="AG194" s="9" t="s">
        <v>2563</v>
      </c>
      <c r="AH194" s="9">
        <v>960</v>
      </c>
      <c r="AO194" s="9" t="s">
        <v>2577</v>
      </c>
      <c r="AP194" s="11">
        <v>46261</v>
      </c>
      <c r="AQ194" s="9" t="s">
        <v>2564</v>
      </c>
      <c r="AR194" s="9">
        <v>4</v>
      </c>
      <c r="AS194" s="9" t="s">
        <v>2565</v>
      </c>
      <c r="AU194" s="9" t="s">
        <v>2566</v>
      </c>
      <c r="AV194" s="9" t="s">
        <v>1994</v>
      </c>
      <c r="AX194" s="9">
        <v>2609859</v>
      </c>
      <c r="AZ194" s="9">
        <v>306</v>
      </c>
      <c r="BA194" s="9">
        <v>407836</v>
      </c>
      <c r="BB194" s="11">
        <v>46269</v>
      </c>
      <c r="BC194" s="9">
        <v>1680</v>
      </c>
    </row>
    <row r="195" spans="1:56" x14ac:dyDescent="0.25">
      <c r="A195" s="9" t="s">
        <v>2644</v>
      </c>
      <c r="B195" s="9">
        <v>947</v>
      </c>
      <c r="C195" s="9" t="s">
        <v>2645</v>
      </c>
      <c r="D195" s="9">
        <v>1587</v>
      </c>
      <c r="E195" s="9">
        <v>2026</v>
      </c>
      <c r="F195" s="9" t="s">
        <v>2877</v>
      </c>
      <c r="G195" s="9">
        <v>62052000</v>
      </c>
      <c r="H195" s="9">
        <v>2000</v>
      </c>
      <c r="I195" s="9">
        <v>1</v>
      </c>
      <c r="J195" s="9" t="s">
        <v>2558</v>
      </c>
      <c r="K195" s="10">
        <v>11748</v>
      </c>
      <c r="L195" s="10">
        <v>45390</v>
      </c>
      <c r="M195" s="10">
        <v>45390</v>
      </c>
      <c r="N195" s="9">
        <v>0</v>
      </c>
      <c r="O195" s="9">
        <v>0</v>
      </c>
      <c r="P195" s="9">
        <v>0</v>
      </c>
      <c r="Q195" s="9">
        <v>11748</v>
      </c>
      <c r="R195" s="10">
        <v>11748</v>
      </c>
      <c r="U195" s="9">
        <v>1</v>
      </c>
      <c r="W195" s="9">
        <v>260326210686920</v>
      </c>
      <c r="X195" s="9" t="s">
        <v>2559</v>
      </c>
      <c r="Y195" s="9" t="s">
        <v>2560</v>
      </c>
      <c r="Z195" s="9" t="s">
        <v>2762</v>
      </c>
      <c r="AA195" s="9" t="s">
        <v>2763</v>
      </c>
      <c r="AF195" s="9">
        <v>10</v>
      </c>
      <c r="AG195" s="9" t="s">
        <v>2563</v>
      </c>
      <c r="AH195" s="9">
        <v>10680</v>
      </c>
      <c r="AO195" s="9" t="s">
        <v>2577</v>
      </c>
      <c r="AP195" s="11">
        <v>46261</v>
      </c>
      <c r="AQ195" s="9" t="s">
        <v>2564</v>
      </c>
      <c r="AR195" s="9">
        <v>4</v>
      </c>
      <c r="AS195" s="9" t="s">
        <v>2565</v>
      </c>
      <c r="AU195" s="9" t="s">
        <v>2566</v>
      </c>
      <c r="AV195" s="9" t="s">
        <v>258</v>
      </c>
      <c r="AX195" s="9">
        <v>2609860</v>
      </c>
      <c r="AZ195" s="9">
        <v>306</v>
      </c>
      <c r="BA195" s="9">
        <v>399589</v>
      </c>
      <c r="BB195" s="11">
        <v>46268</v>
      </c>
      <c r="BC195" s="9">
        <v>1680</v>
      </c>
    </row>
    <row r="196" spans="1:56" x14ac:dyDescent="0.25">
      <c r="A196" s="9" t="s">
        <v>2644</v>
      </c>
      <c r="B196" s="9">
        <v>947</v>
      </c>
      <c r="C196" s="9" t="s">
        <v>2645</v>
      </c>
      <c r="D196" s="9">
        <v>1700</v>
      </c>
      <c r="E196" s="9">
        <v>2026</v>
      </c>
      <c r="F196" s="9" t="s">
        <v>873</v>
      </c>
      <c r="G196" s="9">
        <v>62052000</v>
      </c>
      <c r="H196" s="9">
        <v>2020</v>
      </c>
      <c r="I196" s="9">
        <v>1</v>
      </c>
      <c r="J196" s="9" t="s">
        <v>2558</v>
      </c>
      <c r="K196" s="9">
        <v>0</v>
      </c>
      <c r="L196" s="10">
        <v>9311.25</v>
      </c>
      <c r="M196" s="10">
        <v>9311.25</v>
      </c>
      <c r="N196" s="9">
        <v>0</v>
      </c>
      <c r="O196" s="9">
        <v>0</v>
      </c>
      <c r="P196" s="9">
        <v>0</v>
      </c>
      <c r="R196" s="10">
        <v>9311.25</v>
      </c>
      <c r="U196" s="9">
        <v>1</v>
      </c>
      <c r="W196" s="9">
        <v>260326210686920</v>
      </c>
      <c r="X196" s="9" t="s">
        <v>2559</v>
      </c>
      <c r="Y196" s="9" t="s">
        <v>2560</v>
      </c>
      <c r="Z196" s="9" t="s">
        <v>2652</v>
      </c>
      <c r="AA196" s="9" t="s">
        <v>2653</v>
      </c>
      <c r="AF196" s="9">
        <v>10</v>
      </c>
      <c r="AG196" s="9" t="s">
        <v>2563</v>
      </c>
      <c r="AH196" s="9">
        <v>30000</v>
      </c>
      <c r="AO196" s="9" t="s">
        <v>2577</v>
      </c>
      <c r="AP196" s="11">
        <v>46275</v>
      </c>
      <c r="AQ196" s="9" t="s">
        <v>2564</v>
      </c>
      <c r="AR196" s="9">
        <v>4</v>
      </c>
      <c r="AS196" s="9" t="s">
        <v>2565</v>
      </c>
      <c r="AU196" s="9" t="s">
        <v>2566</v>
      </c>
      <c r="AV196" s="9" t="s">
        <v>252</v>
      </c>
      <c r="AX196" s="9">
        <v>2610208</v>
      </c>
      <c r="AZ196" s="9">
        <v>306</v>
      </c>
      <c r="BA196" s="9">
        <v>485990</v>
      </c>
      <c r="BB196" s="11">
        <v>46287</v>
      </c>
      <c r="BC196" s="9">
        <v>1680</v>
      </c>
    </row>
    <row r="197" spans="1:56" x14ac:dyDescent="0.25">
      <c r="A197" s="9" t="s">
        <v>2644</v>
      </c>
      <c r="B197" s="9">
        <v>947</v>
      </c>
      <c r="C197" s="9" t="s">
        <v>2645</v>
      </c>
      <c r="D197" s="9">
        <v>1701</v>
      </c>
      <c r="E197" s="9">
        <v>2026</v>
      </c>
      <c r="F197" s="9" t="s">
        <v>876</v>
      </c>
      <c r="G197" s="9">
        <v>62052000</v>
      </c>
      <c r="H197" s="9">
        <v>2000</v>
      </c>
      <c r="I197" s="9">
        <v>1</v>
      </c>
      <c r="J197" s="9" t="s">
        <v>2558</v>
      </c>
      <c r="K197" s="9">
        <v>0</v>
      </c>
      <c r="L197" s="10">
        <v>15518.75</v>
      </c>
      <c r="M197" s="10">
        <v>15518.75</v>
      </c>
      <c r="N197" s="9">
        <v>0</v>
      </c>
      <c r="O197" s="9">
        <v>0</v>
      </c>
      <c r="P197" s="9">
        <v>0</v>
      </c>
      <c r="R197" s="10">
        <v>15518.75</v>
      </c>
      <c r="U197" s="9">
        <v>1</v>
      </c>
      <c r="W197" s="9">
        <v>260326210686920</v>
      </c>
      <c r="X197" s="9" t="s">
        <v>2559</v>
      </c>
      <c r="Y197" s="9" t="s">
        <v>2560</v>
      </c>
      <c r="Z197" s="9" t="s">
        <v>2652</v>
      </c>
      <c r="AA197" s="9" t="s">
        <v>2653</v>
      </c>
      <c r="AF197" s="9">
        <v>10</v>
      </c>
      <c r="AG197" s="9" t="s">
        <v>2563</v>
      </c>
      <c r="AH197" s="9">
        <v>50000</v>
      </c>
      <c r="AP197" s="11">
        <v>46275</v>
      </c>
      <c r="AQ197" s="9" t="s">
        <v>2564</v>
      </c>
      <c r="AR197" s="9">
        <v>4</v>
      </c>
      <c r="AS197" s="9" t="s">
        <v>2565</v>
      </c>
      <c r="AU197" s="9" t="s">
        <v>2566</v>
      </c>
      <c r="AV197" s="9" t="s">
        <v>258</v>
      </c>
      <c r="AX197" s="9">
        <v>2610209</v>
      </c>
      <c r="AZ197" s="9">
        <v>306</v>
      </c>
      <c r="BA197" s="9">
        <v>485987</v>
      </c>
      <c r="BB197" s="11">
        <v>46287</v>
      </c>
      <c r="BC197" s="9">
        <v>1680</v>
      </c>
    </row>
    <row r="198" spans="1:56" x14ac:dyDescent="0.25">
      <c r="A198" s="9" t="s">
        <v>2644</v>
      </c>
      <c r="B198" s="9">
        <v>947</v>
      </c>
      <c r="C198" s="9" t="s">
        <v>2645</v>
      </c>
      <c r="D198" s="9">
        <v>1702</v>
      </c>
      <c r="E198" s="9">
        <v>2026</v>
      </c>
      <c r="F198" s="9" t="s">
        <v>880</v>
      </c>
      <c r="G198" s="9">
        <v>62052000</v>
      </c>
      <c r="H198" s="9">
        <v>2020</v>
      </c>
      <c r="I198" s="9">
        <v>1</v>
      </c>
      <c r="J198" s="9" t="s">
        <v>2558</v>
      </c>
      <c r="K198" s="9">
        <v>0</v>
      </c>
      <c r="L198" s="10">
        <v>4593.55</v>
      </c>
      <c r="M198" s="10">
        <v>4593.55</v>
      </c>
      <c r="N198" s="9">
        <v>0</v>
      </c>
      <c r="O198" s="9">
        <v>0</v>
      </c>
      <c r="P198" s="9">
        <v>0</v>
      </c>
      <c r="R198" s="10">
        <v>4593.55</v>
      </c>
      <c r="U198" s="9">
        <v>1</v>
      </c>
      <c r="W198" s="9">
        <v>260326210686920</v>
      </c>
      <c r="X198" s="9" t="s">
        <v>2559</v>
      </c>
      <c r="Y198" s="9" t="s">
        <v>2560</v>
      </c>
      <c r="Z198" s="9" t="s">
        <v>2652</v>
      </c>
      <c r="AA198" s="9" t="s">
        <v>2653</v>
      </c>
      <c r="AF198" s="9">
        <v>10</v>
      </c>
      <c r="AG198" s="9" t="s">
        <v>2563</v>
      </c>
      <c r="AH198" s="9">
        <v>14800</v>
      </c>
      <c r="AP198" s="11">
        <v>46275</v>
      </c>
      <c r="AQ198" s="9" t="s">
        <v>2564</v>
      </c>
      <c r="AR198" s="9">
        <v>4</v>
      </c>
      <c r="AS198" s="9" t="s">
        <v>2565</v>
      </c>
      <c r="AU198" s="9" t="s">
        <v>2566</v>
      </c>
      <c r="AV198" s="9" t="s">
        <v>262</v>
      </c>
      <c r="AX198" s="9">
        <v>2610210</v>
      </c>
      <c r="AZ198" s="9">
        <v>306</v>
      </c>
      <c r="BA198" s="9">
        <v>439948</v>
      </c>
      <c r="BB198" s="11">
        <v>46277</v>
      </c>
      <c r="BC198" s="9">
        <v>1680</v>
      </c>
    </row>
    <row r="199" spans="1:56" x14ac:dyDescent="0.25">
      <c r="A199" s="9" t="s">
        <v>2644</v>
      </c>
      <c r="B199" s="9">
        <v>947</v>
      </c>
      <c r="C199" s="9" t="s">
        <v>2645</v>
      </c>
      <c r="D199" s="9">
        <v>1704</v>
      </c>
      <c r="E199" s="9">
        <v>2026</v>
      </c>
      <c r="F199" s="9" t="s">
        <v>2878</v>
      </c>
      <c r="G199" s="9">
        <v>62033200</v>
      </c>
      <c r="H199" s="9">
        <v>1100</v>
      </c>
      <c r="I199" s="9">
        <v>1</v>
      </c>
      <c r="J199" s="9" t="s">
        <v>2558</v>
      </c>
      <c r="L199" s="10">
        <v>34758.18</v>
      </c>
      <c r="M199" s="10">
        <v>34758.18</v>
      </c>
      <c r="N199" s="9">
        <v>0</v>
      </c>
      <c r="O199" s="9">
        <v>0</v>
      </c>
      <c r="P199" s="9">
        <v>0</v>
      </c>
      <c r="R199" s="10">
        <v>34758.18</v>
      </c>
      <c r="U199" s="9">
        <v>1</v>
      </c>
      <c r="V199" s="11">
        <v>46285</v>
      </c>
      <c r="W199" s="9">
        <v>260326210686920</v>
      </c>
      <c r="X199" s="9" t="s">
        <v>2559</v>
      </c>
      <c r="Y199" s="9" t="s">
        <v>2560</v>
      </c>
      <c r="Z199" s="9" t="s">
        <v>2715</v>
      </c>
      <c r="AA199" s="9" t="s">
        <v>2716</v>
      </c>
      <c r="AB199" s="9" t="s">
        <v>2570</v>
      </c>
      <c r="AC199" s="11">
        <v>46292</v>
      </c>
      <c r="AD199" s="9">
        <v>947</v>
      </c>
      <c r="AF199" s="9">
        <v>10</v>
      </c>
      <c r="AG199" s="9" t="s">
        <v>2563</v>
      </c>
      <c r="AH199" s="9">
        <v>3033</v>
      </c>
      <c r="AL199" s="9">
        <v>2610271</v>
      </c>
      <c r="AM199" s="11">
        <v>46244</v>
      </c>
      <c r="AO199" s="9" t="s">
        <v>2577</v>
      </c>
      <c r="AP199" s="11">
        <v>46275</v>
      </c>
      <c r="AQ199" s="9" t="s">
        <v>2564</v>
      </c>
      <c r="AR199" s="9">
        <v>4</v>
      </c>
      <c r="AS199" s="9" t="s">
        <v>2879</v>
      </c>
      <c r="AT199" s="9">
        <v>1</v>
      </c>
      <c r="AU199" s="9" t="s">
        <v>2566</v>
      </c>
      <c r="AW199" s="9" t="s">
        <v>2880</v>
      </c>
      <c r="AY199" s="11">
        <v>46285</v>
      </c>
      <c r="AZ199" s="9">
        <v>306</v>
      </c>
      <c r="BA199" s="9">
        <v>437577</v>
      </c>
      <c r="BB199" s="11">
        <v>46276</v>
      </c>
      <c r="BC199" s="9">
        <v>1680</v>
      </c>
    </row>
    <row r="200" spans="1:56" x14ac:dyDescent="0.25">
      <c r="A200" s="9" t="s">
        <v>2644</v>
      </c>
      <c r="B200" s="9">
        <v>947</v>
      </c>
      <c r="C200" s="9" t="s">
        <v>2645</v>
      </c>
      <c r="D200" s="9">
        <v>1673</v>
      </c>
      <c r="E200" s="9">
        <v>2026</v>
      </c>
      <c r="F200" s="9" t="s">
        <v>2881</v>
      </c>
      <c r="G200" s="9">
        <v>62044200</v>
      </c>
      <c r="H200" s="9">
        <v>2000</v>
      </c>
      <c r="I200" s="9">
        <v>1</v>
      </c>
      <c r="J200" s="9" t="s">
        <v>2558</v>
      </c>
      <c r="L200" s="10">
        <v>2850</v>
      </c>
      <c r="M200" s="10">
        <v>2850</v>
      </c>
      <c r="N200" s="9">
        <v>0</v>
      </c>
      <c r="O200" s="9">
        <v>0</v>
      </c>
      <c r="P200" s="9">
        <v>0</v>
      </c>
      <c r="U200" s="9">
        <v>1</v>
      </c>
      <c r="W200" s="9">
        <v>260326210686920</v>
      </c>
      <c r="X200" s="9" t="s">
        <v>2559</v>
      </c>
      <c r="Y200" s="9" t="s">
        <v>2560</v>
      </c>
      <c r="Z200" s="9" t="s">
        <v>2665</v>
      </c>
      <c r="AA200" s="9" t="s">
        <v>2666</v>
      </c>
      <c r="AF200" s="9">
        <v>10</v>
      </c>
      <c r="AG200" s="9" t="s">
        <v>2563</v>
      </c>
      <c r="AH200" s="9">
        <v>1600</v>
      </c>
      <c r="AL200" s="9">
        <v>2610115</v>
      </c>
      <c r="AM200" s="11">
        <v>46270</v>
      </c>
      <c r="AP200" s="11">
        <v>46271</v>
      </c>
      <c r="AQ200" s="9" t="s">
        <v>2564</v>
      </c>
      <c r="AR200" s="9">
        <v>4</v>
      </c>
      <c r="AU200" s="9" t="s">
        <v>2566</v>
      </c>
      <c r="BC200" s="9">
        <v>1680</v>
      </c>
    </row>
    <row r="201" spans="1:56" x14ac:dyDescent="0.25">
      <c r="A201" s="9" t="s">
        <v>2644</v>
      </c>
      <c r="B201" s="9">
        <v>947</v>
      </c>
      <c r="C201" s="9" t="s">
        <v>2645</v>
      </c>
      <c r="D201" s="9">
        <v>1668</v>
      </c>
      <c r="E201" s="9">
        <v>2026</v>
      </c>
      <c r="F201" s="9" t="s">
        <v>2882</v>
      </c>
      <c r="G201" s="9">
        <v>62071100</v>
      </c>
      <c r="H201" s="9">
        <v>2000</v>
      </c>
      <c r="I201" s="9">
        <v>1</v>
      </c>
      <c r="J201" s="9" t="s">
        <v>2558</v>
      </c>
      <c r="L201" s="10">
        <v>36528.75</v>
      </c>
      <c r="M201" s="10">
        <v>36528.75</v>
      </c>
      <c r="N201" s="9">
        <v>0</v>
      </c>
      <c r="O201" s="9">
        <v>0</v>
      </c>
      <c r="P201" s="9">
        <v>0</v>
      </c>
      <c r="R201" s="10">
        <v>36528.75</v>
      </c>
      <c r="S201" s="11">
        <v>46289</v>
      </c>
      <c r="T201" s="10">
        <v>36221.86</v>
      </c>
      <c r="U201" s="9">
        <v>1</v>
      </c>
      <c r="V201" s="11">
        <v>46280</v>
      </c>
      <c r="W201" s="9">
        <v>260326210686920</v>
      </c>
      <c r="X201" s="9" t="s">
        <v>2559</v>
      </c>
      <c r="Y201" s="9" t="s">
        <v>2560</v>
      </c>
      <c r="Z201" s="9" t="s">
        <v>2652</v>
      </c>
      <c r="AA201" s="9" t="s">
        <v>2653</v>
      </c>
      <c r="AB201" s="9" t="s">
        <v>2570</v>
      </c>
      <c r="AC201" s="11">
        <v>46288</v>
      </c>
      <c r="AD201" s="9">
        <v>947</v>
      </c>
      <c r="AE201" s="9" t="s">
        <v>2570</v>
      </c>
      <c r="AF201" s="9">
        <v>10</v>
      </c>
      <c r="AG201" s="9" t="s">
        <v>2563</v>
      </c>
      <c r="AH201" s="9">
        <v>75000</v>
      </c>
      <c r="AJ201" s="9">
        <v>585</v>
      </c>
      <c r="AK201" s="11">
        <v>46288</v>
      </c>
      <c r="AL201" s="9">
        <v>2610112</v>
      </c>
      <c r="AM201" s="11">
        <v>46270</v>
      </c>
      <c r="AP201" s="11">
        <v>46270</v>
      </c>
      <c r="AQ201" s="9" t="s">
        <v>2564</v>
      </c>
      <c r="AR201" s="9">
        <v>4</v>
      </c>
      <c r="AT201" s="9">
        <v>6</v>
      </c>
      <c r="AU201" s="9" t="s">
        <v>2566</v>
      </c>
      <c r="AW201" s="9" t="s">
        <v>2883</v>
      </c>
      <c r="AY201" s="11">
        <v>46280</v>
      </c>
      <c r="AZ201" s="9">
        <v>306</v>
      </c>
      <c r="BA201" s="9">
        <v>427149</v>
      </c>
      <c r="BB201" s="11">
        <v>46274</v>
      </c>
      <c r="BC201" s="9">
        <v>1680</v>
      </c>
      <c r="BD201" s="9">
        <v>1</v>
      </c>
    </row>
    <row r="202" spans="1:56" x14ac:dyDescent="0.25">
      <c r="A202" s="9" t="s">
        <v>2644</v>
      </c>
      <c r="B202" s="9">
        <v>947</v>
      </c>
      <c r="C202" s="9" t="s">
        <v>2645</v>
      </c>
      <c r="D202" s="9">
        <v>1538</v>
      </c>
      <c r="E202" s="9">
        <v>2026</v>
      </c>
      <c r="F202" s="9" t="s">
        <v>2884</v>
      </c>
      <c r="G202" s="9">
        <v>62071100</v>
      </c>
      <c r="H202" s="9">
        <v>2020</v>
      </c>
      <c r="I202" s="9">
        <v>1</v>
      </c>
      <c r="J202" s="9" t="s">
        <v>2558</v>
      </c>
      <c r="L202" s="10">
        <v>4870.5</v>
      </c>
      <c r="M202" s="10">
        <v>4870.5</v>
      </c>
      <c r="N202" s="9">
        <v>0</v>
      </c>
      <c r="O202" s="9">
        <v>0</v>
      </c>
      <c r="P202" s="9">
        <v>0</v>
      </c>
      <c r="R202" s="10">
        <v>4870.5</v>
      </c>
      <c r="S202" s="11">
        <v>46286</v>
      </c>
      <c r="T202" s="10">
        <v>4833.1899999999996</v>
      </c>
      <c r="U202" s="9">
        <v>1</v>
      </c>
      <c r="V202" s="11">
        <v>46265</v>
      </c>
      <c r="W202" s="9">
        <v>260326210686920</v>
      </c>
      <c r="X202" s="9" t="s">
        <v>2559</v>
      </c>
      <c r="Y202" s="9" t="s">
        <v>2560</v>
      </c>
      <c r="Z202" s="9" t="s">
        <v>2652</v>
      </c>
      <c r="AA202" s="9" t="s">
        <v>2653</v>
      </c>
      <c r="AB202" s="9" t="s">
        <v>2570</v>
      </c>
      <c r="AC202" s="11">
        <v>46285</v>
      </c>
      <c r="AD202" s="9">
        <v>947</v>
      </c>
      <c r="AE202" s="9" t="s">
        <v>2570</v>
      </c>
      <c r="AF202" s="9">
        <v>10</v>
      </c>
      <c r="AG202" s="9" t="s">
        <v>2563</v>
      </c>
      <c r="AH202" s="9">
        <v>10000</v>
      </c>
      <c r="AJ202" s="9" t="s">
        <v>2690</v>
      </c>
      <c r="AK202" s="11">
        <v>46285</v>
      </c>
      <c r="AL202" s="9">
        <v>2609668</v>
      </c>
      <c r="AM202" s="11">
        <v>46257</v>
      </c>
      <c r="AP202" s="11">
        <v>46258</v>
      </c>
      <c r="AQ202" s="9" t="s">
        <v>2564</v>
      </c>
      <c r="AR202" s="9">
        <v>4</v>
      </c>
      <c r="AT202" s="9">
        <v>6</v>
      </c>
      <c r="AU202" s="9" t="s">
        <v>2566</v>
      </c>
      <c r="AW202" s="9" t="s">
        <v>2885</v>
      </c>
      <c r="AY202" s="11">
        <v>46265</v>
      </c>
      <c r="AZ202" s="9">
        <v>306</v>
      </c>
      <c r="BA202" s="9">
        <v>366569</v>
      </c>
      <c r="BB202" s="11">
        <v>46260</v>
      </c>
      <c r="BC202" s="9">
        <v>1680</v>
      </c>
      <c r="BD202" s="9">
        <v>1</v>
      </c>
    </row>
    <row r="203" spans="1:56" ht="45" x14ac:dyDescent="0.25">
      <c r="A203" s="9" t="s">
        <v>2644</v>
      </c>
      <c r="B203" s="9">
        <v>947</v>
      </c>
      <c r="C203" s="9" t="s">
        <v>2645</v>
      </c>
      <c r="D203" s="9">
        <v>1691</v>
      </c>
      <c r="E203" s="9">
        <v>2026</v>
      </c>
      <c r="F203" s="9" t="s">
        <v>2886</v>
      </c>
      <c r="G203" s="9">
        <v>62052000</v>
      </c>
      <c r="H203" s="9">
        <v>2000</v>
      </c>
      <c r="I203" s="9">
        <v>1</v>
      </c>
      <c r="J203" s="9" t="s">
        <v>2558</v>
      </c>
      <c r="L203" s="10">
        <v>4871.55</v>
      </c>
      <c r="M203" s="10">
        <v>4871.55</v>
      </c>
      <c r="N203" s="9">
        <v>0</v>
      </c>
      <c r="O203" s="9">
        <v>0</v>
      </c>
      <c r="P203" s="9">
        <v>0</v>
      </c>
      <c r="U203" s="9">
        <v>1</v>
      </c>
      <c r="W203" s="9">
        <v>260326210686920</v>
      </c>
      <c r="X203" s="9" t="s">
        <v>2559</v>
      </c>
      <c r="Y203" s="9" t="s">
        <v>2560</v>
      </c>
      <c r="Z203" s="9" t="s">
        <v>2747</v>
      </c>
      <c r="AA203" s="12" t="s">
        <v>2704</v>
      </c>
      <c r="AF203" s="9">
        <v>10</v>
      </c>
      <c r="AG203" s="9" t="s">
        <v>2563</v>
      </c>
      <c r="AH203" s="9">
        <v>1352</v>
      </c>
      <c r="AP203" s="11">
        <v>46274</v>
      </c>
      <c r="AQ203" s="9" t="s">
        <v>2564</v>
      </c>
      <c r="AR203" s="9">
        <v>4</v>
      </c>
      <c r="AU203" s="9" t="s">
        <v>2566</v>
      </c>
      <c r="BC203" s="9">
        <v>1680</v>
      </c>
    </row>
    <row r="204" spans="1:56" ht="45" x14ac:dyDescent="0.25">
      <c r="A204" s="9" t="s">
        <v>2644</v>
      </c>
      <c r="B204" s="9">
        <v>947</v>
      </c>
      <c r="C204" s="9" t="s">
        <v>2645</v>
      </c>
      <c r="D204" s="9">
        <v>1653</v>
      </c>
      <c r="E204" s="9">
        <v>2026</v>
      </c>
      <c r="F204" s="9" t="s">
        <v>308</v>
      </c>
      <c r="G204" s="9">
        <v>62052000</v>
      </c>
      <c r="H204" s="9">
        <v>2000</v>
      </c>
      <c r="I204" s="9">
        <v>1</v>
      </c>
      <c r="J204" s="9" t="s">
        <v>2558</v>
      </c>
      <c r="K204" s="9">
        <v>0</v>
      </c>
      <c r="L204" s="10">
        <v>21697.599999999999</v>
      </c>
      <c r="M204" s="10">
        <v>21697.599999999999</v>
      </c>
      <c r="N204" s="9">
        <v>0</v>
      </c>
      <c r="O204" s="9">
        <v>0</v>
      </c>
      <c r="P204" s="9">
        <v>0</v>
      </c>
      <c r="R204" s="10">
        <v>21697.599999999999</v>
      </c>
      <c r="U204" s="9">
        <v>1</v>
      </c>
      <c r="W204" s="9">
        <v>260326210686920</v>
      </c>
      <c r="X204" s="9" t="s">
        <v>2559</v>
      </c>
      <c r="Y204" s="9" t="s">
        <v>2560</v>
      </c>
      <c r="Z204" s="9" t="s">
        <v>2747</v>
      </c>
      <c r="AA204" s="12" t="s">
        <v>2704</v>
      </c>
      <c r="AF204" s="9">
        <v>10</v>
      </c>
      <c r="AG204" s="9" t="s">
        <v>2563</v>
      </c>
      <c r="AH204" s="9">
        <v>3676</v>
      </c>
      <c r="AO204" s="9" t="s">
        <v>2577</v>
      </c>
      <c r="AP204" s="11">
        <v>46267</v>
      </c>
      <c r="AQ204" s="9" t="s">
        <v>2564</v>
      </c>
      <c r="AR204" s="9">
        <v>4</v>
      </c>
      <c r="AS204" s="9" t="s">
        <v>2565</v>
      </c>
      <c r="AU204" s="9" t="s">
        <v>2566</v>
      </c>
      <c r="AV204" s="9" t="s">
        <v>124</v>
      </c>
      <c r="AX204" s="9">
        <v>2610024</v>
      </c>
      <c r="AZ204" s="9">
        <v>306</v>
      </c>
      <c r="BA204" s="9">
        <v>455786</v>
      </c>
      <c r="BB204" s="11">
        <v>46280</v>
      </c>
      <c r="BC204" s="9">
        <v>1680</v>
      </c>
    </row>
    <row r="205" spans="1:56" x14ac:dyDescent="0.25">
      <c r="A205" s="9" t="s">
        <v>2644</v>
      </c>
      <c r="B205" s="9">
        <v>947</v>
      </c>
      <c r="C205" s="9" t="s">
        <v>2645</v>
      </c>
      <c r="D205" s="9">
        <v>1687</v>
      </c>
      <c r="E205" s="9">
        <v>2026</v>
      </c>
      <c r="F205" s="9" t="s">
        <v>799</v>
      </c>
      <c r="G205" s="9">
        <v>62063000</v>
      </c>
      <c r="H205" s="9">
        <v>2000</v>
      </c>
      <c r="I205" s="9">
        <v>1</v>
      </c>
      <c r="J205" s="9" t="s">
        <v>2558</v>
      </c>
      <c r="L205" s="10">
        <v>3056.45</v>
      </c>
      <c r="M205" s="10">
        <v>3056.45</v>
      </c>
      <c r="N205" s="9">
        <v>0</v>
      </c>
      <c r="O205" s="9">
        <v>0</v>
      </c>
      <c r="P205" s="9">
        <v>0</v>
      </c>
      <c r="U205" s="9">
        <v>8</v>
      </c>
      <c r="W205" s="9">
        <v>260326210686920</v>
      </c>
      <c r="X205" s="9" t="s">
        <v>2559</v>
      </c>
      <c r="Y205" s="9" t="s">
        <v>2560</v>
      </c>
      <c r="Z205" s="9" t="s">
        <v>2791</v>
      </c>
      <c r="AA205" s="9" t="s">
        <v>2792</v>
      </c>
      <c r="AF205" s="9">
        <v>10</v>
      </c>
      <c r="AG205" s="9" t="s">
        <v>2563</v>
      </c>
      <c r="AH205" s="9">
        <v>587</v>
      </c>
      <c r="AP205" s="11">
        <v>46273</v>
      </c>
      <c r="AQ205" s="9" t="s">
        <v>2564</v>
      </c>
      <c r="AR205" s="9">
        <v>4</v>
      </c>
      <c r="AU205" s="9" t="s">
        <v>2566</v>
      </c>
      <c r="BC205" s="9">
        <v>1680</v>
      </c>
    </row>
    <row r="206" spans="1:56" ht="45" x14ac:dyDescent="0.25">
      <c r="A206" s="9" t="s">
        <v>2644</v>
      </c>
      <c r="B206" s="9">
        <v>947</v>
      </c>
      <c r="C206" s="9" t="s">
        <v>2645</v>
      </c>
      <c r="D206" s="9">
        <v>1689</v>
      </c>
      <c r="E206" s="9">
        <v>2026</v>
      </c>
      <c r="F206" s="9" t="s">
        <v>780</v>
      </c>
      <c r="G206" s="9">
        <v>62052000</v>
      </c>
      <c r="H206" s="9">
        <v>2000</v>
      </c>
      <c r="I206" s="9">
        <v>1</v>
      </c>
      <c r="J206" s="9" t="s">
        <v>2558</v>
      </c>
      <c r="L206" s="10">
        <v>5977.49</v>
      </c>
      <c r="M206" s="10">
        <v>5977.49</v>
      </c>
      <c r="N206" s="9">
        <v>2989</v>
      </c>
      <c r="O206" s="9">
        <v>0</v>
      </c>
      <c r="P206" s="9">
        <v>0</v>
      </c>
      <c r="R206" s="10">
        <v>5977.49</v>
      </c>
      <c r="U206" s="9">
        <v>1</v>
      </c>
      <c r="W206" s="9">
        <v>260326210686920</v>
      </c>
      <c r="X206" s="9" t="s">
        <v>2559</v>
      </c>
      <c r="Y206" s="9" t="s">
        <v>2560</v>
      </c>
      <c r="Z206" s="9" t="s">
        <v>2747</v>
      </c>
      <c r="AA206" s="12" t="s">
        <v>2704</v>
      </c>
      <c r="AF206" s="9">
        <v>10</v>
      </c>
      <c r="AG206" s="9" t="s">
        <v>2563</v>
      </c>
      <c r="AH206" s="9">
        <v>1682</v>
      </c>
      <c r="AO206" s="9" t="s">
        <v>2577</v>
      </c>
      <c r="AP206" s="11">
        <v>46274</v>
      </c>
      <c r="AQ206" s="9" t="s">
        <v>2564</v>
      </c>
      <c r="AR206" s="9">
        <v>9</v>
      </c>
      <c r="AU206" s="9" t="s">
        <v>2566</v>
      </c>
      <c r="AZ206" s="9">
        <v>306</v>
      </c>
      <c r="BA206" s="9">
        <v>440605</v>
      </c>
      <c r="BB206" s="11">
        <v>46277</v>
      </c>
      <c r="BC206" s="9">
        <v>1680</v>
      </c>
    </row>
    <row r="207" spans="1:56" x14ac:dyDescent="0.25">
      <c r="A207" s="9" t="s">
        <v>2644</v>
      </c>
      <c r="B207" s="9">
        <v>947</v>
      </c>
      <c r="C207" s="9" t="s">
        <v>2645</v>
      </c>
      <c r="D207" s="9">
        <v>1686</v>
      </c>
      <c r="E207" s="9">
        <v>2026</v>
      </c>
      <c r="F207" s="9" t="s">
        <v>2887</v>
      </c>
      <c r="G207" s="9">
        <v>62052000</v>
      </c>
      <c r="H207" s="9">
        <v>2016</v>
      </c>
      <c r="I207" s="9">
        <v>1</v>
      </c>
      <c r="J207" s="9" t="s">
        <v>2558</v>
      </c>
      <c r="L207" s="10">
        <v>1245.17</v>
      </c>
      <c r="M207" s="10">
        <v>1245.17</v>
      </c>
      <c r="N207" s="9">
        <v>0</v>
      </c>
      <c r="O207" s="9">
        <v>0</v>
      </c>
      <c r="P207" s="9">
        <v>0</v>
      </c>
      <c r="R207" s="10">
        <v>1245.17</v>
      </c>
      <c r="S207" s="11">
        <v>46288</v>
      </c>
      <c r="T207" s="10">
        <v>1219.71</v>
      </c>
      <c r="U207" s="9">
        <v>8</v>
      </c>
      <c r="V207" s="11">
        <v>46276</v>
      </c>
      <c r="W207" s="9">
        <v>260326210686920</v>
      </c>
      <c r="X207" s="9" t="s">
        <v>2559</v>
      </c>
      <c r="Y207" s="9" t="s">
        <v>2560</v>
      </c>
      <c r="Z207" s="9" t="s">
        <v>2706</v>
      </c>
      <c r="AA207" s="9" t="s">
        <v>2707</v>
      </c>
      <c r="AB207" s="9" t="s">
        <v>2570</v>
      </c>
      <c r="AC207" s="11">
        <v>46281</v>
      </c>
      <c r="AD207" s="9">
        <v>947</v>
      </c>
      <c r="AE207" s="9" t="s">
        <v>2570</v>
      </c>
      <c r="AF207" s="9">
        <v>10</v>
      </c>
      <c r="AG207" s="9" t="s">
        <v>2563</v>
      </c>
      <c r="AH207" s="9">
        <v>293</v>
      </c>
      <c r="AJ207" s="9" t="s">
        <v>2888</v>
      </c>
      <c r="AK207" s="11">
        <v>46285</v>
      </c>
      <c r="AL207" s="9">
        <v>2610191</v>
      </c>
      <c r="AM207" s="11">
        <v>46273</v>
      </c>
      <c r="AP207" s="11">
        <v>46273</v>
      </c>
      <c r="AQ207" s="9" t="s">
        <v>2564</v>
      </c>
      <c r="AR207" s="9">
        <v>4</v>
      </c>
      <c r="AT207" s="9">
        <v>3</v>
      </c>
      <c r="AU207" s="9" t="s">
        <v>2566</v>
      </c>
      <c r="AW207" s="9" t="s">
        <v>2889</v>
      </c>
      <c r="AY207" s="11">
        <v>46274</v>
      </c>
      <c r="AZ207" s="9">
        <v>101</v>
      </c>
      <c r="BA207" s="9">
        <v>932899</v>
      </c>
      <c r="BB207" s="11">
        <v>46274</v>
      </c>
      <c r="BC207" s="9">
        <v>1680</v>
      </c>
      <c r="BD207" s="9">
        <v>1</v>
      </c>
    </row>
    <row r="208" spans="1:56" ht="45" x14ac:dyDescent="0.25">
      <c r="A208" s="9" t="s">
        <v>2644</v>
      </c>
      <c r="B208" s="9">
        <v>947</v>
      </c>
      <c r="C208" s="9" t="s">
        <v>2645</v>
      </c>
      <c r="D208" s="9">
        <v>1499</v>
      </c>
      <c r="E208" s="9">
        <v>2026</v>
      </c>
      <c r="F208" s="9" t="s">
        <v>2890</v>
      </c>
      <c r="G208" s="9">
        <v>62082100</v>
      </c>
      <c r="H208" s="9">
        <v>2000</v>
      </c>
      <c r="I208" s="9">
        <v>1</v>
      </c>
      <c r="J208" s="9" t="s">
        <v>2558</v>
      </c>
      <c r="L208" s="10">
        <v>6452.95</v>
      </c>
      <c r="M208" s="10">
        <v>6452.95</v>
      </c>
      <c r="N208" s="9">
        <v>0</v>
      </c>
      <c r="O208" s="9">
        <v>0</v>
      </c>
      <c r="P208" s="9">
        <v>0</v>
      </c>
      <c r="R208" s="10">
        <v>6452.95</v>
      </c>
      <c r="U208" s="9">
        <v>1</v>
      </c>
      <c r="V208" s="11">
        <v>46263</v>
      </c>
      <c r="W208" s="9">
        <v>260326210686920</v>
      </c>
      <c r="X208" s="9" t="s">
        <v>2559</v>
      </c>
      <c r="Y208" s="9" t="s">
        <v>2560</v>
      </c>
      <c r="Z208" s="9" t="s">
        <v>2791</v>
      </c>
      <c r="AA208" s="12" t="s">
        <v>2832</v>
      </c>
      <c r="AB208" s="9" t="s">
        <v>2570</v>
      </c>
      <c r="AC208" s="11">
        <v>46287</v>
      </c>
      <c r="AD208" s="9">
        <v>947</v>
      </c>
      <c r="AF208" s="9">
        <v>10</v>
      </c>
      <c r="AG208" s="9" t="s">
        <v>2563</v>
      </c>
      <c r="AH208" s="9">
        <v>2506</v>
      </c>
      <c r="AL208" s="9">
        <v>2609515</v>
      </c>
      <c r="AM208" s="11">
        <v>46254</v>
      </c>
      <c r="AO208" s="9" t="s">
        <v>2577</v>
      </c>
      <c r="AP208" s="11">
        <v>46254</v>
      </c>
      <c r="AQ208" s="9" t="s">
        <v>2564</v>
      </c>
      <c r="AR208" s="9">
        <v>4</v>
      </c>
      <c r="AS208" s="9" t="s">
        <v>2793</v>
      </c>
      <c r="AT208" s="9">
        <v>1</v>
      </c>
      <c r="AU208" s="9" t="s">
        <v>2566</v>
      </c>
      <c r="AW208" s="9" t="s">
        <v>2891</v>
      </c>
      <c r="AY208" s="11">
        <v>46263</v>
      </c>
      <c r="AZ208" s="9">
        <v>306</v>
      </c>
      <c r="BA208" s="9">
        <v>338177</v>
      </c>
      <c r="BB208" s="11">
        <v>46254</v>
      </c>
      <c r="BC208" s="9">
        <v>1680</v>
      </c>
    </row>
    <row r="209" spans="1:56" x14ac:dyDescent="0.25">
      <c r="A209" s="9" t="s">
        <v>2644</v>
      </c>
      <c r="B209" s="9">
        <v>947</v>
      </c>
      <c r="C209" s="9" t="s">
        <v>2645</v>
      </c>
      <c r="D209" s="9">
        <v>1641</v>
      </c>
      <c r="E209" s="9">
        <v>2026</v>
      </c>
      <c r="F209" s="9" t="s">
        <v>249</v>
      </c>
      <c r="G209" s="9">
        <v>62071100</v>
      </c>
      <c r="H209" s="9">
        <v>2016</v>
      </c>
      <c r="I209" s="9">
        <v>1</v>
      </c>
      <c r="J209" s="9" t="s">
        <v>2558</v>
      </c>
      <c r="K209" s="9">
        <v>0</v>
      </c>
      <c r="L209" s="10">
        <v>11125.75</v>
      </c>
      <c r="M209" s="10">
        <v>11125.75</v>
      </c>
      <c r="N209" s="9">
        <v>0</v>
      </c>
      <c r="O209" s="9">
        <v>0</v>
      </c>
      <c r="P209" s="9">
        <v>0</v>
      </c>
      <c r="R209" s="10">
        <v>11125.75</v>
      </c>
      <c r="U209" s="9">
        <v>1</v>
      </c>
      <c r="W209" s="9">
        <v>260326210686920</v>
      </c>
      <c r="X209" s="9" t="s">
        <v>2559</v>
      </c>
      <c r="Y209" s="9" t="s">
        <v>2560</v>
      </c>
      <c r="Z209" s="9" t="s">
        <v>2652</v>
      </c>
      <c r="AA209" s="9" t="s">
        <v>2653</v>
      </c>
      <c r="AF209" s="9">
        <v>10</v>
      </c>
      <c r="AG209" s="9" t="s">
        <v>2563</v>
      </c>
      <c r="AH209" s="9">
        <v>15000</v>
      </c>
      <c r="AP209" s="11">
        <v>46267</v>
      </c>
      <c r="AQ209" s="9" t="s">
        <v>2564</v>
      </c>
      <c r="AR209" s="9">
        <v>4</v>
      </c>
      <c r="AS209" s="9" t="s">
        <v>2565</v>
      </c>
      <c r="AU209" s="9" t="s">
        <v>2566</v>
      </c>
      <c r="AV209" s="9" t="s">
        <v>183</v>
      </c>
      <c r="AX209" s="9">
        <v>2610011</v>
      </c>
      <c r="AZ209" s="9">
        <v>306</v>
      </c>
      <c r="BA209" s="9">
        <v>416595</v>
      </c>
      <c r="BB209" s="11">
        <v>46272</v>
      </c>
      <c r="BC209" s="9">
        <v>1680</v>
      </c>
    </row>
    <row r="210" spans="1:56" x14ac:dyDescent="0.25">
      <c r="A210" s="9" t="s">
        <v>2644</v>
      </c>
      <c r="B210" s="9">
        <v>947</v>
      </c>
      <c r="C210" s="9" t="s">
        <v>2645</v>
      </c>
      <c r="D210" s="9">
        <v>1642</v>
      </c>
      <c r="E210" s="9">
        <v>2026</v>
      </c>
      <c r="F210" s="9" t="s">
        <v>255</v>
      </c>
      <c r="G210" s="9">
        <v>62071100</v>
      </c>
      <c r="H210" s="9">
        <v>2020</v>
      </c>
      <c r="I210" s="9">
        <v>1</v>
      </c>
      <c r="J210" s="9" t="s">
        <v>2558</v>
      </c>
      <c r="K210" s="9">
        <v>0</v>
      </c>
      <c r="L210" s="10">
        <v>2675</v>
      </c>
      <c r="M210" s="10">
        <v>2675</v>
      </c>
      <c r="N210" s="9">
        <v>0</v>
      </c>
      <c r="O210" s="9">
        <v>0</v>
      </c>
      <c r="P210" s="9">
        <v>0</v>
      </c>
      <c r="R210" s="10">
        <v>2675</v>
      </c>
      <c r="S210" s="11">
        <v>46289</v>
      </c>
      <c r="T210" s="10">
        <v>2652.53</v>
      </c>
      <c r="U210" s="9">
        <v>1</v>
      </c>
      <c r="V210" s="11">
        <v>46276</v>
      </c>
      <c r="W210" s="9">
        <v>260326210686920</v>
      </c>
      <c r="X210" s="9" t="s">
        <v>2559</v>
      </c>
      <c r="Y210" s="9" t="s">
        <v>2560</v>
      </c>
      <c r="Z210" s="9" t="s">
        <v>2652</v>
      </c>
      <c r="AA210" s="9" t="s">
        <v>2653</v>
      </c>
      <c r="AB210" s="9" t="s">
        <v>2570</v>
      </c>
      <c r="AC210" s="11">
        <v>46288</v>
      </c>
      <c r="AD210" s="9">
        <v>947</v>
      </c>
      <c r="AE210" s="9" t="s">
        <v>2570</v>
      </c>
      <c r="AF210" s="9">
        <v>10</v>
      </c>
      <c r="AG210" s="9" t="s">
        <v>2563</v>
      </c>
      <c r="AH210" s="9">
        <v>3450</v>
      </c>
      <c r="AJ210" s="9">
        <v>585</v>
      </c>
      <c r="AK210" s="11">
        <v>46288</v>
      </c>
      <c r="AL210" s="9">
        <v>2610012</v>
      </c>
      <c r="AM210" s="11">
        <v>46267</v>
      </c>
      <c r="AO210" s="9" t="s">
        <v>2577</v>
      </c>
      <c r="AP210" s="11">
        <v>46267</v>
      </c>
      <c r="AQ210" s="9" t="s">
        <v>2564</v>
      </c>
      <c r="AR210" s="9">
        <v>4</v>
      </c>
      <c r="AS210" s="9" t="s">
        <v>2565</v>
      </c>
      <c r="AT210" s="9">
        <v>6</v>
      </c>
      <c r="AU210" s="9" t="s">
        <v>2566</v>
      </c>
      <c r="AV210" s="9" t="s">
        <v>252</v>
      </c>
      <c r="AW210" s="9" t="s">
        <v>2892</v>
      </c>
      <c r="AX210" s="9">
        <v>2610012</v>
      </c>
      <c r="AY210" s="11">
        <v>46276</v>
      </c>
      <c r="AZ210" s="9">
        <v>306</v>
      </c>
      <c r="BA210" s="9">
        <v>416631</v>
      </c>
      <c r="BB210" s="11">
        <v>46272</v>
      </c>
      <c r="BC210" s="9">
        <v>1680</v>
      </c>
      <c r="BD210" s="9">
        <v>1</v>
      </c>
    </row>
    <row r="211" spans="1:56" x14ac:dyDescent="0.25">
      <c r="A211" s="9" t="s">
        <v>2644</v>
      </c>
      <c r="B211" s="9">
        <v>947</v>
      </c>
      <c r="C211" s="9" t="s">
        <v>2645</v>
      </c>
      <c r="D211" s="9">
        <v>1643</v>
      </c>
      <c r="E211" s="9">
        <v>2026</v>
      </c>
      <c r="F211" s="9" t="s">
        <v>259</v>
      </c>
      <c r="G211" s="9">
        <v>62071100</v>
      </c>
      <c r="H211" s="9">
        <v>2000</v>
      </c>
      <c r="I211" s="9">
        <v>1</v>
      </c>
      <c r="J211" s="9" t="s">
        <v>2558</v>
      </c>
      <c r="K211" s="9">
        <v>0</v>
      </c>
      <c r="L211" s="10">
        <v>19826.09</v>
      </c>
      <c r="M211" s="10">
        <v>19826.09</v>
      </c>
      <c r="N211" s="9">
        <v>0</v>
      </c>
      <c r="O211" s="9">
        <v>0</v>
      </c>
      <c r="P211" s="9">
        <v>0</v>
      </c>
      <c r="R211" s="10">
        <v>19826.09</v>
      </c>
      <c r="S211" s="11">
        <v>46289</v>
      </c>
      <c r="T211" s="10">
        <v>19659.52</v>
      </c>
      <c r="U211" s="9">
        <v>1</v>
      </c>
      <c r="V211" s="11">
        <v>46276</v>
      </c>
      <c r="W211" s="9">
        <v>260326210686920</v>
      </c>
      <c r="X211" s="9" t="s">
        <v>2559</v>
      </c>
      <c r="Y211" s="9" t="s">
        <v>2560</v>
      </c>
      <c r="Z211" s="9" t="s">
        <v>2652</v>
      </c>
      <c r="AA211" s="9" t="s">
        <v>2653</v>
      </c>
      <c r="AB211" s="9" t="s">
        <v>2570</v>
      </c>
      <c r="AC211" s="11">
        <v>46288</v>
      </c>
      <c r="AD211" s="9">
        <v>947</v>
      </c>
      <c r="AE211" s="9" t="s">
        <v>2570</v>
      </c>
      <c r="AF211" s="9">
        <v>10</v>
      </c>
      <c r="AG211" s="9" t="s">
        <v>2563</v>
      </c>
      <c r="AH211" s="9">
        <v>26730</v>
      </c>
      <c r="AJ211" s="9">
        <v>585</v>
      </c>
      <c r="AK211" s="11">
        <v>46288</v>
      </c>
      <c r="AL211" s="9">
        <v>2610013</v>
      </c>
      <c r="AM211" s="11">
        <v>46267</v>
      </c>
      <c r="AO211" s="9" t="s">
        <v>2577</v>
      </c>
      <c r="AP211" s="11">
        <v>46267</v>
      </c>
      <c r="AQ211" s="9" t="s">
        <v>2564</v>
      </c>
      <c r="AR211" s="9">
        <v>4</v>
      </c>
      <c r="AS211" s="9" t="s">
        <v>2565</v>
      </c>
      <c r="AT211" s="9">
        <v>6</v>
      </c>
      <c r="AU211" s="9" t="s">
        <v>2566</v>
      </c>
      <c r="AV211" s="9" t="s">
        <v>258</v>
      </c>
      <c r="AW211" s="9" t="s">
        <v>2893</v>
      </c>
      <c r="AX211" s="9">
        <v>2610013</v>
      </c>
      <c r="AY211" s="11">
        <v>46276</v>
      </c>
      <c r="AZ211" s="9">
        <v>306</v>
      </c>
      <c r="BA211" s="9">
        <v>416614</v>
      </c>
      <c r="BB211" s="11">
        <v>46272</v>
      </c>
      <c r="BC211" s="9">
        <v>1680</v>
      </c>
      <c r="BD211" s="9">
        <v>1</v>
      </c>
    </row>
    <row r="212" spans="1:56" x14ac:dyDescent="0.25">
      <c r="A212" s="9" t="s">
        <v>2644</v>
      </c>
      <c r="B212" s="9">
        <v>947</v>
      </c>
      <c r="C212" s="9" t="s">
        <v>2645</v>
      </c>
      <c r="D212" s="9">
        <v>1644</v>
      </c>
      <c r="E212" s="9">
        <v>2026</v>
      </c>
      <c r="F212" s="9" t="s">
        <v>263</v>
      </c>
      <c r="G212" s="9">
        <v>62071100</v>
      </c>
      <c r="H212" s="9">
        <v>2020</v>
      </c>
      <c r="I212" s="9">
        <v>1</v>
      </c>
      <c r="J212" s="9" t="s">
        <v>2558</v>
      </c>
      <c r="K212" s="9">
        <v>0</v>
      </c>
      <c r="L212" s="10">
        <v>3026.2</v>
      </c>
      <c r="M212" s="10">
        <v>3026.2</v>
      </c>
      <c r="N212" s="9">
        <v>0</v>
      </c>
      <c r="O212" s="9">
        <v>0</v>
      </c>
      <c r="P212" s="9">
        <v>0</v>
      </c>
      <c r="R212" s="10">
        <v>3026.2</v>
      </c>
      <c r="U212" s="9">
        <v>1</v>
      </c>
      <c r="W212" s="9">
        <v>260326210686920</v>
      </c>
      <c r="X212" s="9" t="s">
        <v>2559</v>
      </c>
      <c r="Y212" s="9" t="s">
        <v>2560</v>
      </c>
      <c r="Z212" s="9" t="s">
        <v>2652</v>
      </c>
      <c r="AA212" s="9" t="s">
        <v>2653</v>
      </c>
      <c r="AF212" s="9">
        <v>10</v>
      </c>
      <c r="AG212" s="9" t="s">
        <v>2563</v>
      </c>
      <c r="AH212" s="9">
        <v>4080</v>
      </c>
      <c r="AP212" s="11">
        <v>46267</v>
      </c>
      <c r="AQ212" s="9" t="s">
        <v>2564</v>
      </c>
      <c r="AR212" s="9">
        <v>4</v>
      </c>
      <c r="AS212" s="9" t="s">
        <v>2565</v>
      </c>
      <c r="AU212" s="9" t="s">
        <v>2566</v>
      </c>
      <c r="AV212" s="9" t="s">
        <v>262</v>
      </c>
      <c r="AX212" s="9">
        <v>2610014</v>
      </c>
      <c r="AZ212" s="9">
        <v>306</v>
      </c>
      <c r="BA212" s="9">
        <v>416642</v>
      </c>
      <c r="BB212" s="11">
        <v>46272</v>
      </c>
      <c r="BC212" s="9">
        <v>1680</v>
      </c>
    </row>
    <row r="213" spans="1:56" x14ac:dyDescent="0.25">
      <c r="A213" s="9" t="s">
        <v>2644</v>
      </c>
      <c r="B213" s="9">
        <v>947</v>
      </c>
      <c r="C213" s="9" t="s">
        <v>2645</v>
      </c>
      <c r="D213" s="9">
        <v>1645</v>
      </c>
      <c r="E213" s="9">
        <v>2026</v>
      </c>
      <c r="F213" s="9" t="s">
        <v>266</v>
      </c>
      <c r="G213" s="9">
        <v>62071100</v>
      </c>
      <c r="H213" s="9">
        <v>2020</v>
      </c>
      <c r="I213" s="9">
        <v>1</v>
      </c>
      <c r="J213" s="9" t="s">
        <v>2558</v>
      </c>
      <c r="K213" s="9">
        <v>0</v>
      </c>
      <c r="L213" s="10">
        <v>8900.6</v>
      </c>
      <c r="M213" s="10">
        <v>8900.6</v>
      </c>
      <c r="N213" s="9">
        <v>0</v>
      </c>
      <c r="O213" s="9">
        <v>0</v>
      </c>
      <c r="P213" s="9">
        <v>0</v>
      </c>
      <c r="R213" s="10">
        <v>8900.6</v>
      </c>
      <c r="S213" s="11">
        <v>46289</v>
      </c>
      <c r="T213" s="10">
        <v>8825.82</v>
      </c>
      <c r="U213" s="9">
        <v>1</v>
      </c>
      <c r="V213" s="11">
        <v>46280</v>
      </c>
      <c r="W213" s="9">
        <v>260326210686920</v>
      </c>
      <c r="X213" s="9" t="s">
        <v>2559</v>
      </c>
      <c r="Y213" s="9" t="s">
        <v>2560</v>
      </c>
      <c r="Z213" s="9" t="s">
        <v>2652</v>
      </c>
      <c r="AA213" s="9" t="s">
        <v>2653</v>
      </c>
      <c r="AB213" s="9" t="s">
        <v>2570</v>
      </c>
      <c r="AC213" s="11">
        <v>46288</v>
      </c>
      <c r="AD213" s="9">
        <v>947</v>
      </c>
      <c r="AE213" s="9" t="s">
        <v>2570</v>
      </c>
      <c r="AF213" s="9">
        <v>10</v>
      </c>
      <c r="AG213" s="9" t="s">
        <v>2563</v>
      </c>
      <c r="AH213" s="9">
        <v>12000</v>
      </c>
      <c r="AJ213" s="9">
        <v>585</v>
      </c>
      <c r="AK213" s="11">
        <v>46288</v>
      </c>
      <c r="AL213" s="9">
        <v>2610015</v>
      </c>
      <c r="AM213" s="11">
        <v>46267</v>
      </c>
      <c r="AO213" s="9" t="s">
        <v>2577</v>
      </c>
      <c r="AP213" s="11">
        <v>46267</v>
      </c>
      <c r="AQ213" s="9" t="s">
        <v>2564</v>
      </c>
      <c r="AR213" s="9">
        <v>4</v>
      </c>
      <c r="AS213" s="9" t="s">
        <v>2565</v>
      </c>
      <c r="AT213" s="9">
        <v>6</v>
      </c>
      <c r="AU213" s="9" t="s">
        <v>2566</v>
      </c>
      <c r="AV213" s="9" t="s">
        <v>252</v>
      </c>
      <c r="AW213" s="9" t="s">
        <v>2894</v>
      </c>
      <c r="AX213" s="9">
        <v>2610015</v>
      </c>
      <c r="AY213" s="11">
        <v>46280</v>
      </c>
      <c r="AZ213" s="9">
        <v>306</v>
      </c>
      <c r="BA213" s="9">
        <v>416622</v>
      </c>
      <c r="BB213" s="11">
        <v>46272</v>
      </c>
      <c r="BC213" s="9">
        <v>1680</v>
      </c>
      <c r="BD213" s="9">
        <v>1</v>
      </c>
    </row>
    <row r="214" spans="1:56" x14ac:dyDescent="0.25">
      <c r="A214" s="9" t="s">
        <v>2644</v>
      </c>
      <c r="B214" s="9">
        <v>947</v>
      </c>
      <c r="C214" s="9" t="s">
        <v>2645</v>
      </c>
      <c r="D214" s="9">
        <v>1646</v>
      </c>
      <c r="E214" s="9">
        <v>2026</v>
      </c>
      <c r="F214" s="9" t="s">
        <v>270</v>
      </c>
      <c r="G214" s="9">
        <v>62071100</v>
      </c>
      <c r="H214" s="9">
        <v>0</v>
      </c>
      <c r="I214" s="9">
        <v>1</v>
      </c>
      <c r="J214" s="9" t="s">
        <v>2558</v>
      </c>
      <c r="K214" s="9">
        <v>0</v>
      </c>
      <c r="L214" s="10">
        <v>1134.83</v>
      </c>
      <c r="M214" s="10">
        <v>1134.83</v>
      </c>
      <c r="N214" s="9">
        <v>0</v>
      </c>
      <c r="O214" s="9">
        <v>0</v>
      </c>
      <c r="P214" s="9">
        <v>0</v>
      </c>
      <c r="R214" s="10">
        <v>1134.83</v>
      </c>
      <c r="S214" s="11">
        <v>46289</v>
      </c>
      <c r="T214" s="10">
        <v>1125.3</v>
      </c>
      <c r="U214" s="9">
        <v>1</v>
      </c>
      <c r="V214" s="11">
        <v>46276</v>
      </c>
      <c r="W214" s="9">
        <v>260326210686920</v>
      </c>
      <c r="X214" s="9" t="s">
        <v>2559</v>
      </c>
      <c r="Y214" s="9" t="s">
        <v>2560</v>
      </c>
      <c r="Z214" s="9" t="s">
        <v>2652</v>
      </c>
      <c r="AA214" s="9" t="s">
        <v>2653</v>
      </c>
      <c r="AB214" s="9" t="s">
        <v>2570</v>
      </c>
      <c r="AC214" s="11">
        <v>46288</v>
      </c>
      <c r="AD214" s="9">
        <v>947</v>
      </c>
      <c r="AE214" s="9" t="s">
        <v>2570</v>
      </c>
      <c r="AF214" s="9">
        <v>10</v>
      </c>
      <c r="AG214" s="9" t="s">
        <v>2563</v>
      </c>
      <c r="AH214" s="9">
        <v>1530</v>
      </c>
      <c r="AJ214" s="9">
        <v>585</v>
      </c>
      <c r="AK214" s="11">
        <v>46288</v>
      </c>
      <c r="AL214" s="9">
        <v>2610016</v>
      </c>
      <c r="AM214" s="11">
        <v>46267</v>
      </c>
      <c r="AP214" s="11">
        <v>46267</v>
      </c>
      <c r="AQ214" s="9" t="s">
        <v>2564</v>
      </c>
      <c r="AR214" s="9">
        <v>4</v>
      </c>
      <c r="AS214" s="9" t="s">
        <v>2565</v>
      </c>
      <c r="AT214" s="9">
        <v>6</v>
      </c>
      <c r="AU214" s="9" t="s">
        <v>2566</v>
      </c>
      <c r="AV214" s="9" t="s">
        <v>269</v>
      </c>
      <c r="AW214" s="9" t="s">
        <v>2895</v>
      </c>
      <c r="AX214" s="9">
        <v>2610016</v>
      </c>
      <c r="AY214" s="11">
        <v>46276</v>
      </c>
      <c r="AZ214" s="9">
        <v>306</v>
      </c>
      <c r="BA214" s="9">
        <v>417278</v>
      </c>
      <c r="BB214" s="11">
        <v>46272</v>
      </c>
      <c r="BC214" s="9">
        <v>1680</v>
      </c>
      <c r="BD214" s="9">
        <v>1</v>
      </c>
    </row>
    <row r="215" spans="1:56" x14ac:dyDescent="0.25">
      <c r="A215" s="9" t="s">
        <v>2644</v>
      </c>
      <c r="B215" s="9">
        <v>947</v>
      </c>
      <c r="C215" s="9" t="s">
        <v>2645</v>
      </c>
      <c r="D215" s="9">
        <v>1609</v>
      </c>
      <c r="E215" s="9">
        <v>2026</v>
      </c>
      <c r="F215" s="9" t="s">
        <v>2896</v>
      </c>
      <c r="G215" s="9">
        <v>62052000</v>
      </c>
      <c r="H215" s="9">
        <v>0</v>
      </c>
      <c r="I215" s="9">
        <v>1</v>
      </c>
      <c r="J215" s="9" t="s">
        <v>2558</v>
      </c>
      <c r="K215" s="9">
        <v>496.8</v>
      </c>
      <c r="L215" s="10">
        <v>3819.15</v>
      </c>
      <c r="M215" s="10">
        <v>3819.15</v>
      </c>
      <c r="N215" s="9">
        <v>0</v>
      </c>
      <c r="O215" s="9">
        <v>0</v>
      </c>
      <c r="P215" s="9">
        <v>0</v>
      </c>
      <c r="Q215" s="9">
        <v>496.8</v>
      </c>
      <c r="R215" s="9">
        <v>496.8</v>
      </c>
      <c r="U215" s="9">
        <v>1</v>
      </c>
      <c r="W215" s="9">
        <v>260326210686920</v>
      </c>
      <c r="X215" s="9" t="s">
        <v>2559</v>
      </c>
      <c r="Y215" s="9" t="s">
        <v>2560</v>
      </c>
      <c r="Z215" s="9" t="s">
        <v>2762</v>
      </c>
      <c r="AA215" s="9" t="s">
        <v>2763</v>
      </c>
      <c r="AF215" s="9">
        <v>10</v>
      </c>
      <c r="AG215" s="9" t="s">
        <v>2563</v>
      </c>
      <c r="AH215" s="9">
        <v>621</v>
      </c>
      <c r="AO215" s="9" t="s">
        <v>2577</v>
      </c>
      <c r="AP215" s="11">
        <v>46264</v>
      </c>
      <c r="AQ215" s="9" t="s">
        <v>2564</v>
      </c>
      <c r="AR215" s="9">
        <v>4</v>
      </c>
      <c r="AS215" s="9" t="s">
        <v>2565</v>
      </c>
      <c r="AU215" s="9" t="s">
        <v>2566</v>
      </c>
      <c r="AV215" s="9" t="s">
        <v>269</v>
      </c>
      <c r="AX215" s="9">
        <v>2609873</v>
      </c>
      <c r="AZ215" s="9">
        <v>306</v>
      </c>
      <c r="BA215" s="9">
        <v>393377</v>
      </c>
      <c r="BB215" s="11">
        <v>46266</v>
      </c>
      <c r="BC215" s="9">
        <v>1680</v>
      </c>
    </row>
    <row r="216" spans="1:56" x14ac:dyDescent="0.25">
      <c r="A216" s="9" t="s">
        <v>2644</v>
      </c>
      <c r="B216" s="9">
        <v>947</v>
      </c>
      <c r="C216" s="9" t="s">
        <v>2645</v>
      </c>
      <c r="D216" s="9">
        <v>1610</v>
      </c>
      <c r="E216" s="9">
        <v>2026</v>
      </c>
      <c r="F216" s="9" t="s">
        <v>2897</v>
      </c>
      <c r="G216" s="9">
        <v>62052000</v>
      </c>
      <c r="H216" s="9">
        <v>2000</v>
      </c>
      <c r="I216" s="9">
        <v>1</v>
      </c>
      <c r="J216" s="9" t="s">
        <v>2558</v>
      </c>
      <c r="K216" s="10">
        <v>2116</v>
      </c>
      <c r="L216" s="10">
        <v>16266.75</v>
      </c>
      <c r="M216" s="10">
        <v>16266.75</v>
      </c>
      <c r="N216" s="9">
        <v>0</v>
      </c>
      <c r="O216" s="9">
        <v>0</v>
      </c>
      <c r="P216" s="9">
        <v>0</v>
      </c>
      <c r="Q216" s="9">
        <v>2116</v>
      </c>
      <c r="R216" s="10">
        <v>2116</v>
      </c>
      <c r="U216" s="9">
        <v>1</v>
      </c>
      <c r="W216" s="9">
        <v>260326210686920</v>
      </c>
      <c r="X216" s="9" t="s">
        <v>2559</v>
      </c>
      <c r="Y216" s="9" t="s">
        <v>2560</v>
      </c>
      <c r="Z216" s="9" t="s">
        <v>2762</v>
      </c>
      <c r="AA216" s="9" t="s">
        <v>2763</v>
      </c>
      <c r="AF216" s="9">
        <v>10</v>
      </c>
      <c r="AG216" s="9" t="s">
        <v>2563</v>
      </c>
      <c r="AH216" s="9">
        <v>2645</v>
      </c>
      <c r="AO216" s="9" t="s">
        <v>2577</v>
      </c>
      <c r="AP216" s="11">
        <v>46264</v>
      </c>
      <c r="AQ216" s="9" t="s">
        <v>2564</v>
      </c>
      <c r="AR216" s="9">
        <v>4</v>
      </c>
      <c r="AS216" s="9" t="s">
        <v>2565</v>
      </c>
      <c r="AU216" s="9" t="s">
        <v>2566</v>
      </c>
      <c r="AV216" s="9" t="s">
        <v>258</v>
      </c>
      <c r="AX216" s="9">
        <v>2609950</v>
      </c>
      <c r="AZ216" s="9">
        <v>306</v>
      </c>
      <c r="BA216" s="9">
        <v>393358</v>
      </c>
      <c r="BB216" s="11">
        <v>46266</v>
      </c>
      <c r="BC216" s="9">
        <v>1680</v>
      </c>
    </row>
    <row r="217" spans="1:56" x14ac:dyDescent="0.25">
      <c r="A217" s="9" t="s">
        <v>2644</v>
      </c>
      <c r="B217" s="9">
        <v>947</v>
      </c>
      <c r="C217" s="9" t="s">
        <v>2645</v>
      </c>
      <c r="D217" s="9">
        <v>1611</v>
      </c>
      <c r="E217" s="9">
        <v>2026</v>
      </c>
      <c r="F217" s="9" t="s">
        <v>2898</v>
      </c>
      <c r="G217" s="9">
        <v>62052000</v>
      </c>
      <c r="H217" s="9">
        <v>2000</v>
      </c>
      <c r="I217" s="9">
        <v>1</v>
      </c>
      <c r="J217" s="9" t="s">
        <v>2558</v>
      </c>
      <c r="K217" s="9">
        <v>240</v>
      </c>
      <c r="L217" s="10">
        <v>1845</v>
      </c>
      <c r="M217" s="10">
        <v>1845</v>
      </c>
      <c r="N217" s="9">
        <v>0</v>
      </c>
      <c r="O217" s="9">
        <v>0</v>
      </c>
      <c r="P217" s="9">
        <v>0</v>
      </c>
      <c r="Q217" s="9">
        <v>240</v>
      </c>
      <c r="R217" s="9">
        <v>240</v>
      </c>
      <c r="U217" s="9">
        <v>1</v>
      </c>
      <c r="W217" s="9">
        <v>260326210686920</v>
      </c>
      <c r="X217" s="9" t="s">
        <v>2559</v>
      </c>
      <c r="Y217" s="9" t="s">
        <v>2560</v>
      </c>
      <c r="Z217" s="9" t="s">
        <v>2762</v>
      </c>
      <c r="AA217" s="9" t="s">
        <v>2763</v>
      </c>
      <c r="AF217" s="9">
        <v>10</v>
      </c>
      <c r="AG217" s="9" t="s">
        <v>2563</v>
      </c>
      <c r="AH217" s="9">
        <v>300</v>
      </c>
      <c r="AO217" s="9" t="s">
        <v>2577</v>
      </c>
      <c r="AP217" s="11">
        <v>46264</v>
      </c>
      <c r="AQ217" s="9" t="s">
        <v>2564</v>
      </c>
      <c r="AR217" s="9">
        <v>4</v>
      </c>
      <c r="AS217" s="9" t="s">
        <v>2565</v>
      </c>
      <c r="AU217" s="9" t="s">
        <v>2566</v>
      </c>
      <c r="AV217" s="9" t="s">
        <v>258</v>
      </c>
      <c r="AX217" s="9">
        <v>2609951</v>
      </c>
      <c r="AZ217" s="9">
        <v>306</v>
      </c>
      <c r="BA217" s="9">
        <v>393481</v>
      </c>
      <c r="BB217" s="11">
        <v>46266</v>
      </c>
      <c r="BC217" s="9">
        <v>1680</v>
      </c>
    </row>
    <row r="218" spans="1:56" x14ac:dyDescent="0.25">
      <c r="A218" s="9" t="s">
        <v>2644</v>
      </c>
      <c r="B218" s="9">
        <v>947</v>
      </c>
      <c r="C218" s="9" t="s">
        <v>2645</v>
      </c>
      <c r="D218" s="9">
        <v>1769</v>
      </c>
      <c r="E218" s="9">
        <v>2026</v>
      </c>
      <c r="F218" s="9" t="s">
        <v>1785</v>
      </c>
      <c r="G218" s="9">
        <v>61072100</v>
      </c>
      <c r="H218" s="9">
        <v>2109</v>
      </c>
      <c r="I218" s="9">
        <v>1</v>
      </c>
      <c r="J218" s="9" t="s">
        <v>2558</v>
      </c>
      <c r="L218" s="10">
        <v>10857.28</v>
      </c>
      <c r="M218" s="10">
        <v>10857.28</v>
      </c>
      <c r="N218" s="9">
        <v>0</v>
      </c>
      <c r="O218" s="9">
        <v>0</v>
      </c>
      <c r="P218" s="9">
        <v>0</v>
      </c>
      <c r="R218" s="10">
        <v>10857.28</v>
      </c>
      <c r="U218" s="9">
        <v>1</v>
      </c>
      <c r="V218" s="11">
        <v>46292</v>
      </c>
      <c r="W218" s="9">
        <v>260326210686920</v>
      </c>
      <c r="X218" s="9" t="s">
        <v>2559</v>
      </c>
      <c r="Y218" s="9" t="s">
        <v>2560</v>
      </c>
      <c r="Z218" s="9" t="s">
        <v>2756</v>
      </c>
      <c r="AA218" s="9" t="s">
        <v>2757</v>
      </c>
      <c r="AB218" s="9" t="s">
        <v>2570</v>
      </c>
      <c r="AC218" s="11">
        <v>46294</v>
      </c>
      <c r="AD218" s="9">
        <v>947</v>
      </c>
      <c r="AF218" s="9">
        <v>10</v>
      </c>
      <c r="AG218" s="9" t="s">
        <v>2563</v>
      </c>
      <c r="AH218" s="9">
        <v>8384</v>
      </c>
      <c r="AL218" s="9">
        <v>2610569</v>
      </c>
      <c r="AM218" s="11">
        <v>46282</v>
      </c>
      <c r="AO218" s="9" t="s">
        <v>2571</v>
      </c>
      <c r="AP218" s="11">
        <v>46284</v>
      </c>
      <c r="AQ218" s="9" t="s">
        <v>2564</v>
      </c>
      <c r="AR218" s="9">
        <v>4</v>
      </c>
      <c r="AS218" s="9" t="s">
        <v>2899</v>
      </c>
      <c r="AT218" s="9">
        <v>1</v>
      </c>
      <c r="AU218" s="9" t="s">
        <v>2566</v>
      </c>
      <c r="AW218" s="9" t="s">
        <v>2900</v>
      </c>
      <c r="AY218" s="11">
        <v>46292</v>
      </c>
      <c r="AZ218" s="9">
        <v>306</v>
      </c>
      <c r="BA218" s="9">
        <v>481758</v>
      </c>
      <c r="BB218" s="11">
        <v>46286</v>
      </c>
      <c r="BC218" s="9">
        <v>1680</v>
      </c>
    </row>
    <row r="219" spans="1:56" ht="30" x14ac:dyDescent="0.25">
      <c r="A219" s="9" t="s">
        <v>2644</v>
      </c>
      <c r="B219" s="9">
        <v>947</v>
      </c>
      <c r="C219" s="9" t="s">
        <v>2645</v>
      </c>
      <c r="D219" s="9">
        <v>1759</v>
      </c>
      <c r="E219" s="9">
        <v>2026</v>
      </c>
      <c r="F219" s="9" t="s">
        <v>2901</v>
      </c>
      <c r="G219" s="9">
        <v>62033200</v>
      </c>
      <c r="H219" s="9">
        <v>2004</v>
      </c>
      <c r="I219" s="9">
        <v>1</v>
      </c>
      <c r="J219" s="9" t="s">
        <v>2558</v>
      </c>
      <c r="L219" s="10">
        <v>39565.449999999997</v>
      </c>
      <c r="M219" s="10">
        <v>39565.449999999997</v>
      </c>
      <c r="N219" s="9">
        <v>0</v>
      </c>
      <c r="O219" s="9">
        <v>0</v>
      </c>
      <c r="P219" s="9">
        <v>0</v>
      </c>
      <c r="R219" s="10">
        <v>39565.449999999997</v>
      </c>
      <c r="U219" s="9">
        <v>1</v>
      </c>
      <c r="V219" s="11">
        <v>46290</v>
      </c>
      <c r="W219" s="9">
        <v>260326210686920</v>
      </c>
      <c r="X219" s="9" t="s">
        <v>2559</v>
      </c>
      <c r="Y219" s="9" t="s">
        <v>2560</v>
      </c>
      <c r="Z219" s="9" t="s">
        <v>2902</v>
      </c>
      <c r="AA219" s="12" t="s">
        <v>2903</v>
      </c>
      <c r="AB219" s="9" t="s">
        <v>2570</v>
      </c>
      <c r="AC219" s="11">
        <v>46295</v>
      </c>
      <c r="AD219" s="9">
        <v>947</v>
      </c>
      <c r="AF219" s="9">
        <v>10</v>
      </c>
      <c r="AG219" s="9" t="s">
        <v>2563</v>
      </c>
      <c r="AH219" s="9">
        <v>3493</v>
      </c>
      <c r="AL219" s="9">
        <v>2610410</v>
      </c>
      <c r="AM219" s="11">
        <v>46280</v>
      </c>
      <c r="AO219" s="9" t="s">
        <v>2577</v>
      </c>
      <c r="AP219" s="11">
        <v>46282</v>
      </c>
      <c r="AQ219" s="9" t="s">
        <v>2564</v>
      </c>
      <c r="AR219" s="9">
        <v>4</v>
      </c>
      <c r="AT219" s="9">
        <v>1</v>
      </c>
      <c r="AU219" s="9" t="s">
        <v>2566</v>
      </c>
      <c r="AW219" s="9" t="s">
        <v>2904</v>
      </c>
      <c r="AY219" s="11">
        <v>46290</v>
      </c>
      <c r="AZ219" s="9">
        <v>306</v>
      </c>
      <c r="BA219" s="9">
        <v>479756</v>
      </c>
      <c r="BB219" s="11">
        <v>46286</v>
      </c>
      <c r="BC219" s="9">
        <v>1680</v>
      </c>
    </row>
    <row r="220" spans="1:56" ht="30" x14ac:dyDescent="0.25">
      <c r="A220" s="9" t="s">
        <v>2644</v>
      </c>
      <c r="B220" s="9">
        <v>947</v>
      </c>
      <c r="C220" s="9" t="s">
        <v>2645</v>
      </c>
      <c r="D220" s="9">
        <v>1774</v>
      </c>
      <c r="E220" s="9">
        <v>2026</v>
      </c>
      <c r="F220" s="9" t="s">
        <v>1463</v>
      </c>
      <c r="G220" s="9">
        <v>62052000</v>
      </c>
      <c r="H220" s="9">
        <v>2008</v>
      </c>
      <c r="I220" s="9">
        <v>1</v>
      </c>
      <c r="J220" s="9" t="s">
        <v>2558</v>
      </c>
      <c r="K220" s="9">
        <v>0</v>
      </c>
      <c r="L220" s="10">
        <v>11836.35</v>
      </c>
      <c r="M220" s="10">
        <v>11836.35</v>
      </c>
      <c r="N220" s="9">
        <v>0</v>
      </c>
      <c r="O220" s="9">
        <v>0</v>
      </c>
      <c r="P220" s="9">
        <v>0</v>
      </c>
      <c r="R220" s="10">
        <v>11836.35</v>
      </c>
      <c r="U220" s="9">
        <v>1</v>
      </c>
      <c r="W220" s="9">
        <v>260326210686920</v>
      </c>
      <c r="X220" s="9" t="s">
        <v>2559</v>
      </c>
      <c r="Y220" s="9" t="s">
        <v>2560</v>
      </c>
      <c r="Z220" s="9" t="s">
        <v>2905</v>
      </c>
      <c r="AA220" s="12" t="s">
        <v>2906</v>
      </c>
      <c r="AF220" s="9">
        <v>10</v>
      </c>
      <c r="AG220" s="9" t="s">
        <v>2563</v>
      </c>
      <c r="AH220" s="9">
        <v>2721</v>
      </c>
      <c r="AO220" s="9" t="s">
        <v>2577</v>
      </c>
      <c r="AP220" s="11">
        <v>46285</v>
      </c>
      <c r="AQ220" s="9" t="s">
        <v>2564</v>
      </c>
      <c r="AR220" s="9">
        <v>4</v>
      </c>
      <c r="AS220" s="9" t="s">
        <v>2565</v>
      </c>
      <c r="AU220" s="9" t="s">
        <v>2566</v>
      </c>
      <c r="AV220" s="9" t="s">
        <v>1461</v>
      </c>
      <c r="AX220" s="9">
        <v>2610434</v>
      </c>
      <c r="AZ220" s="9">
        <v>306</v>
      </c>
      <c r="BA220" s="9">
        <v>488543</v>
      </c>
      <c r="BB220" s="11">
        <v>46287</v>
      </c>
      <c r="BC220" s="9">
        <v>1680</v>
      </c>
    </row>
    <row r="221" spans="1:56" ht="30" x14ac:dyDescent="0.25">
      <c r="A221" s="9" t="s">
        <v>2644</v>
      </c>
      <c r="B221" s="9">
        <v>947</v>
      </c>
      <c r="C221" s="9" t="s">
        <v>2645</v>
      </c>
      <c r="D221" s="9">
        <v>1775</v>
      </c>
      <c r="E221" s="9">
        <v>2026</v>
      </c>
      <c r="F221" s="9" t="s">
        <v>1468</v>
      </c>
      <c r="G221" s="9">
        <v>62052000</v>
      </c>
      <c r="H221" s="9">
        <v>1241</v>
      </c>
      <c r="I221" s="9">
        <v>1</v>
      </c>
      <c r="J221" s="9" t="s">
        <v>2558</v>
      </c>
      <c r="K221" s="9">
        <v>0</v>
      </c>
      <c r="L221" s="10">
        <v>1809.6</v>
      </c>
      <c r="M221" s="10">
        <v>1809.6</v>
      </c>
      <c r="N221" s="9">
        <v>0</v>
      </c>
      <c r="O221" s="9">
        <v>0</v>
      </c>
      <c r="P221" s="9">
        <v>0</v>
      </c>
      <c r="U221" s="9">
        <v>1</v>
      </c>
      <c r="W221" s="9">
        <v>260326210686920</v>
      </c>
      <c r="X221" s="9" t="s">
        <v>2559</v>
      </c>
      <c r="Y221" s="9" t="s">
        <v>2560</v>
      </c>
      <c r="Z221" s="9" t="s">
        <v>2905</v>
      </c>
      <c r="AA221" s="12" t="s">
        <v>2906</v>
      </c>
      <c r="AF221" s="9">
        <v>10</v>
      </c>
      <c r="AG221" s="9" t="s">
        <v>2563</v>
      </c>
      <c r="AH221" s="9">
        <v>416</v>
      </c>
      <c r="AO221" s="9" t="s">
        <v>2577</v>
      </c>
      <c r="AP221" s="11">
        <v>46285</v>
      </c>
      <c r="AQ221" s="9" t="s">
        <v>2564</v>
      </c>
      <c r="AR221" s="9">
        <v>4</v>
      </c>
      <c r="AS221" s="9" t="s">
        <v>2565</v>
      </c>
      <c r="AU221" s="9" t="s">
        <v>2566</v>
      </c>
      <c r="AV221" s="9" t="s">
        <v>1466</v>
      </c>
      <c r="AX221" s="9">
        <v>2610435</v>
      </c>
      <c r="BC221" s="9">
        <v>1680</v>
      </c>
    </row>
    <row r="222" spans="1:56" ht="45" x14ac:dyDescent="0.25">
      <c r="A222" s="9" t="s">
        <v>2644</v>
      </c>
      <c r="B222" s="9">
        <v>947</v>
      </c>
      <c r="C222" s="9" t="s">
        <v>2645</v>
      </c>
      <c r="D222" s="9">
        <v>1803</v>
      </c>
      <c r="E222" s="9">
        <v>2026</v>
      </c>
      <c r="F222" s="9" t="s">
        <v>2075</v>
      </c>
      <c r="G222" s="9">
        <v>62052000</v>
      </c>
      <c r="H222" s="9">
        <v>2110</v>
      </c>
      <c r="I222" s="9">
        <v>1</v>
      </c>
      <c r="J222" s="9" t="s">
        <v>2558</v>
      </c>
      <c r="L222" s="10">
        <v>24028.1</v>
      </c>
      <c r="M222" s="10">
        <v>24028.1</v>
      </c>
      <c r="N222" s="9">
        <v>0</v>
      </c>
      <c r="O222" s="9">
        <v>0</v>
      </c>
      <c r="P222" s="9">
        <v>0</v>
      </c>
      <c r="R222" s="10">
        <v>24028.1</v>
      </c>
      <c r="U222" s="9">
        <v>1</v>
      </c>
      <c r="W222" s="9">
        <v>260326210686920</v>
      </c>
      <c r="X222" s="9" t="s">
        <v>2559</v>
      </c>
      <c r="Y222" s="9" t="s">
        <v>2560</v>
      </c>
      <c r="Z222" s="9" t="s">
        <v>2756</v>
      </c>
      <c r="AA222" s="12" t="s">
        <v>2907</v>
      </c>
      <c r="AF222" s="9">
        <v>10</v>
      </c>
      <c r="AG222" s="9" t="s">
        <v>2563</v>
      </c>
      <c r="AH222" s="9">
        <v>16600</v>
      </c>
      <c r="AO222" s="9" t="s">
        <v>2577</v>
      </c>
      <c r="AP222" s="11">
        <v>46288</v>
      </c>
      <c r="AQ222" s="9" t="s">
        <v>2564</v>
      </c>
      <c r="AR222" s="9">
        <v>4</v>
      </c>
      <c r="AU222" s="9" t="s">
        <v>2566</v>
      </c>
      <c r="AZ222" s="9">
        <v>306</v>
      </c>
      <c r="BA222" s="9">
        <v>494094</v>
      </c>
      <c r="BB222" s="11">
        <v>46289</v>
      </c>
      <c r="BC222" s="9">
        <v>1680</v>
      </c>
    </row>
    <row r="223" spans="1:56" x14ac:dyDescent="0.25">
      <c r="A223" s="9" t="s">
        <v>2644</v>
      </c>
      <c r="B223" s="9">
        <v>947</v>
      </c>
      <c r="C223" s="9" t="s">
        <v>2645</v>
      </c>
      <c r="D223" s="9">
        <v>1804</v>
      </c>
      <c r="E223" s="9">
        <v>2026</v>
      </c>
      <c r="F223" s="9" t="s">
        <v>2049</v>
      </c>
      <c r="G223" s="9">
        <v>62063000</v>
      </c>
      <c r="H223" s="9">
        <v>2000</v>
      </c>
      <c r="I223" s="9">
        <v>1</v>
      </c>
      <c r="J223" s="9" t="s">
        <v>2558</v>
      </c>
      <c r="L223" s="10">
        <v>3045</v>
      </c>
      <c r="M223" s="10">
        <v>3045</v>
      </c>
      <c r="N223" s="9">
        <v>0</v>
      </c>
      <c r="O223" s="9">
        <v>0</v>
      </c>
      <c r="P223" s="9">
        <v>0</v>
      </c>
      <c r="U223" s="9">
        <v>8</v>
      </c>
      <c r="W223" s="9">
        <v>260326210686920</v>
      </c>
      <c r="X223" s="9" t="s">
        <v>2559</v>
      </c>
      <c r="Y223" s="9" t="s">
        <v>2560</v>
      </c>
      <c r="Z223" s="9" t="s">
        <v>2665</v>
      </c>
      <c r="AA223" s="9" t="s">
        <v>2666</v>
      </c>
      <c r="AF223" s="9">
        <v>10</v>
      </c>
      <c r="AG223" s="9" t="s">
        <v>2563</v>
      </c>
      <c r="AH223" s="9">
        <v>1800</v>
      </c>
      <c r="AP223" s="11">
        <v>46288</v>
      </c>
      <c r="AQ223" s="9" t="s">
        <v>2564</v>
      </c>
      <c r="AR223" s="9">
        <v>4</v>
      </c>
      <c r="AU223" s="9" t="s">
        <v>2566</v>
      </c>
      <c r="BC223" s="9">
        <v>1680</v>
      </c>
    </row>
    <row r="224" spans="1:56" ht="30" x14ac:dyDescent="0.25">
      <c r="A224" s="9" t="s">
        <v>2644</v>
      </c>
      <c r="B224" s="9">
        <v>947</v>
      </c>
      <c r="C224" s="9" t="s">
        <v>2645</v>
      </c>
      <c r="D224" s="9">
        <v>1821</v>
      </c>
      <c r="E224" s="9">
        <v>2026</v>
      </c>
      <c r="F224" s="9" t="s">
        <v>2447</v>
      </c>
      <c r="G224" s="9">
        <v>62052000</v>
      </c>
      <c r="H224" s="9">
        <v>2005</v>
      </c>
      <c r="I224" s="9">
        <v>1</v>
      </c>
      <c r="J224" s="9" t="s">
        <v>2558</v>
      </c>
      <c r="L224" s="10">
        <v>31826.959999999999</v>
      </c>
      <c r="M224" s="10">
        <v>31826.959999999999</v>
      </c>
      <c r="N224" s="9">
        <v>15000</v>
      </c>
      <c r="O224" s="9">
        <v>0</v>
      </c>
      <c r="U224" s="9">
        <v>8</v>
      </c>
      <c r="W224" s="9">
        <v>260326210686920</v>
      </c>
      <c r="X224" s="9" t="s">
        <v>2559</v>
      </c>
      <c r="Y224" s="9" t="s">
        <v>2560</v>
      </c>
      <c r="Z224" s="9" t="s">
        <v>2683</v>
      </c>
      <c r="AA224" s="12" t="s">
        <v>2908</v>
      </c>
      <c r="AF224" s="9">
        <v>10</v>
      </c>
      <c r="AG224" s="9" t="s">
        <v>2563</v>
      </c>
      <c r="AH224" s="9">
        <v>15106</v>
      </c>
      <c r="AP224" s="11">
        <v>46293</v>
      </c>
      <c r="AQ224" s="9" t="s">
        <v>2564</v>
      </c>
      <c r="AR224" s="9">
        <v>9</v>
      </c>
      <c r="AU224" s="9" t="s">
        <v>2566</v>
      </c>
      <c r="BC224" s="9">
        <v>1680</v>
      </c>
    </row>
    <row r="225" spans="1:55" x14ac:dyDescent="0.25">
      <c r="A225" s="9" t="s">
        <v>2644</v>
      </c>
      <c r="B225" s="9">
        <v>947</v>
      </c>
      <c r="C225" s="9" t="s">
        <v>2645</v>
      </c>
      <c r="D225" s="9">
        <v>1802</v>
      </c>
      <c r="E225" s="9">
        <v>2026</v>
      </c>
      <c r="F225" s="9" t="s">
        <v>2443</v>
      </c>
      <c r="G225" s="9">
        <v>62052000</v>
      </c>
      <c r="H225" s="9">
        <v>2109</v>
      </c>
      <c r="I225" s="9">
        <v>1</v>
      </c>
      <c r="J225" s="9" t="s">
        <v>2558</v>
      </c>
      <c r="L225" s="10">
        <v>31902</v>
      </c>
      <c r="M225" s="10">
        <v>31902</v>
      </c>
      <c r="N225" s="9">
        <v>0</v>
      </c>
      <c r="O225" s="9">
        <v>0</v>
      </c>
      <c r="P225" s="9">
        <v>0</v>
      </c>
      <c r="U225" s="9">
        <v>1</v>
      </c>
      <c r="W225" s="9">
        <v>260326210686920</v>
      </c>
      <c r="X225" s="9" t="s">
        <v>2559</v>
      </c>
      <c r="Y225" s="9" t="s">
        <v>2560</v>
      </c>
      <c r="Z225" s="9" t="s">
        <v>2756</v>
      </c>
      <c r="AA225" s="9" t="s">
        <v>2757</v>
      </c>
      <c r="AF225" s="9">
        <v>10</v>
      </c>
      <c r="AG225" s="9" t="s">
        <v>2563</v>
      </c>
      <c r="AH225" s="9">
        <v>22800</v>
      </c>
      <c r="AO225" s="9" t="s">
        <v>2592</v>
      </c>
      <c r="AP225" s="11">
        <v>46288</v>
      </c>
      <c r="AQ225" s="9" t="s">
        <v>2564</v>
      </c>
      <c r="AR225" s="9">
        <v>4</v>
      </c>
      <c r="AU225" s="9" t="s">
        <v>2566</v>
      </c>
      <c r="BC225" s="9">
        <v>1680</v>
      </c>
    </row>
    <row r="226" spans="1:55" ht="30" x14ac:dyDescent="0.25">
      <c r="A226" s="9" t="s">
        <v>2644</v>
      </c>
      <c r="B226" s="9">
        <v>947</v>
      </c>
      <c r="C226" s="9" t="s">
        <v>2645</v>
      </c>
      <c r="D226" s="9">
        <v>1760</v>
      </c>
      <c r="E226" s="9">
        <v>2026</v>
      </c>
      <c r="F226" s="9" t="s">
        <v>1480</v>
      </c>
      <c r="G226" s="9">
        <v>62052000</v>
      </c>
      <c r="H226" s="9">
        <v>2005</v>
      </c>
      <c r="I226" s="9">
        <v>1</v>
      </c>
      <c r="J226" s="9" t="s">
        <v>2558</v>
      </c>
      <c r="L226" s="10">
        <v>1024.2</v>
      </c>
      <c r="M226" s="10">
        <v>1024.2</v>
      </c>
      <c r="N226" s="9">
        <v>0</v>
      </c>
      <c r="O226" s="9">
        <v>0</v>
      </c>
      <c r="P226" s="9">
        <v>0</v>
      </c>
      <c r="R226" s="10">
        <v>1024.2</v>
      </c>
      <c r="U226" s="9">
        <v>1</v>
      </c>
      <c r="W226" s="9">
        <v>260326210686920</v>
      </c>
      <c r="X226" s="9" t="s">
        <v>2559</v>
      </c>
      <c r="Y226" s="9" t="s">
        <v>2560</v>
      </c>
      <c r="Z226" s="9" t="s">
        <v>2683</v>
      </c>
      <c r="AA226" s="12" t="s">
        <v>2684</v>
      </c>
      <c r="AF226" s="9">
        <v>10</v>
      </c>
      <c r="AG226" s="9" t="s">
        <v>2563</v>
      </c>
      <c r="AH226" s="9">
        <v>518</v>
      </c>
      <c r="AP226" s="11">
        <v>46282</v>
      </c>
      <c r="AQ226" s="9" t="s">
        <v>2564</v>
      </c>
      <c r="AR226" s="9">
        <v>4</v>
      </c>
      <c r="AU226" s="9" t="s">
        <v>2566</v>
      </c>
      <c r="AZ226" s="9">
        <v>306</v>
      </c>
      <c r="BA226" s="9">
        <v>462768</v>
      </c>
      <c r="BB226" s="11">
        <v>46282</v>
      </c>
      <c r="BC226" s="9">
        <v>1680</v>
      </c>
    </row>
    <row r="227" spans="1:55" ht="45" x14ac:dyDescent="0.25">
      <c r="A227" s="9" t="s">
        <v>2644</v>
      </c>
      <c r="B227" s="9">
        <v>947</v>
      </c>
      <c r="C227" s="9" t="s">
        <v>2645</v>
      </c>
      <c r="D227" s="9">
        <v>1715</v>
      </c>
      <c r="E227" s="9">
        <v>2026</v>
      </c>
      <c r="F227" s="9" t="s">
        <v>1096</v>
      </c>
      <c r="G227" s="9">
        <v>62052000</v>
      </c>
      <c r="H227" s="9">
        <v>2000</v>
      </c>
      <c r="I227" s="9">
        <v>1</v>
      </c>
      <c r="J227" s="9" t="s">
        <v>2558</v>
      </c>
      <c r="L227" s="9">
        <v>682.5</v>
      </c>
      <c r="M227" s="9">
        <v>682.5</v>
      </c>
      <c r="N227" s="9">
        <v>0</v>
      </c>
      <c r="O227" s="9">
        <v>0</v>
      </c>
      <c r="P227" s="9">
        <v>0</v>
      </c>
      <c r="R227" s="9">
        <v>682.5</v>
      </c>
      <c r="U227" s="9">
        <v>8</v>
      </c>
      <c r="W227" s="9">
        <v>260326210686920</v>
      </c>
      <c r="X227" s="9" t="s">
        <v>2559</v>
      </c>
      <c r="Y227" s="9" t="s">
        <v>2560</v>
      </c>
      <c r="Z227" s="9" t="s">
        <v>2661</v>
      </c>
      <c r="AA227" s="12" t="s">
        <v>2668</v>
      </c>
      <c r="AF227" s="9">
        <v>10</v>
      </c>
      <c r="AG227" s="9" t="s">
        <v>2563</v>
      </c>
      <c r="AH227" s="9">
        <v>210</v>
      </c>
      <c r="AP227" s="11">
        <v>46278</v>
      </c>
      <c r="AQ227" s="9" t="s">
        <v>2564</v>
      </c>
      <c r="AR227" s="9">
        <v>4</v>
      </c>
      <c r="AU227" s="9" t="s">
        <v>2566</v>
      </c>
      <c r="AZ227" s="9">
        <v>101</v>
      </c>
      <c r="BA227" s="9">
        <v>959568</v>
      </c>
      <c r="BB227" s="11">
        <v>46281</v>
      </c>
      <c r="BC227" s="9">
        <v>1680</v>
      </c>
    </row>
    <row r="228" spans="1:55" ht="45" x14ac:dyDescent="0.25">
      <c r="A228" s="9" t="s">
        <v>2644</v>
      </c>
      <c r="B228" s="9">
        <v>947</v>
      </c>
      <c r="C228" s="9" t="s">
        <v>2645</v>
      </c>
      <c r="D228" s="9">
        <v>1786</v>
      </c>
      <c r="E228" s="9">
        <v>2026</v>
      </c>
      <c r="F228" s="9" t="s">
        <v>2035</v>
      </c>
      <c r="G228" s="9">
        <v>62052000</v>
      </c>
      <c r="H228" s="9">
        <v>2000</v>
      </c>
      <c r="I228" s="9">
        <v>1</v>
      </c>
      <c r="J228" s="9" t="s">
        <v>2558</v>
      </c>
      <c r="K228" s="9">
        <v>0</v>
      </c>
      <c r="L228" s="10">
        <v>6337.5</v>
      </c>
      <c r="M228" s="10">
        <v>6337.5</v>
      </c>
      <c r="N228" s="9">
        <v>0</v>
      </c>
      <c r="O228" s="9">
        <v>0</v>
      </c>
      <c r="P228" s="9">
        <v>0</v>
      </c>
      <c r="R228" s="10">
        <v>6337.5</v>
      </c>
      <c r="U228" s="9">
        <v>1</v>
      </c>
      <c r="W228" s="9">
        <v>260326210686920</v>
      </c>
      <c r="X228" s="9" t="s">
        <v>2559</v>
      </c>
      <c r="Y228" s="9" t="s">
        <v>2560</v>
      </c>
      <c r="Z228" s="9" t="s">
        <v>2909</v>
      </c>
      <c r="AA228" s="12" t="s">
        <v>2704</v>
      </c>
      <c r="AF228" s="9">
        <v>10</v>
      </c>
      <c r="AG228" s="9" t="s">
        <v>2563</v>
      </c>
      <c r="AH228" s="9">
        <v>3250</v>
      </c>
      <c r="AO228" s="9" t="s">
        <v>2577</v>
      </c>
      <c r="AP228" s="11">
        <v>46287</v>
      </c>
      <c r="AQ228" s="9" t="s">
        <v>2564</v>
      </c>
      <c r="AR228" s="9">
        <v>4</v>
      </c>
      <c r="AS228" s="9" t="s">
        <v>2565</v>
      </c>
      <c r="AU228" s="9" t="s">
        <v>2566</v>
      </c>
      <c r="AV228" s="9" t="s">
        <v>124</v>
      </c>
      <c r="AX228" s="9">
        <v>2610677</v>
      </c>
      <c r="AZ228" s="9">
        <v>306</v>
      </c>
      <c r="BA228" s="9">
        <v>487759</v>
      </c>
      <c r="BB228" s="11">
        <v>46287</v>
      </c>
      <c r="BC228" s="9">
        <v>1680</v>
      </c>
    </row>
    <row r="229" spans="1:55" ht="45" x14ac:dyDescent="0.25">
      <c r="A229" s="9" t="s">
        <v>2644</v>
      </c>
      <c r="B229" s="9">
        <v>947</v>
      </c>
      <c r="C229" s="9" t="s">
        <v>2645</v>
      </c>
      <c r="D229" s="9">
        <v>1787</v>
      </c>
      <c r="E229" s="9">
        <v>2026</v>
      </c>
      <c r="F229" s="9" t="s">
        <v>2038</v>
      </c>
      <c r="G229" s="9">
        <v>62052000</v>
      </c>
      <c r="H229" s="9">
        <v>2000</v>
      </c>
      <c r="I229" s="9">
        <v>1</v>
      </c>
      <c r="J229" s="9" t="s">
        <v>2558</v>
      </c>
      <c r="K229" s="9">
        <v>0</v>
      </c>
      <c r="L229" s="10">
        <v>3268.2</v>
      </c>
      <c r="M229" s="10">
        <v>3268.2</v>
      </c>
      <c r="N229" s="9">
        <v>0</v>
      </c>
      <c r="O229" s="9">
        <v>0</v>
      </c>
      <c r="P229" s="9">
        <v>0</v>
      </c>
      <c r="R229" s="10">
        <v>3268.2</v>
      </c>
      <c r="U229" s="9">
        <v>1</v>
      </c>
      <c r="W229" s="9">
        <v>260326210686920</v>
      </c>
      <c r="X229" s="9" t="s">
        <v>2559</v>
      </c>
      <c r="Y229" s="9" t="s">
        <v>2560</v>
      </c>
      <c r="Z229" s="9" t="s">
        <v>2909</v>
      </c>
      <c r="AA229" s="12" t="s">
        <v>2704</v>
      </c>
      <c r="AF229" s="9">
        <v>10</v>
      </c>
      <c r="AG229" s="9" t="s">
        <v>2563</v>
      </c>
      <c r="AH229" s="9">
        <v>1676</v>
      </c>
      <c r="AO229" s="9" t="s">
        <v>2577</v>
      </c>
      <c r="AP229" s="11">
        <v>46287</v>
      </c>
      <c r="AQ229" s="9" t="s">
        <v>2564</v>
      </c>
      <c r="AR229" s="9">
        <v>4</v>
      </c>
      <c r="AS229" s="9" t="s">
        <v>2565</v>
      </c>
      <c r="AU229" s="9" t="s">
        <v>2566</v>
      </c>
      <c r="AV229" s="9" t="s">
        <v>124</v>
      </c>
      <c r="AX229" s="9">
        <v>2610678</v>
      </c>
      <c r="AZ229" s="9">
        <v>306</v>
      </c>
      <c r="BA229" s="9">
        <v>487767</v>
      </c>
      <c r="BB229" s="11">
        <v>46287</v>
      </c>
      <c r="BC229" s="9">
        <v>1680</v>
      </c>
    </row>
    <row r="230" spans="1:55" ht="30" x14ac:dyDescent="0.25">
      <c r="A230" s="9" t="s">
        <v>2644</v>
      </c>
      <c r="B230" s="9">
        <v>947</v>
      </c>
      <c r="C230" s="9" t="s">
        <v>2645</v>
      </c>
      <c r="D230" s="9">
        <v>1788</v>
      </c>
      <c r="E230" s="9">
        <v>2026</v>
      </c>
      <c r="F230" s="9" t="s">
        <v>2041</v>
      </c>
      <c r="G230" s="9">
        <v>62071100</v>
      </c>
      <c r="H230" s="9">
        <v>2000</v>
      </c>
      <c r="I230" s="9">
        <v>1</v>
      </c>
      <c r="J230" s="9" t="s">
        <v>2558</v>
      </c>
      <c r="K230" s="9">
        <v>0</v>
      </c>
      <c r="L230" s="10">
        <v>8481</v>
      </c>
      <c r="M230" s="10">
        <v>8481</v>
      </c>
      <c r="N230" s="9">
        <v>0</v>
      </c>
      <c r="O230" s="9">
        <v>0</v>
      </c>
      <c r="P230" s="9">
        <v>0</v>
      </c>
      <c r="U230" s="9">
        <v>1</v>
      </c>
      <c r="W230" s="9">
        <v>260326210686920</v>
      </c>
      <c r="X230" s="9" t="s">
        <v>2559</v>
      </c>
      <c r="Y230" s="9" t="s">
        <v>2560</v>
      </c>
      <c r="Z230" s="9" t="s">
        <v>2657</v>
      </c>
      <c r="AA230" s="12" t="s">
        <v>2658</v>
      </c>
      <c r="AF230" s="9">
        <v>10</v>
      </c>
      <c r="AG230" s="9" t="s">
        <v>2563</v>
      </c>
      <c r="AH230" s="9">
        <v>7710</v>
      </c>
      <c r="AP230" s="11">
        <v>46287</v>
      </c>
      <c r="AQ230" s="9" t="s">
        <v>2564</v>
      </c>
      <c r="AR230" s="9">
        <v>4</v>
      </c>
      <c r="AS230" s="9" t="s">
        <v>2565</v>
      </c>
      <c r="AU230" s="9" t="s">
        <v>2566</v>
      </c>
      <c r="AV230" s="9" t="s">
        <v>258</v>
      </c>
      <c r="AX230" s="9">
        <v>2610679</v>
      </c>
      <c r="BC230" s="9">
        <v>1680</v>
      </c>
    </row>
    <row r="231" spans="1:55" x14ac:dyDescent="0.25">
      <c r="A231" s="9" t="s">
        <v>2644</v>
      </c>
      <c r="B231" s="9">
        <v>947</v>
      </c>
      <c r="C231" s="9" t="s">
        <v>2645</v>
      </c>
      <c r="D231" s="9">
        <v>1778</v>
      </c>
      <c r="E231" s="9">
        <v>2026</v>
      </c>
      <c r="F231" s="9" t="s">
        <v>1981</v>
      </c>
      <c r="G231" s="9">
        <v>61072100</v>
      </c>
      <c r="H231" s="9">
        <v>2109</v>
      </c>
      <c r="I231" s="9">
        <v>1</v>
      </c>
      <c r="J231" s="9" t="s">
        <v>2558</v>
      </c>
      <c r="K231" s="9">
        <v>0</v>
      </c>
      <c r="L231" s="10">
        <v>15002.92</v>
      </c>
      <c r="M231" s="10">
        <v>15002.92</v>
      </c>
      <c r="N231" s="9">
        <v>0</v>
      </c>
      <c r="O231" s="9">
        <v>0</v>
      </c>
      <c r="P231" s="9">
        <v>0</v>
      </c>
      <c r="R231" s="10">
        <v>15002.92</v>
      </c>
      <c r="U231" s="9">
        <v>1</v>
      </c>
      <c r="V231" s="11">
        <v>46292</v>
      </c>
      <c r="W231" s="9">
        <v>260326210686920</v>
      </c>
      <c r="X231" s="9" t="s">
        <v>2559</v>
      </c>
      <c r="Y231" s="9" t="s">
        <v>2560</v>
      </c>
      <c r="Z231" s="9" t="s">
        <v>2756</v>
      </c>
      <c r="AA231" s="9" t="s">
        <v>2757</v>
      </c>
      <c r="AB231" s="9" t="s">
        <v>2570</v>
      </c>
      <c r="AC231" s="11">
        <v>46294</v>
      </c>
      <c r="AD231" s="9">
        <v>947</v>
      </c>
      <c r="AF231" s="9">
        <v>10</v>
      </c>
      <c r="AG231" s="9" t="s">
        <v>2563</v>
      </c>
      <c r="AH231" s="9">
        <v>9556</v>
      </c>
      <c r="AL231" s="9">
        <v>2610660</v>
      </c>
      <c r="AM231" s="11">
        <v>46286</v>
      </c>
      <c r="AO231" s="9" t="s">
        <v>2571</v>
      </c>
      <c r="AP231" s="11">
        <v>46286</v>
      </c>
      <c r="AQ231" s="9" t="s">
        <v>2564</v>
      </c>
      <c r="AR231" s="9">
        <v>4</v>
      </c>
      <c r="AS231" s="9" t="s">
        <v>2899</v>
      </c>
      <c r="AT231" s="9">
        <v>1</v>
      </c>
      <c r="AU231" s="9" t="s">
        <v>2566</v>
      </c>
      <c r="AV231" s="9" t="s">
        <v>1782</v>
      </c>
      <c r="AW231" s="9" t="s">
        <v>2910</v>
      </c>
      <c r="AX231" s="9">
        <v>2610660</v>
      </c>
      <c r="AY231" s="11">
        <v>46292</v>
      </c>
      <c r="AZ231" s="9">
        <v>306</v>
      </c>
      <c r="BA231" s="9">
        <v>481752</v>
      </c>
      <c r="BB231" s="11">
        <v>46286</v>
      </c>
      <c r="BC231" s="9">
        <v>1680</v>
      </c>
    </row>
    <row r="232" spans="1:55" x14ac:dyDescent="0.25">
      <c r="A232" s="9" t="s">
        <v>2644</v>
      </c>
      <c r="B232" s="9">
        <v>947</v>
      </c>
      <c r="C232" s="9" t="s">
        <v>2645</v>
      </c>
      <c r="D232" s="9">
        <v>1779</v>
      </c>
      <c r="E232" s="9">
        <v>2026</v>
      </c>
      <c r="F232" s="9" t="s">
        <v>1984</v>
      </c>
      <c r="G232" s="9">
        <v>62071100</v>
      </c>
      <c r="H232" s="9">
        <v>2016</v>
      </c>
      <c r="I232" s="9">
        <v>1</v>
      </c>
      <c r="J232" s="9" t="s">
        <v>2558</v>
      </c>
      <c r="K232" s="9">
        <v>0</v>
      </c>
      <c r="L232" s="10">
        <v>12273.66</v>
      </c>
      <c r="M232" s="10">
        <v>12273.66</v>
      </c>
      <c r="N232" s="9">
        <v>0</v>
      </c>
      <c r="O232" s="9">
        <v>0</v>
      </c>
      <c r="P232" s="9">
        <v>0</v>
      </c>
      <c r="R232" s="10">
        <v>12273.66</v>
      </c>
      <c r="U232" s="9">
        <v>1</v>
      </c>
      <c r="W232" s="9">
        <v>260326210686920</v>
      </c>
      <c r="X232" s="9" t="s">
        <v>2559</v>
      </c>
      <c r="Y232" s="9" t="s">
        <v>2560</v>
      </c>
      <c r="Z232" s="9" t="s">
        <v>2652</v>
      </c>
      <c r="AA232" s="9" t="s">
        <v>2653</v>
      </c>
      <c r="AF232" s="9">
        <v>10</v>
      </c>
      <c r="AG232" s="9" t="s">
        <v>2563</v>
      </c>
      <c r="AH232" s="9">
        <v>25200</v>
      </c>
      <c r="AP232" s="11">
        <v>46286</v>
      </c>
      <c r="AQ232" s="9" t="s">
        <v>2564</v>
      </c>
      <c r="AR232" s="9">
        <v>4</v>
      </c>
      <c r="AS232" s="9" t="s">
        <v>2565</v>
      </c>
      <c r="AU232" s="9" t="s">
        <v>2566</v>
      </c>
      <c r="AV232" s="9" t="s">
        <v>183</v>
      </c>
      <c r="AX232" s="9">
        <v>2610661</v>
      </c>
      <c r="AZ232" s="9">
        <v>306</v>
      </c>
      <c r="BA232" s="9">
        <v>491142</v>
      </c>
      <c r="BB232" s="11">
        <v>46288</v>
      </c>
      <c r="BC232" s="9">
        <v>1680</v>
      </c>
    </row>
    <row r="233" spans="1:55" x14ac:dyDescent="0.25">
      <c r="A233" s="9" t="s">
        <v>2644</v>
      </c>
      <c r="B233" s="9">
        <v>947</v>
      </c>
      <c r="C233" s="9" t="s">
        <v>2645</v>
      </c>
      <c r="D233" s="9">
        <v>1780</v>
      </c>
      <c r="E233" s="9">
        <v>2026</v>
      </c>
      <c r="F233" s="9" t="s">
        <v>1986</v>
      </c>
      <c r="G233" s="9">
        <v>62071100</v>
      </c>
      <c r="H233" s="9">
        <v>2020</v>
      </c>
      <c r="I233" s="9">
        <v>1</v>
      </c>
      <c r="J233" s="9" t="s">
        <v>2558</v>
      </c>
      <c r="K233" s="9">
        <v>0</v>
      </c>
      <c r="L233" s="10">
        <v>11299.56</v>
      </c>
      <c r="M233" s="10">
        <v>11299.56</v>
      </c>
      <c r="N233" s="9">
        <v>0</v>
      </c>
      <c r="O233" s="9">
        <v>0</v>
      </c>
      <c r="P233" s="9">
        <v>0</v>
      </c>
      <c r="R233" s="10">
        <v>11299.56</v>
      </c>
      <c r="U233" s="9">
        <v>1</v>
      </c>
      <c r="W233" s="9">
        <v>260326210686920</v>
      </c>
      <c r="X233" s="9" t="s">
        <v>2559</v>
      </c>
      <c r="Y233" s="9" t="s">
        <v>2560</v>
      </c>
      <c r="Z233" s="9" t="s">
        <v>2652</v>
      </c>
      <c r="AA233" s="9" t="s">
        <v>2653</v>
      </c>
      <c r="AF233" s="9">
        <v>10</v>
      </c>
      <c r="AG233" s="9" t="s">
        <v>2563</v>
      </c>
      <c r="AH233" s="9">
        <v>23200</v>
      </c>
      <c r="AO233" s="9" t="s">
        <v>2577</v>
      </c>
      <c r="AP233" s="11">
        <v>46286</v>
      </c>
      <c r="AQ233" s="9" t="s">
        <v>2564</v>
      </c>
      <c r="AR233" s="9">
        <v>4</v>
      </c>
      <c r="AS233" s="9" t="s">
        <v>2565</v>
      </c>
      <c r="AU233" s="9" t="s">
        <v>2566</v>
      </c>
      <c r="AV233" s="9" t="s">
        <v>252</v>
      </c>
      <c r="AX233" s="9">
        <v>2610662</v>
      </c>
      <c r="AZ233" s="9">
        <v>306</v>
      </c>
      <c r="BA233" s="9">
        <v>491173</v>
      </c>
      <c r="BB233" s="11">
        <v>46288</v>
      </c>
      <c r="BC233" s="9">
        <v>1680</v>
      </c>
    </row>
    <row r="234" spans="1:55" x14ac:dyDescent="0.25">
      <c r="A234" s="9" t="s">
        <v>2644</v>
      </c>
      <c r="B234" s="9">
        <v>947</v>
      </c>
      <c r="C234" s="9" t="s">
        <v>2645</v>
      </c>
      <c r="D234" s="9">
        <v>1781</v>
      </c>
      <c r="E234" s="9">
        <v>2026</v>
      </c>
      <c r="F234" s="9" t="s">
        <v>1988</v>
      </c>
      <c r="G234" s="9">
        <v>62071100</v>
      </c>
      <c r="H234" s="9">
        <v>2020</v>
      </c>
      <c r="I234" s="9">
        <v>1</v>
      </c>
      <c r="J234" s="9" t="s">
        <v>2558</v>
      </c>
      <c r="K234" s="9">
        <v>0</v>
      </c>
      <c r="L234" s="10">
        <v>10715.1</v>
      </c>
      <c r="M234" s="10">
        <v>10715.1</v>
      </c>
      <c r="N234" s="9">
        <v>0</v>
      </c>
      <c r="O234" s="9">
        <v>0</v>
      </c>
      <c r="P234" s="9">
        <v>0</v>
      </c>
      <c r="R234" s="10">
        <v>10715.1</v>
      </c>
      <c r="U234" s="9">
        <v>1</v>
      </c>
      <c r="W234" s="9">
        <v>260326210686920</v>
      </c>
      <c r="X234" s="9" t="s">
        <v>2559</v>
      </c>
      <c r="Y234" s="9" t="s">
        <v>2560</v>
      </c>
      <c r="Z234" s="9" t="s">
        <v>2652</v>
      </c>
      <c r="AA234" s="9" t="s">
        <v>2653</v>
      </c>
      <c r="AF234" s="9">
        <v>10</v>
      </c>
      <c r="AG234" s="9" t="s">
        <v>2563</v>
      </c>
      <c r="AH234" s="9">
        <v>22000</v>
      </c>
      <c r="AP234" s="11">
        <v>46286</v>
      </c>
      <c r="AQ234" s="9" t="s">
        <v>2564</v>
      </c>
      <c r="AR234" s="9">
        <v>4</v>
      </c>
      <c r="AS234" s="9" t="s">
        <v>2565</v>
      </c>
      <c r="AU234" s="9" t="s">
        <v>2566</v>
      </c>
      <c r="AV234" s="9" t="s">
        <v>262</v>
      </c>
      <c r="AX234" s="9">
        <v>2610663</v>
      </c>
      <c r="AZ234" s="9">
        <v>306</v>
      </c>
      <c r="BA234" s="9">
        <v>491186</v>
      </c>
      <c r="BB234" s="11">
        <v>46288</v>
      </c>
      <c r="BC234" s="9">
        <v>1680</v>
      </c>
    </row>
    <row r="235" spans="1:55" x14ac:dyDescent="0.25">
      <c r="A235" s="9" t="s">
        <v>2644</v>
      </c>
      <c r="B235" s="9">
        <v>947</v>
      </c>
      <c r="C235" s="9" t="s">
        <v>2645</v>
      </c>
      <c r="D235" s="9">
        <v>1782</v>
      </c>
      <c r="E235" s="9">
        <v>2026</v>
      </c>
      <c r="F235" s="9" t="s">
        <v>1990</v>
      </c>
      <c r="G235" s="9">
        <v>62071100</v>
      </c>
      <c r="H235" s="9">
        <v>2020</v>
      </c>
      <c r="I235" s="9">
        <v>1</v>
      </c>
      <c r="J235" s="9" t="s">
        <v>2558</v>
      </c>
      <c r="K235" s="9">
        <v>0</v>
      </c>
      <c r="L235" s="10">
        <v>7305.75</v>
      </c>
      <c r="M235" s="10">
        <v>7305.75</v>
      </c>
      <c r="N235" s="9">
        <v>0</v>
      </c>
      <c r="O235" s="9">
        <v>0</v>
      </c>
      <c r="P235" s="9">
        <v>0</v>
      </c>
      <c r="R235" s="10">
        <v>7305.75</v>
      </c>
      <c r="U235" s="9">
        <v>1</v>
      </c>
      <c r="W235" s="9">
        <v>260326210686920</v>
      </c>
      <c r="X235" s="9" t="s">
        <v>2559</v>
      </c>
      <c r="Y235" s="9" t="s">
        <v>2560</v>
      </c>
      <c r="Z235" s="9" t="s">
        <v>2652</v>
      </c>
      <c r="AA235" s="9" t="s">
        <v>2653</v>
      </c>
      <c r="AF235" s="9">
        <v>10</v>
      </c>
      <c r="AG235" s="9" t="s">
        <v>2563</v>
      </c>
      <c r="AH235" s="9">
        <v>15000</v>
      </c>
      <c r="AP235" s="11">
        <v>46286</v>
      </c>
      <c r="AQ235" s="9" t="s">
        <v>2564</v>
      </c>
      <c r="AR235" s="9">
        <v>4</v>
      </c>
      <c r="AS235" s="9" t="s">
        <v>2565</v>
      </c>
      <c r="AU235" s="9" t="s">
        <v>2566</v>
      </c>
      <c r="AV235" s="9" t="s">
        <v>262</v>
      </c>
      <c r="AX235" s="9">
        <v>2610664</v>
      </c>
      <c r="AZ235" s="9">
        <v>306</v>
      </c>
      <c r="BA235" s="9">
        <v>491167</v>
      </c>
      <c r="BB235" s="11">
        <v>46288</v>
      </c>
      <c r="BC235" s="9">
        <v>1680</v>
      </c>
    </row>
    <row r="236" spans="1:55" x14ac:dyDescent="0.25">
      <c r="A236" s="9" t="s">
        <v>2644</v>
      </c>
      <c r="B236" s="9">
        <v>947</v>
      </c>
      <c r="C236" s="9" t="s">
        <v>2645</v>
      </c>
      <c r="D236" s="9">
        <v>1783</v>
      </c>
      <c r="E236" s="9">
        <v>2026</v>
      </c>
      <c r="F236" s="9" t="s">
        <v>1992</v>
      </c>
      <c r="G236" s="9">
        <v>62071100</v>
      </c>
      <c r="H236" s="9">
        <v>0</v>
      </c>
      <c r="I236" s="9">
        <v>1</v>
      </c>
      <c r="J236" s="9" t="s">
        <v>2558</v>
      </c>
      <c r="K236" s="9">
        <v>0</v>
      </c>
      <c r="L236" s="10">
        <v>1850.79</v>
      </c>
      <c r="M236" s="10">
        <v>1850.79</v>
      </c>
      <c r="N236" s="9">
        <v>0</v>
      </c>
      <c r="O236" s="9">
        <v>0</v>
      </c>
      <c r="P236" s="9">
        <v>0</v>
      </c>
      <c r="R236" s="10">
        <v>1850.79</v>
      </c>
      <c r="U236" s="9">
        <v>1</v>
      </c>
      <c r="W236" s="9">
        <v>260326210686920</v>
      </c>
      <c r="X236" s="9" t="s">
        <v>2559</v>
      </c>
      <c r="Y236" s="9" t="s">
        <v>2560</v>
      </c>
      <c r="Z236" s="9" t="s">
        <v>2652</v>
      </c>
      <c r="AA236" s="9" t="s">
        <v>2653</v>
      </c>
      <c r="AF236" s="9">
        <v>10</v>
      </c>
      <c r="AG236" s="9" t="s">
        <v>2563</v>
      </c>
      <c r="AH236" s="9">
        <v>3800</v>
      </c>
      <c r="AP236" s="11">
        <v>46286</v>
      </c>
      <c r="AQ236" s="9" t="s">
        <v>2564</v>
      </c>
      <c r="AR236" s="9">
        <v>4</v>
      </c>
      <c r="AS236" s="9" t="s">
        <v>2565</v>
      </c>
      <c r="AU236" s="9" t="s">
        <v>2566</v>
      </c>
      <c r="AV236" s="9" t="s">
        <v>269</v>
      </c>
      <c r="AX236" s="9">
        <v>2610665</v>
      </c>
      <c r="AZ236" s="9">
        <v>306</v>
      </c>
      <c r="BA236" s="9">
        <v>491164</v>
      </c>
      <c r="BB236" s="11">
        <v>46288</v>
      </c>
      <c r="BC236" s="9">
        <v>1680</v>
      </c>
    </row>
    <row r="237" spans="1:55" x14ac:dyDescent="0.25">
      <c r="A237" s="9" t="s">
        <v>2644</v>
      </c>
      <c r="B237" s="9">
        <v>947</v>
      </c>
      <c r="C237" s="9" t="s">
        <v>2645</v>
      </c>
      <c r="D237" s="9">
        <v>1784</v>
      </c>
      <c r="E237" s="9">
        <v>2026</v>
      </c>
      <c r="F237" s="9" t="s">
        <v>1995</v>
      </c>
      <c r="G237" s="9">
        <v>62071100</v>
      </c>
      <c r="H237" s="9">
        <v>0</v>
      </c>
      <c r="I237" s="9">
        <v>1</v>
      </c>
      <c r="J237" s="9" t="s">
        <v>2558</v>
      </c>
      <c r="K237" s="9">
        <v>0</v>
      </c>
      <c r="L237" s="9">
        <v>584.46</v>
      </c>
      <c r="M237" s="9">
        <v>584.46</v>
      </c>
      <c r="N237" s="9">
        <v>0</v>
      </c>
      <c r="O237" s="9">
        <v>0</v>
      </c>
      <c r="P237" s="9">
        <v>0</v>
      </c>
      <c r="R237" s="9">
        <v>584.46</v>
      </c>
      <c r="U237" s="9">
        <v>1</v>
      </c>
      <c r="W237" s="9">
        <v>260326210686920</v>
      </c>
      <c r="X237" s="9" t="s">
        <v>2559</v>
      </c>
      <c r="Y237" s="9" t="s">
        <v>2560</v>
      </c>
      <c r="Z237" s="9" t="s">
        <v>2652</v>
      </c>
      <c r="AA237" s="9" t="s">
        <v>2653</v>
      </c>
      <c r="AF237" s="9">
        <v>10</v>
      </c>
      <c r="AG237" s="9" t="s">
        <v>2563</v>
      </c>
      <c r="AH237" s="9">
        <v>1200</v>
      </c>
      <c r="AP237" s="11">
        <v>46286</v>
      </c>
      <c r="AQ237" s="9" t="s">
        <v>2564</v>
      </c>
      <c r="AR237" s="9">
        <v>4</v>
      </c>
      <c r="AS237" s="9" t="s">
        <v>2565</v>
      </c>
      <c r="AU237" s="9" t="s">
        <v>2566</v>
      </c>
      <c r="AV237" s="9" t="s">
        <v>1994</v>
      </c>
      <c r="AX237" s="9">
        <v>2610666</v>
      </c>
      <c r="AZ237" s="9">
        <v>306</v>
      </c>
      <c r="BA237" s="9">
        <v>491149</v>
      </c>
      <c r="BB237" s="11">
        <v>46288</v>
      </c>
      <c r="BC237" s="9">
        <v>1680</v>
      </c>
    </row>
    <row r="238" spans="1:55" ht="45" x14ac:dyDescent="0.25">
      <c r="A238" s="9" t="s">
        <v>2644</v>
      </c>
      <c r="B238" s="9">
        <v>947</v>
      </c>
      <c r="C238" s="9" t="s">
        <v>2645</v>
      </c>
      <c r="D238" s="9">
        <v>1716</v>
      </c>
      <c r="E238" s="9">
        <v>2026</v>
      </c>
      <c r="F238" s="9" t="s">
        <v>1099</v>
      </c>
      <c r="G238" s="9">
        <v>62052000</v>
      </c>
      <c r="H238" s="9">
        <v>2000</v>
      </c>
      <c r="I238" s="9">
        <v>1</v>
      </c>
      <c r="J238" s="9" t="s">
        <v>2558</v>
      </c>
      <c r="L238" s="10">
        <v>3746.4</v>
      </c>
      <c r="M238" s="10">
        <v>3746.4</v>
      </c>
      <c r="N238" s="9">
        <v>0</v>
      </c>
      <c r="O238" s="9">
        <v>0</v>
      </c>
      <c r="P238" s="9">
        <v>0</v>
      </c>
      <c r="R238" s="10">
        <v>3746.4</v>
      </c>
      <c r="U238" s="9">
        <v>8</v>
      </c>
      <c r="W238" s="9">
        <v>260326210686920</v>
      </c>
      <c r="X238" s="9" t="s">
        <v>2559</v>
      </c>
      <c r="Y238" s="9" t="s">
        <v>2560</v>
      </c>
      <c r="Z238" s="9" t="s">
        <v>2661</v>
      </c>
      <c r="AA238" s="12" t="s">
        <v>2668</v>
      </c>
      <c r="AF238" s="9">
        <v>10</v>
      </c>
      <c r="AG238" s="9" t="s">
        <v>2563</v>
      </c>
      <c r="AH238" s="9">
        <v>669</v>
      </c>
      <c r="AP238" s="11">
        <v>46278</v>
      </c>
      <c r="AQ238" s="9" t="s">
        <v>2564</v>
      </c>
      <c r="AR238" s="9">
        <v>4</v>
      </c>
      <c r="AU238" s="9" t="s">
        <v>2566</v>
      </c>
      <c r="AZ238" s="9">
        <v>101</v>
      </c>
      <c r="BA238" s="9">
        <v>959619</v>
      </c>
      <c r="BB238" s="11">
        <v>46281</v>
      </c>
      <c r="BC238" s="9">
        <v>1680</v>
      </c>
    </row>
    <row r="239" spans="1:55" x14ac:dyDescent="0.25">
      <c r="A239" s="9" t="s">
        <v>2644</v>
      </c>
      <c r="B239" s="9">
        <v>947</v>
      </c>
      <c r="C239" s="9" t="s">
        <v>2645</v>
      </c>
      <c r="D239" s="9">
        <v>1765</v>
      </c>
      <c r="E239" s="9">
        <v>2026</v>
      </c>
      <c r="F239" s="9" t="s">
        <v>1777</v>
      </c>
      <c r="G239" s="9">
        <v>62052000</v>
      </c>
      <c r="H239" s="9">
        <v>1100</v>
      </c>
      <c r="I239" s="9">
        <v>1</v>
      </c>
      <c r="J239" s="9" t="s">
        <v>2558</v>
      </c>
      <c r="L239" s="10">
        <v>92498.21</v>
      </c>
      <c r="M239" s="10">
        <v>92498.21</v>
      </c>
      <c r="N239" s="9">
        <v>0</v>
      </c>
      <c r="O239" s="9">
        <v>0</v>
      </c>
      <c r="P239" s="9">
        <v>0</v>
      </c>
      <c r="R239" s="10">
        <v>92498.21</v>
      </c>
      <c r="U239" s="9">
        <v>1</v>
      </c>
      <c r="W239" s="9">
        <v>260326210686920</v>
      </c>
      <c r="X239" s="9" t="s">
        <v>2559</v>
      </c>
      <c r="Y239" s="9" t="s">
        <v>2560</v>
      </c>
      <c r="Z239" s="9" t="s">
        <v>2715</v>
      </c>
      <c r="AA239" s="9" t="s">
        <v>2716</v>
      </c>
      <c r="AF239" s="9">
        <v>10</v>
      </c>
      <c r="AG239" s="9" t="s">
        <v>2563</v>
      </c>
      <c r="AH239" s="9">
        <v>8135</v>
      </c>
      <c r="AP239" s="11">
        <v>46282</v>
      </c>
      <c r="AQ239" s="9" t="s">
        <v>2564</v>
      </c>
      <c r="AR239" s="9">
        <v>4</v>
      </c>
      <c r="AU239" s="9" t="s">
        <v>2566</v>
      </c>
      <c r="AZ239" s="9">
        <v>306</v>
      </c>
      <c r="BA239" s="9">
        <v>462763</v>
      </c>
      <c r="BB239" s="11">
        <v>46282</v>
      </c>
      <c r="BC239" s="9">
        <v>1680</v>
      </c>
    </row>
    <row r="240" spans="1:55" x14ac:dyDescent="0.25">
      <c r="A240" s="9" t="s">
        <v>2644</v>
      </c>
      <c r="B240" s="9">
        <v>947</v>
      </c>
      <c r="C240" s="9" t="s">
        <v>2645</v>
      </c>
      <c r="D240" s="9">
        <v>1742</v>
      </c>
      <c r="E240" s="9">
        <v>2026</v>
      </c>
      <c r="F240" s="9" t="s">
        <v>1485</v>
      </c>
      <c r="G240" s="9">
        <v>62052000</v>
      </c>
      <c r="H240" s="9">
        <v>0</v>
      </c>
      <c r="I240" s="9">
        <v>1</v>
      </c>
      <c r="J240" s="9" t="s">
        <v>2558</v>
      </c>
      <c r="K240" s="10">
        <v>1900</v>
      </c>
      <c r="L240" s="10">
        <v>8835</v>
      </c>
      <c r="M240" s="10">
        <v>8835</v>
      </c>
      <c r="N240" s="9">
        <v>0</v>
      </c>
      <c r="O240" s="9">
        <v>0</v>
      </c>
      <c r="P240" s="9">
        <v>0</v>
      </c>
      <c r="Q240" s="9">
        <v>1900</v>
      </c>
      <c r="R240" s="10">
        <v>1900</v>
      </c>
      <c r="U240" s="9">
        <v>1</v>
      </c>
      <c r="W240" s="9">
        <v>260326210686920</v>
      </c>
      <c r="X240" s="9" t="s">
        <v>2559</v>
      </c>
      <c r="Y240" s="9" t="s">
        <v>2560</v>
      </c>
      <c r="Z240" s="9" t="s">
        <v>2762</v>
      </c>
      <c r="AA240" s="9" t="s">
        <v>2763</v>
      </c>
      <c r="AF240" s="9">
        <v>10</v>
      </c>
      <c r="AG240" s="9" t="s">
        <v>2563</v>
      </c>
      <c r="AH240" s="9">
        <v>1900</v>
      </c>
      <c r="AO240" s="9" t="s">
        <v>2592</v>
      </c>
      <c r="AP240" s="11">
        <v>46282</v>
      </c>
      <c r="AQ240" s="9" t="s">
        <v>2564</v>
      </c>
      <c r="AR240" s="9">
        <v>4</v>
      </c>
      <c r="AS240" s="9" t="s">
        <v>2565</v>
      </c>
      <c r="AU240" s="9" t="s">
        <v>2566</v>
      </c>
      <c r="AV240" s="9" t="s">
        <v>269</v>
      </c>
      <c r="AX240" s="9">
        <v>2610439</v>
      </c>
      <c r="AZ240" s="9">
        <v>306</v>
      </c>
      <c r="BA240" s="9">
        <v>479691</v>
      </c>
      <c r="BB240" s="11">
        <v>46286</v>
      </c>
      <c r="BC240" s="9">
        <v>1680</v>
      </c>
    </row>
    <row r="241" spans="1:55" x14ac:dyDescent="0.25">
      <c r="A241" s="9" t="s">
        <v>2644</v>
      </c>
      <c r="B241" s="9">
        <v>947</v>
      </c>
      <c r="C241" s="9" t="s">
        <v>2645</v>
      </c>
      <c r="D241" s="9">
        <v>1743</v>
      </c>
      <c r="E241" s="9">
        <v>2026</v>
      </c>
      <c r="F241" s="9" t="s">
        <v>1490</v>
      </c>
      <c r="G241" s="9">
        <v>62052000</v>
      </c>
      <c r="H241" s="9">
        <v>0</v>
      </c>
      <c r="I241" s="9">
        <v>1</v>
      </c>
      <c r="J241" s="9" t="s">
        <v>2558</v>
      </c>
      <c r="K241" s="10">
        <v>2500</v>
      </c>
      <c r="L241" s="10">
        <v>14500</v>
      </c>
      <c r="M241" s="10">
        <v>14500</v>
      </c>
      <c r="N241" s="9">
        <v>0</v>
      </c>
      <c r="O241" s="9">
        <v>0</v>
      </c>
      <c r="P241" s="9">
        <v>0</v>
      </c>
      <c r="Q241" s="9">
        <v>2500</v>
      </c>
      <c r="R241" s="10">
        <v>2500</v>
      </c>
      <c r="U241" s="9">
        <v>1</v>
      </c>
      <c r="W241" s="9">
        <v>260326210686920</v>
      </c>
      <c r="X241" s="9" t="s">
        <v>2559</v>
      </c>
      <c r="Y241" s="9" t="s">
        <v>2560</v>
      </c>
      <c r="Z241" s="9" t="s">
        <v>2762</v>
      </c>
      <c r="AA241" s="9" t="s">
        <v>2763</v>
      </c>
      <c r="AF241" s="9">
        <v>10</v>
      </c>
      <c r="AG241" s="9" t="s">
        <v>2563</v>
      </c>
      <c r="AH241" s="9">
        <v>2500</v>
      </c>
      <c r="AO241" s="9" t="s">
        <v>2592</v>
      </c>
      <c r="AP241" s="11">
        <v>46282</v>
      </c>
      <c r="AQ241" s="9" t="s">
        <v>2564</v>
      </c>
      <c r="AR241" s="9">
        <v>4</v>
      </c>
      <c r="AS241" s="9" t="s">
        <v>2565</v>
      </c>
      <c r="AU241" s="9" t="s">
        <v>2566</v>
      </c>
      <c r="AV241" s="9" t="s">
        <v>269</v>
      </c>
      <c r="AX241" s="9">
        <v>2610440</v>
      </c>
      <c r="AZ241" s="9">
        <v>306</v>
      </c>
      <c r="BA241" s="9">
        <v>474082</v>
      </c>
      <c r="BB241" s="11">
        <v>46285</v>
      </c>
      <c r="BC241" s="9">
        <v>1680</v>
      </c>
    </row>
    <row r="242" spans="1:55" x14ac:dyDescent="0.25">
      <c r="A242" s="9" t="s">
        <v>2644</v>
      </c>
      <c r="B242" s="9">
        <v>947</v>
      </c>
      <c r="C242" s="9" t="s">
        <v>2645</v>
      </c>
      <c r="D242" s="9">
        <v>1744</v>
      </c>
      <c r="E242" s="9">
        <v>2026</v>
      </c>
      <c r="F242" s="9" t="s">
        <v>1493</v>
      </c>
      <c r="G242" s="9">
        <v>62052000</v>
      </c>
      <c r="H242" s="9">
        <v>2020</v>
      </c>
      <c r="I242" s="9">
        <v>1</v>
      </c>
      <c r="J242" s="9" t="s">
        <v>2558</v>
      </c>
      <c r="K242" s="10">
        <v>1340</v>
      </c>
      <c r="L242" s="10">
        <v>6231</v>
      </c>
      <c r="M242" s="10">
        <v>6231</v>
      </c>
      <c r="N242" s="9">
        <v>0</v>
      </c>
      <c r="O242" s="9">
        <v>0</v>
      </c>
      <c r="P242" s="9">
        <v>0</v>
      </c>
      <c r="Q242" s="9">
        <v>1340</v>
      </c>
      <c r="R242" s="10">
        <v>1340</v>
      </c>
      <c r="U242" s="9">
        <v>1</v>
      </c>
      <c r="W242" s="9">
        <v>260326210686920</v>
      </c>
      <c r="X242" s="9" t="s">
        <v>2559</v>
      </c>
      <c r="Y242" s="9" t="s">
        <v>2560</v>
      </c>
      <c r="Z242" s="9" t="s">
        <v>2762</v>
      </c>
      <c r="AA242" s="9" t="s">
        <v>2763</v>
      </c>
      <c r="AF242" s="9">
        <v>10</v>
      </c>
      <c r="AG242" s="9" t="s">
        <v>2563</v>
      </c>
      <c r="AH242" s="9">
        <v>1340</v>
      </c>
      <c r="AO242" s="9" t="s">
        <v>2592</v>
      </c>
      <c r="AP242" s="11">
        <v>46282</v>
      </c>
      <c r="AQ242" s="9" t="s">
        <v>2564</v>
      </c>
      <c r="AR242" s="9">
        <v>4</v>
      </c>
      <c r="AS242" s="9" t="s">
        <v>2565</v>
      </c>
      <c r="AU242" s="9" t="s">
        <v>2566</v>
      </c>
      <c r="AV242" s="9" t="s">
        <v>262</v>
      </c>
      <c r="AX242" s="9">
        <v>2610441</v>
      </c>
      <c r="AZ242" s="9">
        <v>306</v>
      </c>
      <c r="BA242" s="9">
        <v>479641</v>
      </c>
      <c r="BB242" s="11">
        <v>46286</v>
      </c>
      <c r="BC242" s="9">
        <v>1680</v>
      </c>
    </row>
    <row r="243" spans="1:55" x14ac:dyDescent="0.25">
      <c r="A243" s="9" t="s">
        <v>2644</v>
      </c>
      <c r="B243" s="9">
        <v>947</v>
      </c>
      <c r="C243" s="9" t="s">
        <v>2645</v>
      </c>
      <c r="D243" s="9">
        <v>1745</v>
      </c>
      <c r="E243" s="9">
        <v>2026</v>
      </c>
      <c r="F243" s="9" t="s">
        <v>1496</v>
      </c>
      <c r="G243" s="9">
        <v>62052000</v>
      </c>
      <c r="H243" s="9">
        <v>2020</v>
      </c>
      <c r="I243" s="9">
        <v>1</v>
      </c>
      <c r="J243" s="9" t="s">
        <v>2558</v>
      </c>
      <c r="K243" s="10">
        <v>1920</v>
      </c>
      <c r="L243" s="10">
        <v>11136</v>
      </c>
      <c r="M243" s="10">
        <v>11136</v>
      </c>
      <c r="N243" s="9">
        <v>0</v>
      </c>
      <c r="O243" s="9">
        <v>0</v>
      </c>
      <c r="P243" s="9">
        <v>0</v>
      </c>
      <c r="Q243" s="9">
        <v>1920</v>
      </c>
      <c r="R243" s="10">
        <v>1920</v>
      </c>
      <c r="U243" s="9">
        <v>1</v>
      </c>
      <c r="W243" s="9">
        <v>260326210686920</v>
      </c>
      <c r="X243" s="9" t="s">
        <v>2559</v>
      </c>
      <c r="Y243" s="9" t="s">
        <v>2560</v>
      </c>
      <c r="Z243" s="9" t="s">
        <v>2762</v>
      </c>
      <c r="AA243" s="9" t="s">
        <v>2763</v>
      </c>
      <c r="AF243" s="9">
        <v>10</v>
      </c>
      <c r="AG243" s="9" t="s">
        <v>2563</v>
      </c>
      <c r="AH243" s="9">
        <v>1920</v>
      </c>
      <c r="AO243" s="9" t="s">
        <v>2592</v>
      </c>
      <c r="AP243" s="11">
        <v>46282</v>
      </c>
      <c r="AQ243" s="9" t="s">
        <v>2564</v>
      </c>
      <c r="AR243" s="9">
        <v>4</v>
      </c>
      <c r="AS243" s="9" t="s">
        <v>2565</v>
      </c>
      <c r="AU243" s="9" t="s">
        <v>2566</v>
      </c>
      <c r="AV243" s="9" t="s">
        <v>262</v>
      </c>
      <c r="AX243" s="9">
        <v>2610442</v>
      </c>
      <c r="AZ243" s="9">
        <v>306</v>
      </c>
      <c r="BA243" s="9">
        <v>474073</v>
      </c>
      <c r="BB243" s="11">
        <v>46285</v>
      </c>
      <c r="BC243" s="9">
        <v>1680</v>
      </c>
    </row>
    <row r="244" spans="1:55" x14ac:dyDescent="0.25">
      <c r="A244" s="9" t="s">
        <v>2644</v>
      </c>
      <c r="B244" s="9">
        <v>947</v>
      </c>
      <c r="C244" s="9" t="s">
        <v>2645</v>
      </c>
      <c r="D244" s="9">
        <v>1746</v>
      </c>
      <c r="E244" s="9">
        <v>2026</v>
      </c>
      <c r="F244" s="9" t="s">
        <v>1500</v>
      </c>
      <c r="G244" s="9">
        <v>62052000</v>
      </c>
      <c r="H244" s="9">
        <v>2020</v>
      </c>
      <c r="I244" s="9">
        <v>1</v>
      </c>
      <c r="J244" s="9" t="s">
        <v>2558</v>
      </c>
      <c r="K244" s="10">
        <v>3700</v>
      </c>
      <c r="L244" s="10">
        <v>17205</v>
      </c>
      <c r="M244" s="10">
        <v>17205</v>
      </c>
      <c r="N244" s="9">
        <v>0</v>
      </c>
      <c r="O244" s="9">
        <v>0</v>
      </c>
      <c r="P244" s="9">
        <v>0</v>
      </c>
      <c r="Q244" s="9">
        <v>3700</v>
      </c>
      <c r="R244" s="10">
        <v>3700</v>
      </c>
      <c r="U244" s="9">
        <v>1</v>
      </c>
      <c r="W244" s="9">
        <v>260326210686920</v>
      </c>
      <c r="X244" s="9" t="s">
        <v>2559</v>
      </c>
      <c r="Y244" s="9" t="s">
        <v>2560</v>
      </c>
      <c r="Z244" s="9" t="s">
        <v>2762</v>
      </c>
      <c r="AA244" s="9" t="s">
        <v>2763</v>
      </c>
      <c r="AF244" s="9">
        <v>10</v>
      </c>
      <c r="AG244" s="9" t="s">
        <v>2563</v>
      </c>
      <c r="AH244" s="9">
        <v>3700</v>
      </c>
      <c r="AO244" s="9" t="s">
        <v>2577</v>
      </c>
      <c r="AP244" s="11">
        <v>46282</v>
      </c>
      <c r="AQ244" s="9" t="s">
        <v>2564</v>
      </c>
      <c r="AR244" s="9">
        <v>4</v>
      </c>
      <c r="AS244" s="9" t="s">
        <v>2565</v>
      </c>
      <c r="AU244" s="9" t="s">
        <v>2566</v>
      </c>
      <c r="AV244" s="9" t="s">
        <v>252</v>
      </c>
      <c r="AX244" s="9">
        <v>2610443</v>
      </c>
      <c r="AZ244" s="9">
        <v>306</v>
      </c>
      <c r="BA244" s="9">
        <v>472658</v>
      </c>
      <c r="BB244" s="11">
        <v>46284</v>
      </c>
      <c r="BC244" s="9">
        <v>1680</v>
      </c>
    </row>
    <row r="245" spans="1:55" x14ac:dyDescent="0.25">
      <c r="A245" s="9" t="s">
        <v>2644</v>
      </c>
      <c r="B245" s="9">
        <v>947</v>
      </c>
      <c r="C245" s="9" t="s">
        <v>2645</v>
      </c>
      <c r="D245" s="9">
        <v>1747</v>
      </c>
      <c r="E245" s="9">
        <v>2026</v>
      </c>
      <c r="F245" s="9" t="s">
        <v>1503</v>
      </c>
      <c r="G245" s="9">
        <v>62052000</v>
      </c>
      <c r="H245" s="9">
        <v>2020</v>
      </c>
      <c r="I245" s="9">
        <v>1</v>
      </c>
      <c r="J245" s="9" t="s">
        <v>2558</v>
      </c>
      <c r="K245" s="10">
        <v>3900</v>
      </c>
      <c r="L245" s="10">
        <v>22620</v>
      </c>
      <c r="M245" s="10">
        <v>22620</v>
      </c>
      <c r="N245" s="9">
        <v>0</v>
      </c>
      <c r="O245" s="9">
        <v>0</v>
      </c>
      <c r="P245" s="9">
        <v>0</v>
      </c>
      <c r="Q245" s="9">
        <v>3900</v>
      </c>
      <c r="R245" s="10">
        <v>3900</v>
      </c>
      <c r="U245" s="9">
        <v>1</v>
      </c>
      <c r="W245" s="9">
        <v>260326210686920</v>
      </c>
      <c r="X245" s="9" t="s">
        <v>2559</v>
      </c>
      <c r="Y245" s="9" t="s">
        <v>2560</v>
      </c>
      <c r="Z245" s="9" t="s">
        <v>2762</v>
      </c>
      <c r="AA245" s="9" t="s">
        <v>2763</v>
      </c>
      <c r="AF245" s="9">
        <v>10</v>
      </c>
      <c r="AG245" s="9" t="s">
        <v>2563</v>
      </c>
      <c r="AH245" s="9">
        <v>3900</v>
      </c>
      <c r="AO245" s="9" t="s">
        <v>2577</v>
      </c>
      <c r="AP245" s="11">
        <v>46282</v>
      </c>
      <c r="AQ245" s="9" t="s">
        <v>2564</v>
      </c>
      <c r="AR245" s="9">
        <v>4</v>
      </c>
      <c r="AS245" s="9" t="s">
        <v>2565</v>
      </c>
      <c r="AU245" s="9" t="s">
        <v>2566</v>
      </c>
      <c r="AV245" s="9" t="s">
        <v>252</v>
      </c>
      <c r="AX245" s="9">
        <v>2610444</v>
      </c>
      <c r="AZ245" s="9">
        <v>306</v>
      </c>
      <c r="BA245" s="9">
        <v>479623</v>
      </c>
      <c r="BB245" s="11">
        <v>46286</v>
      </c>
      <c r="BC245" s="9">
        <v>1680</v>
      </c>
    </row>
    <row r="246" spans="1:55" x14ac:dyDescent="0.25">
      <c r="A246" s="9" t="s">
        <v>2644</v>
      </c>
      <c r="B246" s="9">
        <v>947</v>
      </c>
      <c r="C246" s="9" t="s">
        <v>2645</v>
      </c>
      <c r="D246" s="9">
        <v>1748</v>
      </c>
      <c r="E246" s="9">
        <v>2026</v>
      </c>
      <c r="F246" s="9" t="s">
        <v>1506</v>
      </c>
      <c r="G246" s="9">
        <v>62052000</v>
      </c>
      <c r="H246" s="9">
        <v>2000</v>
      </c>
      <c r="I246" s="9">
        <v>1</v>
      </c>
      <c r="J246" s="9" t="s">
        <v>2558</v>
      </c>
      <c r="K246" s="9">
        <v>600</v>
      </c>
      <c r="L246" s="10">
        <v>2790</v>
      </c>
      <c r="M246" s="10">
        <v>2790</v>
      </c>
      <c r="N246" s="9">
        <v>0</v>
      </c>
      <c r="O246" s="9">
        <v>0</v>
      </c>
      <c r="P246" s="9">
        <v>0</v>
      </c>
      <c r="Q246" s="9">
        <v>600</v>
      </c>
      <c r="R246" s="9">
        <v>600</v>
      </c>
      <c r="U246" s="9">
        <v>1</v>
      </c>
      <c r="W246" s="9">
        <v>260326210686920</v>
      </c>
      <c r="X246" s="9" t="s">
        <v>2559</v>
      </c>
      <c r="Y246" s="9" t="s">
        <v>2560</v>
      </c>
      <c r="Z246" s="9" t="s">
        <v>2762</v>
      </c>
      <c r="AA246" s="9" t="s">
        <v>2763</v>
      </c>
      <c r="AF246" s="9">
        <v>10</v>
      </c>
      <c r="AG246" s="9" t="s">
        <v>2563</v>
      </c>
      <c r="AH246" s="9">
        <v>600</v>
      </c>
      <c r="AO246" s="9" t="s">
        <v>2592</v>
      </c>
      <c r="AP246" s="11">
        <v>46282</v>
      </c>
      <c r="AQ246" s="9" t="s">
        <v>2564</v>
      </c>
      <c r="AR246" s="9">
        <v>4</v>
      </c>
      <c r="AS246" s="9" t="s">
        <v>2565</v>
      </c>
      <c r="AU246" s="9" t="s">
        <v>2566</v>
      </c>
      <c r="AV246" s="9" t="s">
        <v>258</v>
      </c>
      <c r="AX246" s="9">
        <v>2610445</v>
      </c>
      <c r="AZ246" s="9">
        <v>306</v>
      </c>
      <c r="BA246" s="9">
        <v>479708</v>
      </c>
      <c r="BB246" s="11">
        <v>46286</v>
      </c>
      <c r="BC246" s="9">
        <v>1680</v>
      </c>
    </row>
    <row r="247" spans="1:55" x14ac:dyDescent="0.25">
      <c r="A247" s="9" t="s">
        <v>2644</v>
      </c>
      <c r="B247" s="9">
        <v>947</v>
      </c>
      <c r="C247" s="9" t="s">
        <v>2645</v>
      </c>
      <c r="D247" s="9">
        <v>1749</v>
      </c>
      <c r="E247" s="9">
        <v>2026</v>
      </c>
      <c r="F247" s="9" t="s">
        <v>1509</v>
      </c>
      <c r="G247" s="9">
        <v>62052000</v>
      </c>
      <c r="H247" s="9">
        <v>2000</v>
      </c>
      <c r="I247" s="9">
        <v>1</v>
      </c>
      <c r="J247" s="9" t="s">
        <v>2558</v>
      </c>
      <c r="K247" s="9">
        <v>600</v>
      </c>
      <c r="L247" s="10">
        <v>3480</v>
      </c>
      <c r="M247" s="10">
        <v>3480</v>
      </c>
      <c r="N247" s="9">
        <v>0</v>
      </c>
      <c r="O247" s="9">
        <v>0</v>
      </c>
      <c r="P247" s="9">
        <v>0</v>
      </c>
      <c r="Q247" s="9">
        <v>600</v>
      </c>
      <c r="R247" s="9">
        <v>600</v>
      </c>
      <c r="U247" s="9">
        <v>1</v>
      </c>
      <c r="W247" s="9">
        <v>260326210686920</v>
      </c>
      <c r="X247" s="9" t="s">
        <v>2559</v>
      </c>
      <c r="Y247" s="9" t="s">
        <v>2560</v>
      </c>
      <c r="Z247" s="9" t="s">
        <v>2762</v>
      </c>
      <c r="AA247" s="9" t="s">
        <v>2763</v>
      </c>
      <c r="AF247" s="9">
        <v>10</v>
      </c>
      <c r="AG247" s="9" t="s">
        <v>2563</v>
      </c>
      <c r="AH247" s="9">
        <v>600</v>
      </c>
      <c r="AO247" s="9" t="s">
        <v>2592</v>
      </c>
      <c r="AP247" s="11">
        <v>46282</v>
      </c>
      <c r="AQ247" s="9" t="s">
        <v>2564</v>
      </c>
      <c r="AR247" s="9">
        <v>4</v>
      </c>
      <c r="AS247" s="9" t="s">
        <v>2565</v>
      </c>
      <c r="AU247" s="9" t="s">
        <v>2566</v>
      </c>
      <c r="AV247" s="9" t="s">
        <v>258</v>
      </c>
      <c r="AX247" s="9">
        <v>2610446</v>
      </c>
      <c r="AZ247" s="9">
        <v>306</v>
      </c>
      <c r="BA247" s="9">
        <v>479723</v>
      </c>
      <c r="BB247" s="11">
        <v>46286</v>
      </c>
      <c r="BC247" s="9">
        <v>1680</v>
      </c>
    </row>
    <row r="248" spans="1:55" x14ac:dyDescent="0.25">
      <c r="A248" s="9" t="s">
        <v>2644</v>
      </c>
      <c r="B248" s="9">
        <v>947</v>
      </c>
      <c r="C248" s="9" t="s">
        <v>2645</v>
      </c>
      <c r="D248" s="9">
        <v>1750</v>
      </c>
      <c r="E248" s="9">
        <v>2026</v>
      </c>
      <c r="F248" s="9" t="s">
        <v>1512</v>
      </c>
      <c r="G248" s="9">
        <v>62052000</v>
      </c>
      <c r="H248" s="9">
        <v>2020</v>
      </c>
      <c r="I248" s="9">
        <v>1</v>
      </c>
      <c r="J248" s="9" t="s">
        <v>2558</v>
      </c>
      <c r="K248" s="10">
        <v>2300</v>
      </c>
      <c r="L248" s="10">
        <v>10695</v>
      </c>
      <c r="M248" s="10">
        <v>10695</v>
      </c>
      <c r="N248" s="9">
        <v>0</v>
      </c>
      <c r="O248" s="9">
        <v>0</v>
      </c>
      <c r="P248" s="9">
        <v>0</v>
      </c>
      <c r="Q248" s="9">
        <v>2300</v>
      </c>
      <c r="R248" s="10">
        <v>2300</v>
      </c>
      <c r="U248" s="9">
        <v>1</v>
      </c>
      <c r="W248" s="9">
        <v>260326210686920</v>
      </c>
      <c r="X248" s="9" t="s">
        <v>2559</v>
      </c>
      <c r="Y248" s="9" t="s">
        <v>2560</v>
      </c>
      <c r="Z248" s="9" t="s">
        <v>2762</v>
      </c>
      <c r="AA248" s="9" t="s">
        <v>2763</v>
      </c>
      <c r="AF248" s="9">
        <v>10</v>
      </c>
      <c r="AG248" s="9" t="s">
        <v>2563</v>
      </c>
      <c r="AH248" s="9">
        <v>2300</v>
      </c>
      <c r="AO248" s="9" t="s">
        <v>2592</v>
      </c>
      <c r="AP248" s="11">
        <v>46282</v>
      </c>
      <c r="AQ248" s="9" t="s">
        <v>2564</v>
      </c>
      <c r="AR248" s="9">
        <v>4</v>
      </c>
      <c r="AS248" s="9" t="s">
        <v>2565</v>
      </c>
      <c r="AU248" s="9" t="s">
        <v>2566</v>
      </c>
      <c r="AV248" s="9" t="s">
        <v>262</v>
      </c>
      <c r="AX248" s="9">
        <v>2610447</v>
      </c>
      <c r="AZ248" s="9">
        <v>306</v>
      </c>
      <c r="BA248" s="9">
        <v>472682</v>
      </c>
      <c r="BB248" s="11">
        <v>46284</v>
      </c>
      <c r="BC248" s="9">
        <v>1680</v>
      </c>
    </row>
    <row r="249" spans="1:55" x14ac:dyDescent="0.25">
      <c r="A249" s="9" t="s">
        <v>2644</v>
      </c>
      <c r="B249" s="9">
        <v>947</v>
      </c>
      <c r="C249" s="9" t="s">
        <v>2645</v>
      </c>
      <c r="D249" s="9">
        <v>1751</v>
      </c>
      <c r="E249" s="9">
        <v>2026</v>
      </c>
      <c r="F249" s="9" t="s">
        <v>1516</v>
      </c>
      <c r="G249" s="9">
        <v>62052000</v>
      </c>
      <c r="H249" s="9">
        <v>2020</v>
      </c>
      <c r="I249" s="9">
        <v>1</v>
      </c>
      <c r="J249" s="9" t="s">
        <v>2558</v>
      </c>
      <c r="K249" s="10">
        <v>3200</v>
      </c>
      <c r="L249" s="10">
        <v>18560</v>
      </c>
      <c r="M249" s="10">
        <v>18560</v>
      </c>
      <c r="N249" s="9">
        <v>0</v>
      </c>
      <c r="O249" s="9">
        <v>0</v>
      </c>
      <c r="P249" s="9">
        <v>0</v>
      </c>
      <c r="Q249" s="9">
        <v>3200</v>
      </c>
      <c r="R249" s="10">
        <v>3200</v>
      </c>
      <c r="U249" s="9">
        <v>1</v>
      </c>
      <c r="W249" s="9">
        <v>260326210686920</v>
      </c>
      <c r="X249" s="9" t="s">
        <v>2559</v>
      </c>
      <c r="Y249" s="9" t="s">
        <v>2560</v>
      </c>
      <c r="Z249" s="9" t="s">
        <v>2762</v>
      </c>
      <c r="AA249" s="9" t="s">
        <v>2763</v>
      </c>
      <c r="AF249" s="9">
        <v>10</v>
      </c>
      <c r="AG249" s="9" t="s">
        <v>2563</v>
      </c>
      <c r="AH249" s="9">
        <v>3200</v>
      </c>
      <c r="AO249" s="9" t="s">
        <v>2592</v>
      </c>
      <c r="AP249" s="11">
        <v>46282</v>
      </c>
      <c r="AQ249" s="9" t="s">
        <v>2564</v>
      </c>
      <c r="AR249" s="9">
        <v>4</v>
      </c>
      <c r="AS249" s="9" t="s">
        <v>2565</v>
      </c>
      <c r="AU249" s="9" t="s">
        <v>2566</v>
      </c>
      <c r="AV249" s="9" t="s">
        <v>262</v>
      </c>
      <c r="AX249" s="9">
        <v>2610448</v>
      </c>
      <c r="AZ249" s="9">
        <v>306</v>
      </c>
      <c r="BA249" s="9">
        <v>472652</v>
      </c>
      <c r="BB249" s="11">
        <v>46284</v>
      </c>
      <c r="BC249" s="9">
        <v>1680</v>
      </c>
    </row>
    <row r="250" spans="1:55" x14ac:dyDescent="0.25">
      <c r="A250" s="9" t="s">
        <v>2644</v>
      </c>
      <c r="B250" s="9">
        <v>947</v>
      </c>
      <c r="C250" s="9" t="s">
        <v>2645</v>
      </c>
      <c r="D250" s="9">
        <v>1752</v>
      </c>
      <c r="E250" s="9">
        <v>2026</v>
      </c>
      <c r="F250" s="9" t="s">
        <v>1519</v>
      </c>
      <c r="G250" s="9">
        <v>62052000</v>
      </c>
      <c r="H250" s="9">
        <v>2016</v>
      </c>
      <c r="I250" s="9">
        <v>1</v>
      </c>
      <c r="J250" s="9" t="s">
        <v>2558</v>
      </c>
      <c r="K250" s="10">
        <v>2600</v>
      </c>
      <c r="L250" s="10">
        <v>12090</v>
      </c>
      <c r="M250" s="10">
        <v>12090</v>
      </c>
      <c r="N250" s="9">
        <v>0</v>
      </c>
      <c r="O250" s="9">
        <v>0</v>
      </c>
      <c r="P250" s="9">
        <v>0</v>
      </c>
      <c r="Q250" s="9">
        <v>2600</v>
      </c>
      <c r="R250" s="10">
        <v>2600</v>
      </c>
      <c r="U250" s="9">
        <v>1</v>
      </c>
      <c r="W250" s="9">
        <v>260326210686920</v>
      </c>
      <c r="X250" s="9" t="s">
        <v>2559</v>
      </c>
      <c r="Y250" s="9" t="s">
        <v>2560</v>
      </c>
      <c r="Z250" s="9" t="s">
        <v>2762</v>
      </c>
      <c r="AA250" s="9" t="s">
        <v>2763</v>
      </c>
      <c r="AF250" s="9">
        <v>10</v>
      </c>
      <c r="AG250" s="9" t="s">
        <v>2563</v>
      </c>
      <c r="AH250" s="9">
        <v>2600</v>
      </c>
      <c r="AO250" s="9" t="s">
        <v>2592</v>
      </c>
      <c r="AP250" s="11">
        <v>46282</v>
      </c>
      <c r="AQ250" s="9" t="s">
        <v>2564</v>
      </c>
      <c r="AR250" s="9">
        <v>4</v>
      </c>
      <c r="AS250" s="9" t="s">
        <v>2565</v>
      </c>
      <c r="AU250" s="9" t="s">
        <v>2566</v>
      </c>
      <c r="AV250" s="9" t="s">
        <v>183</v>
      </c>
      <c r="AX250" s="9">
        <v>2610449</v>
      </c>
      <c r="AZ250" s="9">
        <v>306</v>
      </c>
      <c r="BA250" s="9">
        <v>472671</v>
      </c>
      <c r="BB250" s="11">
        <v>46284</v>
      </c>
      <c r="BC250" s="9">
        <v>1680</v>
      </c>
    </row>
    <row r="251" spans="1:55" x14ac:dyDescent="0.25">
      <c r="A251" s="9" t="s">
        <v>2644</v>
      </c>
      <c r="B251" s="9">
        <v>947</v>
      </c>
      <c r="C251" s="9" t="s">
        <v>2645</v>
      </c>
      <c r="D251" s="9">
        <v>1753</v>
      </c>
      <c r="E251" s="9">
        <v>2026</v>
      </c>
      <c r="F251" s="9" t="s">
        <v>1522</v>
      </c>
      <c r="G251" s="9">
        <v>62052000</v>
      </c>
      <c r="H251" s="9">
        <v>2016</v>
      </c>
      <c r="I251" s="9">
        <v>1</v>
      </c>
      <c r="J251" s="9" t="s">
        <v>2558</v>
      </c>
      <c r="K251" s="10">
        <v>4300</v>
      </c>
      <c r="L251" s="10">
        <v>24940</v>
      </c>
      <c r="M251" s="10">
        <v>24940</v>
      </c>
      <c r="N251" s="9">
        <v>0</v>
      </c>
      <c r="O251" s="9">
        <v>0</v>
      </c>
      <c r="P251" s="9">
        <v>0</v>
      </c>
      <c r="Q251" s="9">
        <v>4300</v>
      </c>
      <c r="R251" s="10">
        <v>4300</v>
      </c>
      <c r="U251" s="9">
        <v>1</v>
      </c>
      <c r="W251" s="9">
        <v>260326210686920</v>
      </c>
      <c r="X251" s="9" t="s">
        <v>2559</v>
      </c>
      <c r="Y251" s="9" t="s">
        <v>2560</v>
      </c>
      <c r="Z251" s="9" t="s">
        <v>2762</v>
      </c>
      <c r="AA251" s="9" t="s">
        <v>2763</v>
      </c>
      <c r="AF251" s="9">
        <v>10</v>
      </c>
      <c r="AG251" s="9" t="s">
        <v>2563</v>
      </c>
      <c r="AH251" s="9">
        <v>4300</v>
      </c>
      <c r="AO251" s="9" t="s">
        <v>2592</v>
      </c>
      <c r="AP251" s="11">
        <v>46282</v>
      </c>
      <c r="AQ251" s="9" t="s">
        <v>2564</v>
      </c>
      <c r="AR251" s="9">
        <v>4</v>
      </c>
      <c r="AS251" s="9" t="s">
        <v>2565</v>
      </c>
      <c r="AU251" s="9" t="s">
        <v>2566</v>
      </c>
      <c r="AV251" s="9" t="s">
        <v>183</v>
      </c>
      <c r="AX251" s="9">
        <v>2610450</v>
      </c>
      <c r="AZ251" s="9">
        <v>306</v>
      </c>
      <c r="BA251" s="9">
        <v>472676</v>
      </c>
      <c r="BB251" s="11">
        <v>46284</v>
      </c>
      <c r="BC251" s="9">
        <v>1680</v>
      </c>
    </row>
    <row r="252" spans="1:55" x14ac:dyDescent="0.25">
      <c r="A252" s="9" t="s">
        <v>2644</v>
      </c>
      <c r="B252" s="9">
        <v>947</v>
      </c>
      <c r="C252" s="9" t="s">
        <v>2645</v>
      </c>
      <c r="D252" s="9">
        <v>1754</v>
      </c>
      <c r="E252" s="9">
        <v>2026</v>
      </c>
      <c r="F252" s="9" t="s">
        <v>1526</v>
      </c>
      <c r="G252" s="9">
        <v>62052000</v>
      </c>
      <c r="H252" s="9">
        <v>2000</v>
      </c>
      <c r="I252" s="9">
        <v>1</v>
      </c>
      <c r="J252" s="9" t="s">
        <v>2558</v>
      </c>
      <c r="K252" s="10">
        <v>14900</v>
      </c>
      <c r="L252" s="10">
        <v>69285</v>
      </c>
      <c r="M252" s="10">
        <v>69285</v>
      </c>
      <c r="N252" s="9">
        <v>0</v>
      </c>
      <c r="O252" s="9">
        <v>0</v>
      </c>
      <c r="P252" s="9">
        <v>0</v>
      </c>
      <c r="Q252" s="9">
        <v>14900</v>
      </c>
      <c r="R252" s="10">
        <v>14900</v>
      </c>
      <c r="U252" s="9">
        <v>1</v>
      </c>
      <c r="W252" s="9">
        <v>260326210686920</v>
      </c>
      <c r="X252" s="9" t="s">
        <v>2559</v>
      </c>
      <c r="Y252" s="9" t="s">
        <v>2560</v>
      </c>
      <c r="Z252" s="9" t="s">
        <v>2762</v>
      </c>
      <c r="AA252" s="9" t="s">
        <v>2763</v>
      </c>
      <c r="AF252" s="9">
        <v>10</v>
      </c>
      <c r="AG252" s="9" t="s">
        <v>2563</v>
      </c>
      <c r="AH252" s="9">
        <v>14900</v>
      </c>
      <c r="AO252" s="9" t="s">
        <v>2592</v>
      </c>
      <c r="AP252" s="11">
        <v>46282</v>
      </c>
      <c r="AQ252" s="9" t="s">
        <v>2564</v>
      </c>
      <c r="AR252" s="9">
        <v>4</v>
      </c>
      <c r="AS252" s="9" t="s">
        <v>2565</v>
      </c>
      <c r="AU252" s="9" t="s">
        <v>2566</v>
      </c>
      <c r="AV252" s="9" t="s">
        <v>258</v>
      </c>
      <c r="AX252" s="9">
        <v>2610451</v>
      </c>
      <c r="AZ252" s="9">
        <v>306</v>
      </c>
      <c r="BA252" s="9">
        <v>472661</v>
      </c>
      <c r="BB252" s="11">
        <v>46284</v>
      </c>
      <c r="BC252" s="9">
        <v>1680</v>
      </c>
    </row>
    <row r="253" spans="1:55" x14ac:dyDescent="0.25">
      <c r="A253" s="9" t="s">
        <v>2644</v>
      </c>
      <c r="B253" s="9">
        <v>947</v>
      </c>
      <c r="C253" s="9" t="s">
        <v>2645</v>
      </c>
      <c r="D253" s="9">
        <v>1755</v>
      </c>
      <c r="E253" s="9">
        <v>2026</v>
      </c>
      <c r="F253" s="9" t="s">
        <v>1530</v>
      </c>
      <c r="G253" s="9">
        <v>62052000</v>
      </c>
      <c r="H253" s="9">
        <v>2000</v>
      </c>
      <c r="I253" s="9">
        <v>1</v>
      </c>
      <c r="J253" s="9" t="s">
        <v>2558</v>
      </c>
      <c r="K253" s="10">
        <v>17300</v>
      </c>
      <c r="L253" s="10">
        <v>100340</v>
      </c>
      <c r="M253" s="10">
        <v>100340</v>
      </c>
      <c r="N253" s="9">
        <v>0</v>
      </c>
      <c r="O253" s="9">
        <v>0</v>
      </c>
      <c r="P253" s="9">
        <v>0</v>
      </c>
      <c r="Q253" s="9">
        <v>17300</v>
      </c>
      <c r="R253" s="10">
        <v>17300</v>
      </c>
      <c r="U253" s="9">
        <v>1</v>
      </c>
      <c r="W253" s="9">
        <v>260326210686920</v>
      </c>
      <c r="X253" s="9" t="s">
        <v>2559</v>
      </c>
      <c r="Y253" s="9" t="s">
        <v>2560</v>
      </c>
      <c r="Z253" s="9" t="s">
        <v>2762</v>
      </c>
      <c r="AA253" s="9" t="s">
        <v>2763</v>
      </c>
      <c r="AF253" s="9">
        <v>10</v>
      </c>
      <c r="AG253" s="9" t="s">
        <v>2563</v>
      </c>
      <c r="AH253" s="9">
        <v>17300</v>
      </c>
      <c r="AO253" s="9" t="s">
        <v>2614</v>
      </c>
      <c r="AP253" s="11">
        <v>46282</v>
      </c>
      <c r="AQ253" s="9" t="s">
        <v>2564</v>
      </c>
      <c r="AR253" s="9">
        <v>4</v>
      </c>
      <c r="AS253" s="9" t="s">
        <v>2565</v>
      </c>
      <c r="AU253" s="9" t="s">
        <v>2566</v>
      </c>
      <c r="AV253" s="9" t="s">
        <v>258</v>
      </c>
      <c r="AX253" s="9">
        <v>2610452</v>
      </c>
      <c r="AZ253" s="9">
        <v>306</v>
      </c>
      <c r="BA253" s="9">
        <v>472747</v>
      </c>
      <c r="BB253" s="11">
        <v>46284</v>
      </c>
      <c r="BC253" s="9">
        <v>1680</v>
      </c>
    </row>
    <row r="254" spans="1:55" x14ac:dyDescent="0.25">
      <c r="A254" s="9" t="s">
        <v>2644</v>
      </c>
      <c r="B254" s="9">
        <v>947</v>
      </c>
      <c r="C254" s="9" t="s">
        <v>2645</v>
      </c>
      <c r="D254" s="9">
        <v>1756</v>
      </c>
      <c r="E254" s="9">
        <v>2026</v>
      </c>
      <c r="F254" s="9" t="s">
        <v>1533</v>
      </c>
      <c r="G254" s="9">
        <v>62052000</v>
      </c>
      <c r="H254" s="9">
        <v>2020</v>
      </c>
      <c r="I254" s="9">
        <v>1</v>
      </c>
      <c r="J254" s="9" t="s">
        <v>2558</v>
      </c>
      <c r="K254" s="10">
        <v>2860</v>
      </c>
      <c r="L254" s="10">
        <v>13299</v>
      </c>
      <c r="M254" s="10">
        <v>13299</v>
      </c>
      <c r="N254" s="9">
        <v>0</v>
      </c>
      <c r="O254" s="9">
        <v>0</v>
      </c>
      <c r="P254" s="9">
        <v>0</v>
      </c>
      <c r="Q254" s="9">
        <v>2860</v>
      </c>
      <c r="R254" s="10">
        <v>2860</v>
      </c>
      <c r="U254" s="9">
        <v>1</v>
      </c>
      <c r="W254" s="9">
        <v>260326210686920</v>
      </c>
      <c r="X254" s="9" t="s">
        <v>2559</v>
      </c>
      <c r="Y254" s="9" t="s">
        <v>2560</v>
      </c>
      <c r="Z254" s="9" t="s">
        <v>2762</v>
      </c>
      <c r="AA254" s="9" t="s">
        <v>2763</v>
      </c>
      <c r="AF254" s="9">
        <v>10</v>
      </c>
      <c r="AG254" s="9" t="s">
        <v>2563</v>
      </c>
      <c r="AH254" s="9">
        <v>2860</v>
      </c>
      <c r="AO254" s="9" t="s">
        <v>2577</v>
      </c>
      <c r="AP254" s="11">
        <v>46282</v>
      </c>
      <c r="AQ254" s="9" t="s">
        <v>2564</v>
      </c>
      <c r="AR254" s="9">
        <v>4</v>
      </c>
      <c r="AS254" s="9" t="s">
        <v>2565</v>
      </c>
      <c r="AU254" s="9" t="s">
        <v>2566</v>
      </c>
      <c r="AV254" s="9" t="s">
        <v>252</v>
      </c>
      <c r="AX254" s="9">
        <v>2610453</v>
      </c>
      <c r="AZ254" s="9">
        <v>306</v>
      </c>
      <c r="BA254" s="9">
        <v>479651</v>
      </c>
      <c r="BB254" s="11">
        <v>46286</v>
      </c>
      <c r="BC254" s="9">
        <v>1680</v>
      </c>
    </row>
    <row r="255" spans="1:55" x14ac:dyDescent="0.25">
      <c r="A255" s="9" t="s">
        <v>2644</v>
      </c>
      <c r="B255" s="9">
        <v>947</v>
      </c>
      <c r="C255" s="9" t="s">
        <v>2645</v>
      </c>
      <c r="D255" s="9">
        <v>1757</v>
      </c>
      <c r="E255" s="9">
        <v>2026</v>
      </c>
      <c r="F255" s="9" t="s">
        <v>1536</v>
      </c>
      <c r="G255" s="9">
        <v>62052000</v>
      </c>
      <c r="H255" s="9">
        <v>2020</v>
      </c>
      <c r="I255" s="9">
        <v>1</v>
      </c>
      <c r="J255" s="9" t="s">
        <v>2558</v>
      </c>
      <c r="K255" s="10">
        <v>2780</v>
      </c>
      <c r="L255" s="10">
        <v>16124</v>
      </c>
      <c r="M255" s="10">
        <v>16124</v>
      </c>
      <c r="N255" s="9">
        <v>0</v>
      </c>
      <c r="O255" s="9">
        <v>0</v>
      </c>
      <c r="P255" s="9">
        <v>0</v>
      </c>
      <c r="Q255" s="9">
        <v>2780</v>
      </c>
      <c r="R255" s="10">
        <v>2780</v>
      </c>
      <c r="U255" s="9">
        <v>1</v>
      </c>
      <c r="W255" s="9">
        <v>260326210686920</v>
      </c>
      <c r="X255" s="9" t="s">
        <v>2559</v>
      </c>
      <c r="Y255" s="9" t="s">
        <v>2560</v>
      </c>
      <c r="Z255" s="9" t="s">
        <v>2762</v>
      </c>
      <c r="AA255" s="9" t="s">
        <v>2763</v>
      </c>
      <c r="AF255" s="9">
        <v>10</v>
      </c>
      <c r="AG255" s="9" t="s">
        <v>2563</v>
      </c>
      <c r="AH255" s="9">
        <v>2780</v>
      </c>
      <c r="AO255" s="9" t="s">
        <v>2577</v>
      </c>
      <c r="AP255" s="11">
        <v>46282</v>
      </c>
      <c r="AQ255" s="9" t="s">
        <v>2564</v>
      </c>
      <c r="AR255" s="9">
        <v>4</v>
      </c>
      <c r="AS255" s="9" t="s">
        <v>2565</v>
      </c>
      <c r="AU255" s="9" t="s">
        <v>2566</v>
      </c>
      <c r="AV255" s="9" t="s">
        <v>252</v>
      </c>
      <c r="AX255" s="9">
        <v>2610454</v>
      </c>
      <c r="AZ255" s="9">
        <v>306</v>
      </c>
      <c r="BA255" s="9">
        <v>474061</v>
      </c>
      <c r="BB255" s="11">
        <v>46285</v>
      </c>
      <c r="BC255" s="9">
        <v>1680</v>
      </c>
    </row>
    <row r="256" spans="1:55" x14ac:dyDescent="0.25">
      <c r="A256" s="9" t="s">
        <v>2644</v>
      </c>
      <c r="B256" s="9">
        <v>947</v>
      </c>
      <c r="C256" s="9" t="s">
        <v>2645</v>
      </c>
      <c r="D256" s="9">
        <v>1758</v>
      </c>
      <c r="E256" s="9">
        <v>2026</v>
      </c>
      <c r="F256" s="9" t="s">
        <v>1539</v>
      </c>
      <c r="G256" s="9">
        <v>62052000</v>
      </c>
      <c r="H256" s="9">
        <v>2020</v>
      </c>
      <c r="I256" s="9">
        <v>1</v>
      </c>
      <c r="J256" s="9" t="s">
        <v>2558</v>
      </c>
      <c r="K256" s="9">
        <v>400</v>
      </c>
      <c r="L256" s="10">
        <v>1860</v>
      </c>
      <c r="M256" s="10">
        <v>1860</v>
      </c>
      <c r="N256" s="9">
        <v>0</v>
      </c>
      <c r="O256" s="9">
        <v>0</v>
      </c>
      <c r="P256" s="9">
        <v>0</v>
      </c>
      <c r="Q256" s="9">
        <v>400</v>
      </c>
      <c r="R256" s="9">
        <v>400</v>
      </c>
      <c r="U256" s="9">
        <v>1</v>
      </c>
      <c r="W256" s="9">
        <v>260326210686920</v>
      </c>
      <c r="X256" s="9" t="s">
        <v>2559</v>
      </c>
      <c r="Y256" s="9" t="s">
        <v>2560</v>
      </c>
      <c r="Z256" s="9" t="s">
        <v>2762</v>
      </c>
      <c r="AA256" s="9" t="s">
        <v>2763</v>
      </c>
      <c r="AF256" s="9">
        <v>10</v>
      </c>
      <c r="AG256" s="9" t="s">
        <v>2563</v>
      </c>
      <c r="AH256" s="9">
        <v>400</v>
      </c>
      <c r="AO256" s="9" t="s">
        <v>2592</v>
      </c>
      <c r="AP256" s="11">
        <v>46282</v>
      </c>
      <c r="AQ256" s="9" t="s">
        <v>2564</v>
      </c>
      <c r="AR256" s="9">
        <v>4</v>
      </c>
      <c r="AS256" s="9" t="s">
        <v>2565</v>
      </c>
      <c r="AU256" s="9" t="s">
        <v>2566</v>
      </c>
      <c r="AV256" s="9" t="s">
        <v>262</v>
      </c>
      <c r="AX256" s="9">
        <v>2610455</v>
      </c>
      <c r="AZ256" s="9">
        <v>306</v>
      </c>
      <c r="BA256" s="9">
        <v>479671</v>
      </c>
      <c r="BB256" s="11">
        <v>46286</v>
      </c>
      <c r="BC256" s="9">
        <v>1680</v>
      </c>
    </row>
    <row r="257" spans="1:55" x14ac:dyDescent="0.25">
      <c r="A257" s="9" t="s">
        <v>2644</v>
      </c>
      <c r="B257" s="9">
        <v>947</v>
      </c>
      <c r="C257" s="9" t="s">
        <v>2645</v>
      </c>
      <c r="D257" s="9">
        <v>1738</v>
      </c>
      <c r="E257" s="9">
        <v>2026</v>
      </c>
      <c r="F257" s="9" t="s">
        <v>2911</v>
      </c>
      <c r="G257" s="9">
        <v>61109000</v>
      </c>
      <c r="H257" s="9">
        <v>2000</v>
      </c>
      <c r="I257" s="9">
        <v>1</v>
      </c>
      <c r="J257" s="9" t="s">
        <v>2558</v>
      </c>
      <c r="L257" s="10">
        <v>14421.85</v>
      </c>
      <c r="M257" s="10">
        <v>14421.85</v>
      </c>
      <c r="N257" s="9">
        <v>0</v>
      </c>
      <c r="O257" s="9">
        <v>0</v>
      </c>
      <c r="P257" s="9">
        <v>0</v>
      </c>
      <c r="R257" s="10">
        <v>14421.85</v>
      </c>
      <c r="U257" s="9">
        <v>1</v>
      </c>
      <c r="W257" s="9">
        <v>260326210686920</v>
      </c>
      <c r="X257" s="9" t="s">
        <v>2559</v>
      </c>
      <c r="Y257" s="9" t="s">
        <v>2560</v>
      </c>
      <c r="Z257" s="9" t="s">
        <v>2747</v>
      </c>
      <c r="AA257" s="9" t="s">
        <v>2912</v>
      </c>
      <c r="AF257" s="9">
        <v>10</v>
      </c>
      <c r="AG257" s="9" t="s">
        <v>2563</v>
      </c>
      <c r="AH257" s="9">
        <v>4206</v>
      </c>
      <c r="AP257" s="11">
        <v>46280</v>
      </c>
      <c r="AQ257" s="9" t="s">
        <v>2564</v>
      </c>
      <c r="AR257" s="9">
        <v>4</v>
      </c>
      <c r="AU257" s="9" t="s">
        <v>2566</v>
      </c>
      <c r="AZ257" s="9">
        <v>306</v>
      </c>
      <c r="BA257" s="9">
        <v>456094</v>
      </c>
      <c r="BB257" s="11">
        <v>46280</v>
      </c>
      <c r="BC257" s="9">
        <v>1680</v>
      </c>
    </row>
    <row r="258" spans="1:55" ht="45" x14ac:dyDescent="0.25">
      <c r="A258" s="9" t="s">
        <v>2644</v>
      </c>
      <c r="B258" s="9">
        <v>947</v>
      </c>
      <c r="C258" s="9" t="s">
        <v>2645</v>
      </c>
      <c r="D258" s="9">
        <v>1732</v>
      </c>
      <c r="E258" s="9">
        <v>2026</v>
      </c>
      <c r="F258" s="9" t="s">
        <v>2913</v>
      </c>
      <c r="G258" s="9">
        <v>62052000</v>
      </c>
      <c r="H258" s="9">
        <v>2000</v>
      </c>
      <c r="I258" s="9">
        <v>1</v>
      </c>
      <c r="J258" s="9" t="s">
        <v>2558</v>
      </c>
      <c r="L258" s="10">
        <v>14392.2</v>
      </c>
      <c r="M258" s="10">
        <v>14392.2</v>
      </c>
      <c r="N258" s="9">
        <v>0</v>
      </c>
      <c r="O258" s="9">
        <v>0</v>
      </c>
      <c r="P258" s="9">
        <v>0</v>
      </c>
      <c r="R258" s="10">
        <v>14392.2</v>
      </c>
      <c r="U258" s="9">
        <v>1</v>
      </c>
      <c r="W258" s="9">
        <v>260326210686920</v>
      </c>
      <c r="X258" s="9" t="s">
        <v>2559</v>
      </c>
      <c r="Y258" s="9" t="s">
        <v>2560</v>
      </c>
      <c r="Z258" s="9" t="s">
        <v>2747</v>
      </c>
      <c r="AA258" s="12" t="s">
        <v>2704</v>
      </c>
      <c r="AF258" s="9">
        <v>10</v>
      </c>
      <c r="AG258" s="9" t="s">
        <v>2563</v>
      </c>
      <c r="AH258" s="9">
        <v>4200</v>
      </c>
      <c r="AP258" s="11">
        <v>46280</v>
      </c>
      <c r="AQ258" s="9" t="s">
        <v>2564</v>
      </c>
      <c r="AR258" s="9">
        <v>4</v>
      </c>
      <c r="AU258" s="9" t="s">
        <v>2566</v>
      </c>
      <c r="AZ258" s="9">
        <v>306</v>
      </c>
      <c r="BA258" s="9">
        <v>455784</v>
      </c>
      <c r="BB258" s="11">
        <v>46280</v>
      </c>
      <c r="BC258" s="9">
        <v>1680</v>
      </c>
    </row>
    <row r="259" spans="1:55" ht="30" x14ac:dyDescent="0.25">
      <c r="A259" s="9" t="s">
        <v>2644</v>
      </c>
      <c r="B259" s="9">
        <v>947</v>
      </c>
      <c r="C259" s="9" t="s">
        <v>2645</v>
      </c>
      <c r="D259" s="9">
        <v>1819</v>
      </c>
      <c r="E259" s="9">
        <v>2026</v>
      </c>
      <c r="F259" s="9" t="s">
        <v>2322</v>
      </c>
      <c r="G259" s="9">
        <v>62052000</v>
      </c>
      <c r="H259" s="9">
        <v>2005</v>
      </c>
      <c r="I259" s="9">
        <v>1</v>
      </c>
      <c r="J259" s="9" t="s">
        <v>2558</v>
      </c>
      <c r="L259" s="10">
        <v>52817.64</v>
      </c>
      <c r="M259" s="10">
        <v>52817.64</v>
      </c>
      <c r="N259" s="9">
        <v>26000</v>
      </c>
      <c r="O259" s="9">
        <v>0</v>
      </c>
      <c r="U259" s="9">
        <v>8</v>
      </c>
      <c r="W259" s="9">
        <v>260326210686920</v>
      </c>
      <c r="X259" s="9" t="s">
        <v>2559</v>
      </c>
      <c r="Y259" s="9" t="s">
        <v>2560</v>
      </c>
      <c r="Z259" s="9" t="s">
        <v>2683</v>
      </c>
      <c r="AA259" s="12" t="s">
        <v>2908</v>
      </c>
      <c r="AF259" s="9">
        <v>10</v>
      </c>
      <c r="AG259" s="9" t="s">
        <v>2563</v>
      </c>
      <c r="AH259" s="9">
        <v>18509</v>
      </c>
      <c r="AP259" s="11">
        <v>46292</v>
      </c>
      <c r="AQ259" s="9" t="s">
        <v>2564</v>
      </c>
      <c r="AR259" s="9">
        <v>9</v>
      </c>
      <c r="AU259" s="9" t="s">
        <v>2566</v>
      </c>
      <c r="BC259" s="9">
        <v>1680</v>
      </c>
    </row>
    <row r="260" spans="1:55" ht="30" x14ac:dyDescent="0.25">
      <c r="A260" s="9" t="s">
        <v>2644</v>
      </c>
      <c r="B260" s="9">
        <v>947</v>
      </c>
      <c r="C260" s="9" t="s">
        <v>2645</v>
      </c>
      <c r="D260" s="9">
        <v>1846</v>
      </c>
      <c r="E260" s="9">
        <v>2026</v>
      </c>
      <c r="F260" s="9" t="s">
        <v>2914</v>
      </c>
      <c r="G260" s="9">
        <v>62052000</v>
      </c>
      <c r="H260" s="9">
        <v>2005</v>
      </c>
      <c r="I260" s="9">
        <v>1</v>
      </c>
      <c r="J260" s="9" t="s">
        <v>2558</v>
      </c>
      <c r="L260" s="10">
        <v>15048.8</v>
      </c>
      <c r="M260" s="10">
        <v>15048.8</v>
      </c>
      <c r="N260" s="9">
        <v>7000</v>
      </c>
      <c r="O260" s="9">
        <v>0</v>
      </c>
      <c r="U260" s="9">
        <v>8</v>
      </c>
      <c r="W260" s="9">
        <v>260326210686920</v>
      </c>
      <c r="X260" s="9" t="s">
        <v>2559</v>
      </c>
      <c r="Y260" s="9" t="s">
        <v>2560</v>
      </c>
      <c r="Z260" s="9" t="s">
        <v>2683</v>
      </c>
      <c r="AA260" s="12" t="s">
        <v>2684</v>
      </c>
      <c r="AF260" s="9">
        <v>10</v>
      </c>
      <c r="AG260" s="9" t="s">
        <v>2563</v>
      </c>
      <c r="AH260" s="9">
        <v>8744</v>
      </c>
      <c r="AP260" s="11">
        <v>46295</v>
      </c>
      <c r="AQ260" s="9" t="s">
        <v>2564</v>
      </c>
      <c r="AR260" s="9">
        <v>9</v>
      </c>
      <c r="AU260" s="9" t="s">
        <v>2566</v>
      </c>
      <c r="BC260" s="9">
        <v>1680</v>
      </c>
    </row>
    <row r="261" spans="1:55" ht="30" x14ac:dyDescent="0.25">
      <c r="A261" s="9" t="s">
        <v>2644</v>
      </c>
      <c r="B261" s="9">
        <v>947</v>
      </c>
      <c r="C261" s="9" t="s">
        <v>2645</v>
      </c>
      <c r="D261" s="9">
        <v>1847</v>
      </c>
      <c r="E261" s="9">
        <v>2026</v>
      </c>
      <c r="F261" s="9" t="s">
        <v>2915</v>
      </c>
      <c r="G261" s="9">
        <v>62052000</v>
      </c>
      <c r="H261" s="9">
        <v>2005</v>
      </c>
      <c r="I261" s="9">
        <v>1</v>
      </c>
      <c r="J261" s="9" t="s">
        <v>2558</v>
      </c>
      <c r="L261" s="10">
        <v>24648</v>
      </c>
      <c r="M261" s="10">
        <v>24648</v>
      </c>
      <c r="N261" s="9">
        <v>0</v>
      </c>
      <c r="O261" s="9">
        <v>0</v>
      </c>
      <c r="P261" s="9">
        <v>0</v>
      </c>
      <c r="U261" s="9">
        <v>8</v>
      </c>
      <c r="W261" s="9">
        <v>260326210686920</v>
      </c>
      <c r="X261" s="9" t="s">
        <v>2559</v>
      </c>
      <c r="Y261" s="9" t="s">
        <v>2560</v>
      </c>
      <c r="Z261" s="9" t="s">
        <v>2683</v>
      </c>
      <c r="AA261" s="12" t="s">
        <v>2684</v>
      </c>
      <c r="AF261" s="9">
        <v>10</v>
      </c>
      <c r="AG261" s="9" t="s">
        <v>2563</v>
      </c>
      <c r="AH261" s="9">
        <v>4108</v>
      </c>
      <c r="AP261" s="11">
        <v>46295</v>
      </c>
      <c r="AQ261" s="9" t="s">
        <v>2564</v>
      </c>
      <c r="AR261" s="9">
        <v>4</v>
      </c>
      <c r="AU261" s="9" t="s">
        <v>2566</v>
      </c>
      <c r="BC261" s="9">
        <v>1680</v>
      </c>
    </row>
    <row r="262" spans="1:55" x14ac:dyDescent="0.25">
      <c r="A262" s="9" t="s">
        <v>2644</v>
      </c>
      <c r="B262" s="9">
        <v>947</v>
      </c>
      <c r="C262" s="9" t="s">
        <v>2645</v>
      </c>
      <c r="D262" s="9">
        <v>1835</v>
      </c>
      <c r="E262" s="9">
        <v>2026</v>
      </c>
      <c r="F262" s="9" t="s">
        <v>2463</v>
      </c>
      <c r="G262" s="9">
        <v>62071100</v>
      </c>
      <c r="H262" s="9">
        <v>2020</v>
      </c>
      <c r="I262" s="9">
        <v>1</v>
      </c>
      <c r="J262" s="9" t="s">
        <v>2558</v>
      </c>
      <c r="K262" s="9">
        <v>0</v>
      </c>
      <c r="L262" s="10">
        <v>2131.56</v>
      </c>
      <c r="M262" s="10">
        <v>2131.56</v>
      </c>
      <c r="N262" s="9">
        <v>0</v>
      </c>
      <c r="O262" s="9">
        <v>0</v>
      </c>
      <c r="P262" s="9">
        <v>0</v>
      </c>
      <c r="U262" s="9">
        <v>1</v>
      </c>
      <c r="W262" s="9">
        <v>260326210686920</v>
      </c>
      <c r="X262" s="9" t="s">
        <v>2559</v>
      </c>
      <c r="Y262" s="9" t="s">
        <v>2560</v>
      </c>
      <c r="Z262" s="9" t="s">
        <v>2652</v>
      </c>
      <c r="AA262" s="9" t="s">
        <v>2653</v>
      </c>
      <c r="AF262" s="9">
        <v>10</v>
      </c>
      <c r="AG262" s="9" t="s">
        <v>2563</v>
      </c>
      <c r="AH262" s="9">
        <v>7200</v>
      </c>
      <c r="AP262" s="11">
        <v>46294</v>
      </c>
      <c r="AQ262" s="9" t="s">
        <v>2564</v>
      </c>
      <c r="AR262" s="9">
        <v>4</v>
      </c>
      <c r="AS262" s="9" t="s">
        <v>2565</v>
      </c>
      <c r="AU262" s="9" t="s">
        <v>2566</v>
      </c>
      <c r="AV262" s="9" t="s">
        <v>262</v>
      </c>
      <c r="AX262" s="9">
        <v>2610868</v>
      </c>
      <c r="BC262" s="9">
        <v>1680</v>
      </c>
    </row>
    <row r="263" spans="1:55" x14ac:dyDescent="0.25">
      <c r="A263" s="9" t="s">
        <v>2644</v>
      </c>
      <c r="B263" s="9">
        <v>947</v>
      </c>
      <c r="C263" s="9" t="s">
        <v>2645</v>
      </c>
      <c r="D263" s="9">
        <v>1836</v>
      </c>
      <c r="E263" s="9">
        <v>2026</v>
      </c>
      <c r="F263" s="9" t="s">
        <v>2465</v>
      </c>
      <c r="G263" s="9">
        <v>62071100</v>
      </c>
      <c r="H263" s="9">
        <v>2016</v>
      </c>
      <c r="I263" s="9">
        <v>1</v>
      </c>
      <c r="J263" s="9" t="s">
        <v>2558</v>
      </c>
      <c r="K263" s="9">
        <v>0</v>
      </c>
      <c r="L263" s="10">
        <v>20841.919999999998</v>
      </c>
      <c r="M263" s="10">
        <v>20841.919999999998</v>
      </c>
      <c r="N263" s="9">
        <v>0</v>
      </c>
      <c r="O263" s="9">
        <v>0</v>
      </c>
      <c r="P263" s="9">
        <v>0</v>
      </c>
      <c r="U263" s="9">
        <v>1</v>
      </c>
      <c r="W263" s="9">
        <v>260326210686920</v>
      </c>
      <c r="X263" s="9" t="s">
        <v>2559</v>
      </c>
      <c r="Y263" s="9" t="s">
        <v>2560</v>
      </c>
      <c r="Z263" s="9" t="s">
        <v>2652</v>
      </c>
      <c r="AA263" s="9" t="s">
        <v>2653</v>
      </c>
      <c r="AF263" s="9">
        <v>10</v>
      </c>
      <c r="AG263" s="9" t="s">
        <v>2563</v>
      </c>
      <c r="AH263" s="9">
        <v>70400</v>
      </c>
      <c r="AP263" s="11">
        <v>46294</v>
      </c>
      <c r="AQ263" s="9" t="s">
        <v>2564</v>
      </c>
      <c r="AR263" s="9">
        <v>4</v>
      </c>
      <c r="AS263" s="9" t="s">
        <v>2565</v>
      </c>
      <c r="AU263" s="9" t="s">
        <v>2566</v>
      </c>
      <c r="AV263" s="9" t="s">
        <v>183</v>
      </c>
      <c r="AX263" s="9">
        <v>2610869</v>
      </c>
      <c r="BC263" s="9">
        <v>1680</v>
      </c>
    </row>
    <row r="264" spans="1:55" x14ac:dyDescent="0.25">
      <c r="A264" s="9" t="s">
        <v>2644</v>
      </c>
      <c r="B264" s="9">
        <v>947</v>
      </c>
      <c r="C264" s="9" t="s">
        <v>2645</v>
      </c>
      <c r="D264" s="9">
        <v>1837</v>
      </c>
      <c r="E264" s="9">
        <v>2026</v>
      </c>
      <c r="F264" s="9" t="s">
        <v>2467</v>
      </c>
      <c r="G264" s="9">
        <v>62071100</v>
      </c>
      <c r="H264" s="9">
        <v>2020</v>
      </c>
      <c r="I264" s="9">
        <v>1</v>
      </c>
      <c r="J264" s="9" t="s">
        <v>2558</v>
      </c>
      <c r="K264" s="9">
        <v>0</v>
      </c>
      <c r="L264" s="10">
        <v>2368.4</v>
      </c>
      <c r="M264" s="10">
        <v>2368.4</v>
      </c>
      <c r="N264" s="9">
        <v>0</v>
      </c>
      <c r="O264" s="9">
        <v>0</v>
      </c>
      <c r="P264" s="9">
        <v>0</v>
      </c>
      <c r="U264" s="9">
        <v>1</v>
      </c>
      <c r="W264" s="9">
        <v>260326210686920</v>
      </c>
      <c r="X264" s="9" t="s">
        <v>2559</v>
      </c>
      <c r="Y264" s="9" t="s">
        <v>2560</v>
      </c>
      <c r="Z264" s="9" t="s">
        <v>2652</v>
      </c>
      <c r="AA264" s="9" t="s">
        <v>2653</v>
      </c>
      <c r="AF264" s="9">
        <v>10</v>
      </c>
      <c r="AG264" s="9" t="s">
        <v>2563</v>
      </c>
      <c r="AH264" s="9">
        <v>8000</v>
      </c>
      <c r="AO264" s="9" t="s">
        <v>2577</v>
      </c>
      <c r="AP264" s="11">
        <v>46294</v>
      </c>
      <c r="AQ264" s="9" t="s">
        <v>2564</v>
      </c>
      <c r="AR264" s="9">
        <v>4</v>
      </c>
      <c r="AS264" s="9" t="s">
        <v>2565</v>
      </c>
      <c r="AU264" s="9" t="s">
        <v>2566</v>
      </c>
      <c r="AV264" s="9" t="s">
        <v>252</v>
      </c>
      <c r="AX264" s="9">
        <v>2610870</v>
      </c>
      <c r="BC264" s="9">
        <v>1680</v>
      </c>
    </row>
    <row r="265" spans="1:55" x14ac:dyDescent="0.25">
      <c r="A265" s="9" t="s">
        <v>2644</v>
      </c>
      <c r="B265" s="9">
        <v>947</v>
      </c>
      <c r="C265" s="9" t="s">
        <v>2645</v>
      </c>
      <c r="D265" s="9">
        <v>1838</v>
      </c>
      <c r="E265" s="9">
        <v>2026</v>
      </c>
      <c r="F265" s="9" t="s">
        <v>2469</v>
      </c>
      <c r="G265" s="9">
        <v>62071100</v>
      </c>
      <c r="H265" s="9">
        <v>2020</v>
      </c>
      <c r="I265" s="9">
        <v>1</v>
      </c>
      <c r="J265" s="9" t="s">
        <v>2558</v>
      </c>
      <c r="K265" s="9">
        <v>0</v>
      </c>
      <c r="L265" s="10">
        <v>2131.56</v>
      </c>
      <c r="M265" s="10">
        <v>2131.56</v>
      </c>
      <c r="N265" s="9">
        <v>0</v>
      </c>
      <c r="O265" s="9">
        <v>0</v>
      </c>
      <c r="P265" s="9">
        <v>0</v>
      </c>
      <c r="U265" s="9">
        <v>1</v>
      </c>
      <c r="W265" s="9">
        <v>260326210686920</v>
      </c>
      <c r="X265" s="9" t="s">
        <v>2559</v>
      </c>
      <c r="Y265" s="9" t="s">
        <v>2560</v>
      </c>
      <c r="Z265" s="9" t="s">
        <v>2652</v>
      </c>
      <c r="AA265" s="9" t="s">
        <v>2653</v>
      </c>
      <c r="AF265" s="9">
        <v>10</v>
      </c>
      <c r="AG265" s="9" t="s">
        <v>2563</v>
      </c>
      <c r="AH265" s="9">
        <v>7200</v>
      </c>
      <c r="AP265" s="11">
        <v>46294</v>
      </c>
      <c r="AQ265" s="9" t="s">
        <v>2564</v>
      </c>
      <c r="AR265" s="9">
        <v>4</v>
      </c>
      <c r="AS265" s="9" t="s">
        <v>2565</v>
      </c>
      <c r="AU265" s="9" t="s">
        <v>2566</v>
      </c>
      <c r="AV265" s="9" t="s">
        <v>262</v>
      </c>
      <c r="AX265" s="9">
        <v>2610871</v>
      </c>
      <c r="BC265" s="9">
        <v>1680</v>
      </c>
    </row>
    <row r="266" spans="1:55" x14ac:dyDescent="0.25">
      <c r="A266" s="9" t="s">
        <v>2644</v>
      </c>
      <c r="B266" s="9">
        <v>947</v>
      </c>
      <c r="C266" s="9" t="s">
        <v>2645</v>
      </c>
      <c r="D266" s="9">
        <v>1839</v>
      </c>
      <c r="E266" s="9">
        <v>2026</v>
      </c>
      <c r="F266" s="9" t="s">
        <v>2471</v>
      </c>
      <c r="G266" s="9">
        <v>62071100</v>
      </c>
      <c r="H266" s="9">
        <v>2020</v>
      </c>
      <c r="I266" s="9">
        <v>1</v>
      </c>
      <c r="J266" s="9" t="s">
        <v>2558</v>
      </c>
      <c r="K266" s="9">
        <v>0</v>
      </c>
      <c r="L266" s="10">
        <v>2960.5</v>
      </c>
      <c r="M266" s="10">
        <v>2960.5</v>
      </c>
      <c r="N266" s="9">
        <v>0</v>
      </c>
      <c r="O266" s="9">
        <v>0</v>
      </c>
      <c r="P266" s="9">
        <v>0</v>
      </c>
      <c r="U266" s="9">
        <v>1</v>
      </c>
      <c r="W266" s="9">
        <v>260326210686920</v>
      </c>
      <c r="X266" s="9" t="s">
        <v>2559</v>
      </c>
      <c r="Y266" s="9" t="s">
        <v>2560</v>
      </c>
      <c r="Z266" s="9" t="s">
        <v>2652</v>
      </c>
      <c r="AA266" s="9" t="s">
        <v>2653</v>
      </c>
      <c r="AF266" s="9">
        <v>10</v>
      </c>
      <c r="AG266" s="9" t="s">
        <v>2563</v>
      </c>
      <c r="AH266" s="9">
        <v>10000</v>
      </c>
      <c r="AP266" s="11">
        <v>46294</v>
      </c>
      <c r="AQ266" s="9" t="s">
        <v>2564</v>
      </c>
      <c r="AR266" s="9">
        <v>4</v>
      </c>
      <c r="AS266" s="9" t="s">
        <v>2565</v>
      </c>
      <c r="AU266" s="9" t="s">
        <v>2566</v>
      </c>
      <c r="AV266" s="9" t="s">
        <v>262</v>
      </c>
      <c r="AX266" s="9">
        <v>2610872</v>
      </c>
      <c r="BC266" s="9">
        <v>1680</v>
      </c>
    </row>
    <row r="267" spans="1:55" x14ac:dyDescent="0.25">
      <c r="A267" s="9" t="s">
        <v>2644</v>
      </c>
      <c r="B267" s="9">
        <v>947</v>
      </c>
      <c r="C267" s="9" t="s">
        <v>2645</v>
      </c>
      <c r="D267" s="9">
        <v>1840</v>
      </c>
      <c r="E267" s="9">
        <v>2026</v>
      </c>
      <c r="F267" s="9" t="s">
        <v>2473</v>
      </c>
      <c r="G267" s="9">
        <v>62071100</v>
      </c>
      <c r="H267" s="9">
        <v>2020</v>
      </c>
      <c r="I267" s="9">
        <v>1</v>
      </c>
      <c r="J267" s="9" t="s">
        <v>2558</v>
      </c>
      <c r="K267" s="9">
        <v>0</v>
      </c>
      <c r="L267" s="10">
        <v>11842</v>
      </c>
      <c r="M267" s="10">
        <v>11842</v>
      </c>
      <c r="N267" s="9">
        <v>0</v>
      </c>
      <c r="O267" s="9">
        <v>0</v>
      </c>
      <c r="P267" s="9">
        <v>0</v>
      </c>
      <c r="U267" s="9">
        <v>1</v>
      </c>
      <c r="W267" s="9">
        <v>260326210686920</v>
      </c>
      <c r="X267" s="9" t="s">
        <v>2559</v>
      </c>
      <c r="Y267" s="9" t="s">
        <v>2560</v>
      </c>
      <c r="Z267" s="9" t="s">
        <v>2652</v>
      </c>
      <c r="AA267" s="9" t="s">
        <v>2653</v>
      </c>
      <c r="AF267" s="9">
        <v>10</v>
      </c>
      <c r="AG267" s="9" t="s">
        <v>2563</v>
      </c>
      <c r="AH267" s="9">
        <v>40000</v>
      </c>
      <c r="AO267" s="9" t="s">
        <v>2577</v>
      </c>
      <c r="AP267" s="11">
        <v>46294</v>
      </c>
      <c r="AQ267" s="9" t="s">
        <v>2564</v>
      </c>
      <c r="AR267" s="9">
        <v>4</v>
      </c>
      <c r="AS267" s="9" t="s">
        <v>2565</v>
      </c>
      <c r="AU267" s="9" t="s">
        <v>2566</v>
      </c>
      <c r="AV267" s="9" t="s">
        <v>252</v>
      </c>
      <c r="AX267" s="9">
        <v>2610873</v>
      </c>
      <c r="BC267" s="9">
        <v>1680</v>
      </c>
    </row>
    <row r="268" spans="1:55" x14ac:dyDescent="0.25">
      <c r="A268" s="9" t="s">
        <v>2644</v>
      </c>
      <c r="B268" s="9">
        <v>947</v>
      </c>
      <c r="C268" s="9" t="s">
        <v>2645</v>
      </c>
      <c r="D268" s="9">
        <v>1841</v>
      </c>
      <c r="E268" s="9">
        <v>2026</v>
      </c>
      <c r="F268" s="9" t="s">
        <v>2475</v>
      </c>
      <c r="G268" s="9">
        <v>62071100</v>
      </c>
      <c r="H268" s="9">
        <v>0</v>
      </c>
      <c r="I268" s="9">
        <v>1</v>
      </c>
      <c r="J268" s="9" t="s">
        <v>2558</v>
      </c>
      <c r="K268" s="9">
        <v>0</v>
      </c>
      <c r="L268" s="10">
        <v>1776.3</v>
      </c>
      <c r="M268" s="10">
        <v>1776.3</v>
      </c>
      <c r="N268" s="9">
        <v>0</v>
      </c>
      <c r="O268" s="9">
        <v>0</v>
      </c>
      <c r="P268" s="9">
        <v>0</v>
      </c>
      <c r="U268" s="9">
        <v>1</v>
      </c>
      <c r="W268" s="9">
        <v>260326210686920</v>
      </c>
      <c r="X268" s="9" t="s">
        <v>2559</v>
      </c>
      <c r="Y268" s="9" t="s">
        <v>2560</v>
      </c>
      <c r="Z268" s="9" t="s">
        <v>2652</v>
      </c>
      <c r="AA268" s="9" t="s">
        <v>2653</v>
      </c>
      <c r="AF268" s="9">
        <v>10</v>
      </c>
      <c r="AG268" s="9" t="s">
        <v>2563</v>
      </c>
      <c r="AH268" s="9">
        <v>6000</v>
      </c>
      <c r="AP268" s="11">
        <v>46294</v>
      </c>
      <c r="AQ268" s="9" t="s">
        <v>2564</v>
      </c>
      <c r="AR268" s="9">
        <v>4</v>
      </c>
      <c r="AS268" s="9" t="s">
        <v>2565</v>
      </c>
      <c r="AU268" s="9" t="s">
        <v>2566</v>
      </c>
      <c r="AV268" s="9" t="s">
        <v>269</v>
      </c>
      <c r="AX268" s="9">
        <v>2610874</v>
      </c>
      <c r="BC268" s="9">
        <v>1680</v>
      </c>
    </row>
    <row r="269" spans="1:55" x14ac:dyDescent="0.25">
      <c r="A269" s="9" t="s">
        <v>2644</v>
      </c>
      <c r="B269" s="9">
        <v>947</v>
      </c>
      <c r="C269" s="9" t="s">
        <v>2645</v>
      </c>
      <c r="D269" s="9">
        <v>1842</v>
      </c>
      <c r="E269" s="9">
        <v>2026</v>
      </c>
      <c r="F269" s="9" t="s">
        <v>2477</v>
      </c>
      <c r="G269" s="9">
        <v>62071100</v>
      </c>
      <c r="H269" s="9">
        <v>0</v>
      </c>
      <c r="I269" s="9">
        <v>1</v>
      </c>
      <c r="J269" s="9" t="s">
        <v>2558</v>
      </c>
      <c r="K269" s="9">
        <v>0</v>
      </c>
      <c r="L269" s="9">
        <v>592.1</v>
      </c>
      <c r="M269" s="9">
        <v>592.1</v>
      </c>
      <c r="N269" s="9">
        <v>0</v>
      </c>
      <c r="O269" s="9">
        <v>0</v>
      </c>
      <c r="P269" s="9">
        <v>0</v>
      </c>
      <c r="U269" s="9">
        <v>1</v>
      </c>
      <c r="W269" s="9">
        <v>260326210686920</v>
      </c>
      <c r="X269" s="9" t="s">
        <v>2559</v>
      </c>
      <c r="Y269" s="9" t="s">
        <v>2560</v>
      </c>
      <c r="Z269" s="9" t="s">
        <v>2652</v>
      </c>
      <c r="AA269" s="9" t="s">
        <v>2653</v>
      </c>
      <c r="AF269" s="9">
        <v>10</v>
      </c>
      <c r="AG269" s="9" t="s">
        <v>2563</v>
      </c>
      <c r="AH269" s="9">
        <v>2000</v>
      </c>
      <c r="AP269" s="11">
        <v>46294</v>
      </c>
      <c r="AQ269" s="9" t="s">
        <v>2564</v>
      </c>
      <c r="AR269" s="9">
        <v>4</v>
      </c>
      <c r="AS269" s="9" t="s">
        <v>2565</v>
      </c>
      <c r="AU269" s="9" t="s">
        <v>2566</v>
      </c>
      <c r="AV269" s="9" t="s">
        <v>1994</v>
      </c>
      <c r="AX269" s="9">
        <v>2610875</v>
      </c>
      <c r="BC269" s="9">
        <v>1680</v>
      </c>
    </row>
    <row r="270" spans="1:55" x14ac:dyDescent="0.25">
      <c r="A270" s="9" t="s">
        <v>2916</v>
      </c>
      <c r="B270" s="9">
        <v>1880</v>
      </c>
      <c r="C270" s="9" t="s">
        <v>2557</v>
      </c>
      <c r="D270" s="9">
        <v>1575</v>
      </c>
      <c r="E270" s="9">
        <v>2026</v>
      </c>
      <c r="F270" s="9" t="s">
        <v>2917</v>
      </c>
      <c r="G270" s="9">
        <v>62052000</v>
      </c>
      <c r="H270" s="9">
        <v>110</v>
      </c>
      <c r="I270" s="9">
        <v>1</v>
      </c>
      <c r="J270" s="9" t="s">
        <v>2558</v>
      </c>
      <c r="L270" s="10">
        <v>21645</v>
      </c>
      <c r="M270" s="10">
        <v>21645</v>
      </c>
      <c r="N270" s="9">
        <v>12772.8</v>
      </c>
      <c r="O270" s="9">
        <v>0</v>
      </c>
      <c r="P270" s="9">
        <v>0</v>
      </c>
      <c r="R270" s="10">
        <v>21645</v>
      </c>
      <c r="U270" s="9">
        <v>8</v>
      </c>
      <c r="V270" s="11">
        <v>46259</v>
      </c>
      <c r="W270" s="9">
        <v>260326210686920</v>
      </c>
      <c r="X270" s="9" t="s">
        <v>2559</v>
      </c>
      <c r="Y270" s="9" t="s">
        <v>2560</v>
      </c>
      <c r="Z270" s="9" t="s">
        <v>2918</v>
      </c>
      <c r="AA270" s="9" t="s">
        <v>2919</v>
      </c>
      <c r="AB270" s="9" t="s">
        <v>2570</v>
      </c>
      <c r="AC270" s="11">
        <v>46274</v>
      </c>
      <c r="AD270" s="9">
        <v>1880</v>
      </c>
      <c r="AF270" s="9">
        <v>10</v>
      </c>
      <c r="AG270" s="9" t="s">
        <v>2563</v>
      </c>
      <c r="AH270" s="9">
        <v>3900</v>
      </c>
      <c r="AL270" s="9">
        <v>2609446</v>
      </c>
      <c r="AM270" s="11">
        <v>46252</v>
      </c>
      <c r="AO270" s="9" t="s">
        <v>2577</v>
      </c>
      <c r="AP270" s="11">
        <v>46253</v>
      </c>
      <c r="AQ270" s="9" t="s">
        <v>2564</v>
      </c>
      <c r="AR270" s="9">
        <v>9</v>
      </c>
      <c r="AS270" s="9" t="s">
        <v>2920</v>
      </c>
      <c r="AT270" s="9">
        <v>7</v>
      </c>
      <c r="AU270" s="9" t="s">
        <v>2566</v>
      </c>
      <c r="AW270" s="9" t="s">
        <v>2921</v>
      </c>
      <c r="AY270" s="11">
        <v>46253</v>
      </c>
      <c r="AZ270" s="9">
        <v>101</v>
      </c>
      <c r="BA270" s="9">
        <v>864109</v>
      </c>
      <c r="BB270" s="11">
        <v>46258</v>
      </c>
      <c r="BC270" s="9">
        <v>1680</v>
      </c>
    </row>
    <row r="271" spans="1:55" ht="90" x14ac:dyDescent="0.25">
      <c r="A271" s="9" t="s">
        <v>2916</v>
      </c>
      <c r="B271" s="9">
        <v>1880</v>
      </c>
      <c r="C271" s="9" t="s">
        <v>2557</v>
      </c>
      <c r="D271" s="9">
        <v>1784</v>
      </c>
      <c r="E271" s="9">
        <v>2026</v>
      </c>
      <c r="F271" s="9" t="s">
        <v>197</v>
      </c>
      <c r="G271" s="9">
        <v>62052000</v>
      </c>
      <c r="H271" s="9">
        <v>1204</v>
      </c>
      <c r="I271" s="9">
        <v>86</v>
      </c>
      <c r="J271" s="9" t="s">
        <v>2574</v>
      </c>
      <c r="L271" s="9">
        <v>99.96</v>
      </c>
      <c r="M271" s="9">
        <v>99.96</v>
      </c>
      <c r="N271" s="9">
        <v>0</v>
      </c>
      <c r="O271" s="9">
        <v>0</v>
      </c>
      <c r="P271" s="9">
        <v>0</v>
      </c>
      <c r="R271" s="9">
        <v>99.96</v>
      </c>
      <c r="U271" s="9">
        <v>1</v>
      </c>
      <c r="W271" s="9">
        <v>260326210686920</v>
      </c>
      <c r="X271" s="9" t="s">
        <v>2559</v>
      </c>
      <c r="Y271" s="9" t="s">
        <v>2560</v>
      </c>
      <c r="Z271" s="9" t="s">
        <v>2922</v>
      </c>
      <c r="AA271" s="12" t="s">
        <v>2923</v>
      </c>
      <c r="AF271" s="9">
        <v>10</v>
      </c>
      <c r="AG271" s="9" t="s">
        <v>2563</v>
      </c>
      <c r="AH271" s="9">
        <v>17</v>
      </c>
      <c r="AP271" s="11">
        <v>46273</v>
      </c>
      <c r="AQ271" s="9" t="s">
        <v>2564</v>
      </c>
      <c r="AR271" s="9">
        <v>4</v>
      </c>
      <c r="AU271" s="9" t="s">
        <v>2566</v>
      </c>
      <c r="AZ271" s="9">
        <v>306</v>
      </c>
      <c r="BA271" s="9">
        <v>425505</v>
      </c>
      <c r="BB271" s="11">
        <v>46273</v>
      </c>
      <c r="BC271" s="9">
        <v>1680</v>
      </c>
    </row>
    <row r="272" spans="1:55" x14ac:dyDescent="0.25">
      <c r="A272" s="9" t="s">
        <v>2916</v>
      </c>
      <c r="B272" s="9">
        <v>1880</v>
      </c>
      <c r="C272" s="9" t="s">
        <v>2557</v>
      </c>
      <c r="D272" s="9">
        <v>1579</v>
      </c>
      <c r="E272" s="9">
        <v>2026</v>
      </c>
      <c r="F272" s="9" t="s">
        <v>2924</v>
      </c>
      <c r="G272" s="9">
        <v>62052000</v>
      </c>
      <c r="H272" s="9">
        <v>2016</v>
      </c>
      <c r="I272" s="9">
        <v>1</v>
      </c>
      <c r="J272" s="9" t="s">
        <v>2558</v>
      </c>
      <c r="L272" s="10">
        <v>7148.4</v>
      </c>
      <c r="M272" s="10">
        <v>7148.4</v>
      </c>
      <c r="N272" s="9">
        <v>2683.7</v>
      </c>
      <c r="O272" s="9">
        <v>0</v>
      </c>
      <c r="R272" s="10">
        <v>7148.4</v>
      </c>
      <c r="U272" s="9">
        <v>8</v>
      </c>
      <c r="V272" s="11">
        <v>46260</v>
      </c>
      <c r="W272" s="9">
        <v>260326210686920</v>
      </c>
      <c r="X272" s="9" t="s">
        <v>2559</v>
      </c>
      <c r="Y272" s="9" t="s">
        <v>2560</v>
      </c>
      <c r="Z272" s="9" t="s">
        <v>2918</v>
      </c>
      <c r="AA272" s="9" t="s">
        <v>2919</v>
      </c>
      <c r="AB272" s="9" t="s">
        <v>2570</v>
      </c>
      <c r="AC272" s="11">
        <v>46271</v>
      </c>
      <c r="AD272" s="9">
        <v>1880</v>
      </c>
      <c r="AF272" s="9">
        <v>10</v>
      </c>
      <c r="AG272" s="9" t="s">
        <v>2563</v>
      </c>
      <c r="AH272" s="9">
        <v>1036</v>
      </c>
      <c r="AJ272" s="9" t="s">
        <v>2925</v>
      </c>
      <c r="AK272" s="11">
        <v>46274</v>
      </c>
      <c r="AL272" s="9">
        <v>2609450</v>
      </c>
      <c r="AM272" s="11">
        <v>46252</v>
      </c>
      <c r="AO272" s="9" t="s">
        <v>2571</v>
      </c>
      <c r="AP272" s="11">
        <v>46253</v>
      </c>
      <c r="AQ272" s="9" t="s">
        <v>2564</v>
      </c>
      <c r="AR272" s="9">
        <v>9</v>
      </c>
      <c r="AS272" s="9" t="s">
        <v>2572</v>
      </c>
      <c r="AT272" s="9">
        <v>7</v>
      </c>
      <c r="AU272" s="9" t="s">
        <v>2566</v>
      </c>
      <c r="AW272" s="9" t="s">
        <v>2926</v>
      </c>
      <c r="AY272" s="11">
        <v>46259</v>
      </c>
      <c r="AZ272" s="9">
        <v>101</v>
      </c>
      <c r="BA272" s="9">
        <v>871972</v>
      </c>
      <c r="BB272" s="11">
        <v>46259</v>
      </c>
      <c r="BC272" s="9">
        <v>1680</v>
      </c>
    </row>
    <row r="273" spans="1:55" x14ac:dyDescent="0.25">
      <c r="A273" s="9" t="s">
        <v>2916</v>
      </c>
      <c r="B273" s="9">
        <v>1880</v>
      </c>
      <c r="C273" s="9" t="s">
        <v>2557</v>
      </c>
      <c r="D273" s="9">
        <v>1633</v>
      </c>
      <c r="E273" s="9">
        <v>2026</v>
      </c>
      <c r="F273" s="9" t="s">
        <v>2927</v>
      </c>
      <c r="G273" s="9">
        <v>62112000</v>
      </c>
      <c r="H273" s="9">
        <v>2016</v>
      </c>
      <c r="I273" s="9">
        <v>1</v>
      </c>
      <c r="J273" s="9" t="s">
        <v>2558</v>
      </c>
      <c r="L273" s="10">
        <v>10690.1</v>
      </c>
      <c r="M273" s="10">
        <v>10690.1</v>
      </c>
      <c r="N273" s="9">
        <v>0</v>
      </c>
      <c r="O273" s="9">
        <v>0</v>
      </c>
      <c r="P273" s="9">
        <v>0</v>
      </c>
      <c r="R273" s="10">
        <v>10690.1</v>
      </c>
      <c r="S273" s="11">
        <v>46287</v>
      </c>
      <c r="T273" s="10">
        <v>10426.42</v>
      </c>
      <c r="U273" s="9">
        <v>1</v>
      </c>
      <c r="V273" s="11">
        <v>46263</v>
      </c>
      <c r="W273" s="9">
        <v>260326210686920</v>
      </c>
      <c r="X273" s="9" t="s">
        <v>2559</v>
      </c>
      <c r="Y273" s="9" t="s">
        <v>2560</v>
      </c>
      <c r="Z273" s="9" t="s">
        <v>2918</v>
      </c>
      <c r="AA273" s="9" t="s">
        <v>2919</v>
      </c>
      <c r="AB273" s="9" t="s">
        <v>2570</v>
      </c>
      <c r="AC273" s="11">
        <v>46272</v>
      </c>
      <c r="AD273" s="9">
        <v>1880</v>
      </c>
      <c r="AE273" s="9" t="s">
        <v>2570</v>
      </c>
      <c r="AF273" s="9">
        <v>10</v>
      </c>
      <c r="AG273" s="9" t="s">
        <v>2563</v>
      </c>
      <c r="AH273" s="9">
        <v>2017</v>
      </c>
      <c r="AJ273" s="9" t="s">
        <v>2928</v>
      </c>
      <c r="AK273" s="11">
        <v>46286</v>
      </c>
      <c r="AL273" s="9">
        <v>2609744</v>
      </c>
      <c r="AM273" s="11">
        <v>46259</v>
      </c>
      <c r="AO273" s="9" t="s">
        <v>2571</v>
      </c>
      <c r="AP273" s="11">
        <v>46259</v>
      </c>
      <c r="AQ273" s="9" t="s">
        <v>2564</v>
      </c>
      <c r="AR273" s="9">
        <v>4</v>
      </c>
      <c r="AS273" s="9" t="s">
        <v>2929</v>
      </c>
      <c r="AT273" s="9">
        <v>1</v>
      </c>
      <c r="AU273" s="9" t="s">
        <v>2566</v>
      </c>
      <c r="AW273" s="9" t="s">
        <v>2930</v>
      </c>
      <c r="AY273" s="11">
        <v>46263</v>
      </c>
      <c r="AZ273" s="9">
        <v>306</v>
      </c>
      <c r="BA273" s="9">
        <v>362673</v>
      </c>
      <c r="BB273" s="11">
        <v>46259</v>
      </c>
      <c r="BC273" s="9">
        <v>1680</v>
      </c>
    </row>
    <row r="274" spans="1:55" x14ac:dyDescent="0.25">
      <c r="A274" s="9" t="s">
        <v>2916</v>
      </c>
      <c r="B274" s="9">
        <v>1880</v>
      </c>
      <c r="C274" s="9" t="s">
        <v>2557</v>
      </c>
      <c r="D274" s="9">
        <v>1616</v>
      </c>
      <c r="E274" s="9">
        <v>2026</v>
      </c>
      <c r="F274" s="9" t="s">
        <v>2931</v>
      </c>
      <c r="G274" s="9">
        <v>62052000</v>
      </c>
      <c r="H274" s="9">
        <v>2016</v>
      </c>
      <c r="I274" s="9">
        <v>1</v>
      </c>
      <c r="J274" s="9" t="s">
        <v>2558</v>
      </c>
      <c r="L274" s="10">
        <v>50778</v>
      </c>
      <c r="M274" s="10">
        <v>50778</v>
      </c>
      <c r="N274" s="9">
        <v>0</v>
      </c>
      <c r="O274" s="9">
        <v>0</v>
      </c>
      <c r="P274" s="9">
        <v>0</v>
      </c>
      <c r="R274" s="10">
        <v>50778</v>
      </c>
      <c r="U274" s="9">
        <v>1</v>
      </c>
      <c r="V274" s="11">
        <v>46263</v>
      </c>
      <c r="W274" s="9">
        <v>260326210686920</v>
      </c>
      <c r="X274" s="9" t="s">
        <v>2559</v>
      </c>
      <c r="Y274" s="9" t="s">
        <v>2560</v>
      </c>
      <c r="Z274" s="9" t="s">
        <v>2918</v>
      </c>
      <c r="AA274" s="9" t="s">
        <v>2919</v>
      </c>
      <c r="AB274" s="9" t="s">
        <v>2570</v>
      </c>
      <c r="AC274" s="11">
        <v>46272</v>
      </c>
      <c r="AD274" s="9">
        <v>1880</v>
      </c>
      <c r="AF274" s="9">
        <v>10</v>
      </c>
      <c r="AG274" s="9" t="s">
        <v>2563</v>
      </c>
      <c r="AH274" s="9">
        <v>10416</v>
      </c>
      <c r="AL274" s="9">
        <v>2609617</v>
      </c>
      <c r="AM274" s="11">
        <v>46255</v>
      </c>
      <c r="AO274" s="9" t="s">
        <v>2571</v>
      </c>
      <c r="AP274" s="11">
        <v>46255</v>
      </c>
      <c r="AQ274" s="9" t="s">
        <v>2564</v>
      </c>
      <c r="AR274" s="9">
        <v>4</v>
      </c>
      <c r="AS274" s="9" t="s">
        <v>2626</v>
      </c>
      <c r="AT274" s="9">
        <v>1</v>
      </c>
      <c r="AU274" s="9" t="s">
        <v>2566</v>
      </c>
      <c r="AW274" s="9" t="s">
        <v>2932</v>
      </c>
      <c r="AY274" s="11">
        <v>46263</v>
      </c>
      <c r="AZ274" s="9">
        <v>306</v>
      </c>
      <c r="BA274" s="9">
        <v>347879</v>
      </c>
      <c r="BB274" s="11">
        <v>46256</v>
      </c>
      <c r="BC274" s="9">
        <v>1680</v>
      </c>
    </row>
    <row r="275" spans="1:55" x14ac:dyDescent="0.25">
      <c r="A275" s="9" t="s">
        <v>2916</v>
      </c>
      <c r="B275" s="9">
        <v>1880</v>
      </c>
      <c r="C275" s="9" t="s">
        <v>2557</v>
      </c>
      <c r="D275" s="9">
        <v>1753</v>
      </c>
      <c r="E275" s="9">
        <v>2026</v>
      </c>
      <c r="F275" s="9" t="s">
        <v>556</v>
      </c>
      <c r="G275" s="9">
        <v>62052000</v>
      </c>
      <c r="H275" s="9">
        <v>2016</v>
      </c>
      <c r="I275" s="9">
        <v>1</v>
      </c>
      <c r="J275" s="9" t="s">
        <v>2558</v>
      </c>
      <c r="L275" s="10">
        <v>5139.8100000000004</v>
      </c>
      <c r="M275" s="10">
        <v>5139.8100000000004</v>
      </c>
      <c r="N275" s="9">
        <v>0</v>
      </c>
      <c r="O275" s="9">
        <v>0</v>
      </c>
      <c r="P275" s="9">
        <v>0</v>
      </c>
      <c r="R275" s="10">
        <v>5139.8100000000004</v>
      </c>
      <c r="U275" s="9">
        <v>1</v>
      </c>
      <c r="W275" s="9">
        <v>260326210686920</v>
      </c>
      <c r="X275" s="9" t="s">
        <v>2559</v>
      </c>
      <c r="Y275" s="9" t="s">
        <v>2560</v>
      </c>
      <c r="Z275" s="9" t="s">
        <v>2918</v>
      </c>
      <c r="AA275" s="9" t="s">
        <v>2919</v>
      </c>
      <c r="AF275" s="9">
        <v>10</v>
      </c>
      <c r="AG275" s="9" t="s">
        <v>2563</v>
      </c>
      <c r="AH275" s="9">
        <v>1146</v>
      </c>
      <c r="AO275" s="9" t="s">
        <v>2577</v>
      </c>
      <c r="AP275" s="11">
        <v>46269</v>
      </c>
      <c r="AQ275" s="9" t="s">
        <v>2564</v>
      </c>
      <c r="AR275" s="9">
        <v>4</v>
      </c>
      <c r="AU275" s="9" t="s">
        <v>2566</v>
      </c>
      <c r="AZ275" s="9">
        <v>306</v>
      </c>
      <c r="BA275" s="9">
        <v>411921</v>
      </c>
      <c r="BB275" s="11">
        <v>46270</v>
      </c>
      <c r="BC275" s="9">
        <v>1680</v>
      </c>
    </row>
    <row r="276" spans="1:55" ht="75" x14ac:dyDescent="0.25">
      <c r="A276" s="9" t="s">
        <v>2916</v>
      </c>
      <c r="B276" s="9">
        <v>1880</v>
      </c>
      <c r="C276" s="9" t="s">
        <v>2557</v>
      </c>
      <c r="D276" s="9">
        <v>1783</v>
      </c>
      <c r="E276" s="9">
        <v>2026</v>
      </c>
      <c r="F276" s="9" t="s">
        <v>192</v>
      </c>
      <c r="G276" s="9">
        <v>62052000</v>
      </c>
      <c r="H276" s="9">
        <v>110</v>
      </c>
      <c r="I276" s="9">
        <v>86</v>
      </c>
      <c r="J276" s="9" t="s">
        <v>2574</v>
      </c>
      <c r="L276" s="10">
        <v>3175.2</v>
      </c>
      <c r="M276" s="10">
        <v>3175.2</v>
      </c>
      <c r="N276" s="9">
        <v>0</v>
      </c>
      <c r="O276" s="9">
        <v>0</v>
      </c>
      <c r="P276" s="9">
        <v>0</v>
      </c>
      <c r="R276" s="10">
        <v>3175.2</v>
      </c>
      <c r="U276" s="9">
        <v>1</v>
      </c>
      <c r="V276" s="11">
        <v>46277</v>
      </c>
      <c r="W276" s="9">
        <v>260326210686920</v>
      </c>
      <c r="X276" s="9" t="s">
        <v>2559</v>
      </c>
      <c r="Y276" s="9" t="s">
        <v>2560</v>
      </c>
      <c r="Z276" s="9" t="s">
        <v>2922</v>
      </c>
      <c r="AA276" s="12" t="s">
        <v>2933</v>
      </c>
      <c r="AB276" s="9" t="s">
        <v>2570</v>
      </c>
      <c r="AC276" s="11">
        <v>46291</v>
      </c>
      <c r="AD276" s="9">
        <v>1880</v>
      </c>
      <c r="AF276" s="9">
        <v>10</v>
      </c>
      <c r="AG276" s="9" t="s">
        <v>2563</v>
      </c>
      <c r="AH276" s="9">
        <v>540</v>
      </c>
      <c r="AL276" s="9">
        <v>2609999</v>
      </c>
      <c r="AM276" s="11">
        <v>46266</v>
      </c>
      <c r="AP276" s="11">
        <v>46273</v>
      </c>
      <c r="AQ276" s="9" t="s">
        <v>2564</v>
      </c>
      <c r="AR276" s="9">
        <v>4</v>
      </c>
      <c r="AT276" s="9">
        <v>6</v>
      </c>
      <c r="AU276" s="9" t="s">
        <v>2566</v>
      </c>
      <c r="AW276" s="9" t="s">
        <v>2934</v>
      </c>
      <c r="AY276" s="11">
        <v>46277</v>
      </c>
      <c r="AZ276" s="9">
        <v>306</v>
      </c>
      <c r="BA276" s="9">
        <v>425755</v>
      </c>
      <c r="BB276" s="11">
        <v>46273</v>
      </c>
      <c r="BC276" s="9">
        <v>1680</v>
      </c>
    </row>
    <row r="277" spans="1:55" x14ac:dyDescent="0.25">
      <c r="A277" s="9" t="s">
        <v>2916</v>
      </c>
      <c r="B277" s="9">
        <v>1880</v>
      </c>
      <c r="C277" s="9" t="s">
        <v>2557</v>
      </c>
      <c r="D277" s="9">
        <v>1581</v>
      </c>
      <c r="E277" s="9">
        <v>2026</v>
      </c>
      <c r="F277" s="9" t="s">
        <v>2935</v>
      </c>
      <c r="G277" s="9">
        <v>62052000</v>
      </c>
      <c r="H277" s="9">
        <v>2016</v>
      </c>
      <c r="I277" s="9">
        <v>1</v>
      </c>
      <c r="J277" s="9" t="s">
        <v>2558</v>
      </c>
      <c r="L277" s="10">
        <v>4687.2</v>
      </c>
      <c r="M277" s="10">
        <v>4687.2</v>
      </c>
      <c r="N277" s="9">
        <v>1682.6</v>
      </c>
      <c r="O277" s="9">
        <v>0</v>
      </c>
      <c r="R277" s="10">
        <v>4687.2</v>
      </c>
      <c r="U277" s="9">
        <v>8</v>
      </c>
      <c r="V277" s="11">
        <v>46260</v>
      </c>
      <c r="W277" s="9">
        <v>260326210686920</v>
      </c>
      <c r="X277" s="9" t="s">
        <v>2559</v>
      </c>
      <c r="Y277" s="9" t="s">
        <v>2560</v>
      </c>
      <c r="Z277" s="9" t="s">
        <v>2918</v>
      </c>
      <c r="AA277" s="9" t="s">
        <v>2919</v>
      </c>
      <c r="AB277" s="9" t="s">
        <v>2570</v>
      </c>
      <c r="AC277" s="11">
        <v>46271</v>
      </c>
      <c r="AD277" s="9">
        <v>1880</v>
      </c>
      <c r="AF277" s="9">
        <v>10</v>
      </c>
      <c r="AG277" s="9" t="s">
        <v>2563</v>
      </c>
      <c r="AH277" s="9">
        <v>756</v>
      </c>
      <c r="AJ277" s="9" t="s">
        <v>2925</v>
      </c>
      <c r="AK277" s="11">
        <v>46274</v>
      </c>
      <c r="AL277" s="9">
        <v>2609452</v>
      </c>
      <c r="AM277" s="11">
        <v>46252</v>
      </c>
      <c r="AO277" s="9" t="s">
        <v>2571</v>
      </c>
      <c r="AP277" s="11">
        <v>46253</v>
      </c>
      <c r="AQ277" s="9" t="s">
        <v>2564</v>
      </c>
      <c r="AR277" s="9">
        <v>9</v>
      </c>
      <c r="AS277" s="9" t="s">
        <v>2572</v>
      </c>
      <c r="AT277" s="9">
        <v>7</v>
      </c>
      <c r="AU277" s="9" t="s">
        <v>2566</v>
      </c>
      <c r="AW277" s="9" t="s">
        <v>2936</v>
      </c>
      <c r="AY277" s="11">
        <v>46260</v>
      </c>
      <c r="AZ277" s="9">
        <v>101</v>
      </c>
      <c r="BA277" s="9">
        <v>871822</v>
      </c>
      <c r="BB277" s="11">
        <v>46259</v>
      </c>
      <c r="BC277" s="9">
        <v>1680</v>
      </c>
    </row>
    <row r="278" spans="1:55" ht="45" x14ac:dyDescent="0.25">
      <c r="A278" s="9" t="s">
        <v>2916</v>
      </c>
      <c r="B278" s="9">
        <v>1880</v>
      </c>
      <c r="C278" s="9" t="s">
        <v>2557</v>
      </c>
      <c r="D278" s="9">
        <v>1726</v>
      </c>
      <c r="E278" s="9">
        <v>2026</v>
      </c>
      <c r="F278" s="9" t="s">
        <v>2937</v>
      </c>
      <c r="G278" s="9">
        <v>62052000</v>
      </c>
      <c r="H278" s="9">
        <v>2016</v>
      </c>
      <c r="I278" s="9">
        <v>86</v>
      </c>
      <c r="J278" s="9" t="s">
        <v>2574</v>
      </c>
      <c r="L278" s="10">
        <v>116815.41</v>
      </c>
      <c r="M278" s="10">
        <v>116815.41</v>
      </c>
      <c r="N278" s="9">
        <v>0</v>
      </c>
      <c r="O278" s="9">
        <v>0</v>
      </c>
      <c r="P278" s="9">
        <v>0</v>
      </c>
      <c r="R278" s="10">
        <v>116815.41</v>
      </c>
      <c r="U278" s="9">
        <v>1</v>
      </c>
      <c r="V278" s="11">
        <v>46274</v>
      </c>
      <c r="W278" s="9">
        <v>260326210686920</v>
      </c>
      <c r="X278" s="9" t="s">
        <v>2559</v>
      </c>
      <c r="Y278" s="9" t="s">
        <v>2560</v>
      </c>
      <c r="Z278" s="9" t="s">
        <v>2922</v>
      </c>
      <c r="AA278" s="12" t="s">
        <v>2938</v>
      </c>
      <c r="AB278" s="9" t="s">
        <v>2570</v>
      </c>
      <c r="AC278" s="11">
        <v>46284</v>
      </c>
      <c r="AD278" s="9">
        <v>1880</v>
      </c>
      <c r="AF278" s="9">
        <v>10</v>
      </c>
      <c r="AG278" s="9" t="s">
        <v>2563</v>
      </c>
      <c r="AH278" s="9">
        <v>21932</v>
      </c>
      <c r="AL278" s="9">
        <v>2609998</v>
      </c>
      <c r="AM278" s="11">
        <v>46266</v>
      </c>
      <c r="AP278" s="11">
        <v>46266</v>
      </c>
      <c r="AQ278" s="9" t="s">
        <v>2564</v>
      </c>
      <c r="AR278" s="9">
        <v>4</v>
      </c>
      <c r="AT278" s="9">
        <v>6</v>
      </c>
      <c r="AU278" s="9" t="s">
        <v>2566</v>
      </c>
      <c r="AW278" s="9" t="s">
        <v>2939</v>
      </c>
      <c r="AY278" s="11">
        <v>46274</v>
      </c>
      <c r="AZ278" s="9">
        <v>306</v>
      </c>
      <c r="BA278" s="9">
        <v>393289</v>
      </c>
      <c r="BB278" s="11">
        <v>46266</v>
      </c>
      <c r="BC278" s="9">
        <v>1680</v>
      </c>
    </row>
    <row r="279" spans="1:55" x14ac:dyDescent="0.25">
      <c r="A279" s="9" t="s">
        <v>2916</v>
      </c>
      <c r="B279" s="9">
        <v>1880</v>
      </c>
      <c r="C279" s="9" t="s">
        <v>2557</v>
      </c>
      <c r="D279" s="9">
        <v>1591</v>
      </c>
      <c r="E279" s="9">
        <v>2026</v>
      </c>
      <c r="F279" s="9" t="s">
        <v>2940</v>
      </c>
      <c r="G279" s="9">
        <v>62063000</v>
      </c>
      <c r="H279" s="9">
        <v>2016</v>
      </c>
      <c r="I279" s="9">
        <v>1</v>
      </c>
      <c r="J279" s="9" t="s">
        <v>2558</v>
      </c>
      <c r="L279" s="10">
        <v>8357.0400000000009</v>
      </c>
      <c r="M279" s="10">
        <v>8357.0400000000009</v>
      </c>
      <c r="N279" s="9">
        <v>0</v>
      </c>
      <c r="O279" s="9">
        <v>0</v>
      </c>
      <c r="P279" s="9">
        <v>0</v>
      </c>
      <c r="R279" s="10">
        <v>8357.0400000000009</v>
      </c>
      <c r="S279" s="11">
        <v>46287</v>
      </c>
      <c r="T279" s="10">
        <v>8150.9</v>
      </c>
      <c r="U279" s="9">
        <v>1</v>
      </c>
      <c r="V279" s="11">
        <v>46262</v>
      </c>
      <c r="W279" s="9">
        <v>260326210686920</v>
      </c>
      <c r="X279" s="9" t="s">
        <v>2559</v>
      </c>
      <c r="Y279" s="9" t="s">
        <v>2560</v>
      </c>
      <c r="Z279" s="9" t="s">
        <v>2918</v>
      </c>
      <c r="AA279" s="9" t="s">
        <v>2919</v>
      </c>
      <c r="AB279" s="9" t="s">
        <v>2570</v>
      </c>
      <c r="AC279" s="11">
        <v>46272</v>
      </c>
      <c r="AD279" s="9">
        <v>1880</v>
      </c>
      <c r="AE279" s="9" t="s">
        <v>2570</v>
      </c>
      <c r="AF279" s="9">
        <v>10</v>
      </c>
      <c r="AG279" s="9" t="s">
        <v>2563</v>
      </c>
      <c r="AH279" s="9">
        <v>1908</v>
      </c>
      <c r="AJ279" s="9" t="s">
        <v>2928</v>
      </c>
      <c r="AK279" s="11">
        <v>46286</v>
      </c>
      <c r="AL279" s="9">
        <v>2609462</v>
      </c>
      <c r="AM279" s="11">
        <v>46253</v>
      </c>
      <c r="AO279" s="9" t="s">
        <v>2571</v>
      </c>
      <c r="AP279" s="11">
        <v>46253</v>
      </c>
      <c r="AQ279" s="9" t="s">
        <v>2564</v>
      </c>
      <c r="AR279" s="9">
        <v>4</v>
      </c>
      <c r="AS279" s="9" t="s">
        <v>2632</v>
      </c>
      <c r="AT279" s="9">
        <v>1</v>
      </c>
      <c r="AU279" s="9" t="s">
        <v>2566</v>
      </c>
      <c r="AW279" s="9" t="s">
        <v>2941</v>
      </c>
      <c r="AY279" s="11">
        <v>46262</v>
      </c>
      <c r="AZ279" s="9">
        <v>306</v>
      </c>
      <c r="BA279" s="9">
        <v>338301</v>
      </c>
      <c r="BB279" s="11">
        <v>46254</v>
      </c>
      <c r="BC279" s="9">
        <v>1680</v>
      </c>
    </row>
    <row r="280" spans="1:55" x14ac:dyDescent="0.25">
      <c r="A280" s="9" t="s">
        <v>2916</v>
      </c>
      <c r="B280" s="9">
        <v>1880</v>
      </c>
      <c r="C280" s="9" t="s">
        <v>2557</v>
      </c>
      <c r="D280" s="9">
        <v>1801</v>
      </c>
      <c r="E280" s="9">
        <v>2026</v>
      </c>
      <c r="F280" s="9" t="s">
        <v>885</v>
      </c>
      <c r="G280" s="9">
        <v>62052000</v>
      </c>
      <c r="H280" s="9">
        <v>2016</v>
      </c>
      <c r="I280" s="9">
        <v>1</v>
      </c>
      <c r="J280" s="9" t="s">
        <v>2558</v>
      </c>
      <c r="K280" s="9">
        <v>0</v>
      </c>
      <c r="L280" s="10">
        <v>4422.25</v>
      </c>
      <c r="M280" s="10">
        <v>4422.25</v>
      </c>
      <c r="N280" s="9">
        <v>0</v>
      </c>
      <c r="O280" s="9">
        <v>0</v>
      </c>
      <c r="P280" s="9">
        <v>0</v>
      </c>
      <c r="R280" s="10">
        <v>4422.25</v>
      </c>
      <c r="U280" s="9">
        <v>1</v>
      </c>
      <c r="W280" s="9">
        <v>260326210686920</v>
      </c>
      <c r="X280" s="9" t="s">
        <v>2559</v>
      </c>
      <c r="Y280" s="9" t="s">
        <v>2560</v>
      </c>
      <c r="Z280" s="9" t="s">
        <v>2918</v>
      </c>
      <c r="AA280" s="9" t="s">
        <v>2919</v>
      </c>
      <c r="AF280" s="9">
        <v>10</v>
      </c>
      <c r="AG280" s="9" t="s">
        <v>2563</v>
      </c>
      <c r="AH280" s="9">
        <v>1330</v>
      </c>
      <c r="AP280" s="11">
        <v>46275</v>
      </c>
      <c r="AQ280" s="9" t="s">
        <v>2564</v>
      </c>
      <c r="AR280" s="9">
        <v>4</v>
      </c>
      <c r="AS280" s="9" t="s">
        <v>2565</v>
      </c>
      <c r="AU280" s="9" t="s">
        <v>2566</v>
      </c>
      <c r="AV280" s="9" t="s">
        <v>183</v>
      </c>
      <c r="AX280" s="9">
        <v>2610211</v>
      </c>
      <c r="AZ280" s="9">
        <v>306</v>
      </c>
      <c r="BA280" s="9">
        <v>432108</v>
      </c>
      <c r="BB280" s="11">
        <v>46275</v>
      </c>
      <c r="BC280" s="9">
        <v>1680</v>
      </c>
    </row>
    <row r="281" spans="1:55" x14ac:dyDescent="0.25">
      <c r="A281" s="9" t="s">
        <v>2916</v>
      </c>
      <c r="B281" s="9">
        <v>1880</v>
      </c>
      <c r="C281" s="9" t="s">
        <v>2557</v>
      </c>
      <c r="D281" s="9">
        <v>1802</v>
      </c>
      <c r="E281" s="9">
        <v>2026</v>
      </c>
      <c r="F281" s="9" t="s">
        <v>888</v>
      </c>
      <c r="G281" s="9">
        <v>62052000</v>
      </c>
      <c r="H281" s="9">
        <v>2016</v>
      </c>
      <c r="I281" s="9">
        <v>1</v>
      </c>
      <c r="J281" s="9" t="s">
        <v>2558</v>
      </c>
      <c r="K281" s="9">
        <v>0</v>
      </c>
      <c r="L281" s="10">
        <v>1642.55</v>
      </c>
      <c r="M281" s="10">
        <v>1642.55</v>
      </c>
      <c r="N281" s="9">
        <v>0</v>
      </c>
      <c r="O281" s="9">
        <v>0</v>
      </c>
      <c r="P281" s="9">
        <v>0</v>
      </c>
      <c r="R281" s="10">
        <v>1642.55</v>
      </c>
      <c r="U281" s="9">
        <v>1</v>
      </c>
      <c r="W281" s="9">
        <v>260326210686920</v>
      </c>
      <c r="X281" s="9" t="s">
        <v>2559</v>
      </c>
      <c r="Y281" s="9" t="s">
        <v>2560</v>
      </c>
      <c r="Z281" s="9" t="s">
        <v>2918</v>
      </c>
      <c r="AA281" s="9" t="s">
        <v>2919</v>
      </c>
      <c r="AF281" s="9">
        <v>10</v>
      </c>
      <c r="AG281" s="9" t="s">
        <v>2563</v>
      </c>
      <c r="AH281" s="9">
        <v>494</v>
      </c>
      <c r="AP281" s="11">
        <v>46275</v>
      </c>
      <c r="AQ281" s="9" t="s">
        <v>2564</v>
      </c>
      <c r="AR281" s="9">
        <v>4</v>
      </c>
      <c r="AS281" s="9" t="s">
        <v>2565</v>
      </c>
      <c r="AU281" s="9" t="s">
        <v>2566</v>
      </c>
      <c r="AV281" s="9" t="s">
        <v>206</v>
      </c>
      <c r="AX281" s="9">
        <v>2610212</v>
      </c>
      <c r="AZ281" s="9">
        <v>306</v>
      </c>
      <c r="BA281" s="9">
        <v>432119</v>
      </c>
      <c r="BB281" s="11">
        <v>46275</v>
      </c>
      <c r="BC281" s="9">
        <v>1680</v>
      </c>
    </row>
    <row r="282" spans="1:55" x14ac:dyDescent="0.25">
      <c r="A282" s="9" t="s">
        <v>2916</v>
      </c>
      <c r="B282" s="9">
        <v>1880</v>
      </c>
      <c r="C282" s="9" t="s">
        <v>2557</v>
      </c>
      <c r="D282" s="9">
        <v>1571</v>
      </c>
      <c r="E282" s="9">
        <v>2026</v>
      </c>
      <c r="F282" s="9" t="s">
        <v>2942</v>
      </c>
      <c r="G282" s="9">
        <v>62063000</v>
      </c>
      <c r="H282" s="9">
        <v>2016</v>
      </c>
      <c r="I282" s="9">
        <v>1</v>
      </c>
      <c r="J282" s="9" t="s">
        <v>2558</v>
      </c>
      <c r="K282" s="9">
        <v>0</v>
      </c>
      <c r="L282" s="10">
        <v>27021.599999999999</v>
      </c>
      <c r="M282" s="10">
        <v>27021.599999999999</v>
      </c>
      <c r="N282" s="9">
        <v>0</v>
      </c>
      <c r="O282" s="9">
        <v>0</v>
      </c>
      <c r="P282" s="9">
        <v>0</v>
      </c>
      <c r="R282" s="10">
        <v>27021.599999999999</v>
      </c>
      <c r="S282" s="11">
        <v>46287</v>
      </c>
      <c r="T282" s="10">
        <v>26355.08</v>
      </c>
      <c r="U282" s="9">
        <v>1</v>
      </c>
      <c r="V282" s="11">
        <v>46262</v>
      </c>
      <c r="W282" s="9">
        <v>260326210686920</v>
      </c>
      <c r="X282" s="9" t="s">
        <v>2559</v>
      </c>
      <c r="Y282" s="9" t="s">
        <v>2560</v>
      </c>
      <c r="Z282" s="9" t="s">
        <v>2918</v>
      </c>
      <c r="AA282" s="9" t="s">
        <v>2919</v>
      </c>
      <c r="AB282" s="9" t="s">
        <v>2570</v>
      </c>
      <c r="AC282" s="11">
        <v>46272</v>
      </c>
      <c r="AD282" s="9">
        <v>1880</v>
      </c>
      <c r="AE282" s="9" t="s">
        <v>2570</v>
      </c>
      <c r="AF282" s="9">
        <v>10</v>
      </c>
      <c r="AG282" s="9" t="s">
        <v>2563</v>
      </c>
      <c r="AH282" s="9">
        <v>6672</v>
      </c>
      <c r="AJ282" s="9" t="s">
        <v>2928</v>
      </c>
      <c r="AK282" s="11">
        <v>46286</v>
      </c>
      <c r="AL282" s="9">
        <v>2609423</v>
      </c>
      <c r="AM282" s="11">
        <v>46251</v>
      </c>
      <c r="AO282" s="9" t="s">
        <v>2571</v>
      </c>
      <c r="AP282" s="11">
        <v>46252</v>
      </c>
      <c r="AQ282" s="9" t="s">
        <v>2564</v>
      </c>
      <c r="AR282" s="9">
        <v>4</v>
      </c>
      <c r="AS282" s="9" t="s">
        <v>2632</v>
      </c>
      <c r="AT282" s="9">
        <v>1</v>
      </c>
      <c r="AU282" s="9" t="s">
        <v>2566</v>
      </c>
      <c r="AV282" s="9" t="s">
        <v>183</v>
      </c>
      <c r="AW282" s="9" t="s">
        <v>2943</v>
      </c>
      <c r="AX282" s="9">
        <v>2609423</v>
      </c>
      <c r="AY282" s="11">
        <v>46262</v>
      </c>
      <c r="AZ282" s="9">
        <v>306</v>
      </c>
      <c r="BA282" s="9">
        <v>330844</v>
      </c>
      <c r="BB282" s="11">
        <v>46252</v>
      </c>
      <c r="BC282" s="9">
        <v>1680</v>
      </c>
    </row>
    <row r="283" spans="1:55" x14ac:dyDescent="0.25">
      <c r="A283" s="9" t="s">
        <v>2916</v>
      </c>
      <c r="B283" s="9">
        <v>1880</v>
      </c>
      <c r="C283" s="9" t="s">
        <v>2557</v>
      </c>
      <c r="D283" s="9">
        <v>1572</v>
      </c>
      <c r="E283" s="9">
        <v>2026</v>
      </c>
      <c r="F283" s="9" t="s">
        <v>2944</v>
      </c>
      <c r="G283" s="9">
        <v>62052000</v>
      </c>
      <c r="H283" s="9">
        <v>2016</v>
      </c>
      <c r="I283" s="9">
        <v>1</v>
      </c>
      <c r="J283" s="9" t="s">
        <v>2558</v>
      </c>
      <c r="K283" s="9">
        <v>0</v>
      </c>
      <c r="L283" s="10">
        <v>6045</v>
      </c>
      <c r="M283" s="10">
        <v>6045</v>
      </c>
      <c r="N283" s="9">
        <v>0</v>
      </c>
      <c r="O283" s="9">
        <v>0</v>
      </c>
      <c r="P283" s="9">
        <v>0</v>
      </c>
      <c r="R283" s="10">
        <v>6045</v>
      </c>
      <c r="S283" s="11">
        <v>46287</v>
      </c>
      <c r="T283" s="10">
        <v>5895.89</v>
      </c>
      <c r="U283" s="9">
        <v>1</v>
      </c>
      <c r="V283" s="11">
        <v>46262</v>
      </c>
      <c r="W283" s="9">
        <v>260326210686920</v>
      </c>
      <c r="X283" s="9" t="s">
        <v>2559</v>
      </c>
      <c r="Y283" s="9" t="s">
        <v>2560</v>
      </c>
      <c r="Z283" s="9" t="s">
        <v>2918</v>
      </c>
      <c r="AA283" s="9" t="s">
        <v>2919</v>
      </c>
      <c r="AB283" s="9" t="s">
        <v>2570</v>
      </c>
      <c r="AC283" s="11">
        <v>46272</v>
      </c>
      <c r="AD283" s="9">
        <v>1880</v>
      </c>
      <c r="AE283" s="9" t="s">
        <v>2570</v>
      </c>
      <c r="AF283" s="9">
        <v>10</v>
      </c>
      <c r="AG283" s="9" t="s">
        <v>2563</v>
      </c>
      <c r="AH283" s="9">
        <v>1950</v>
      </c>
      <c r="AJ283" s="9" t="s">
        <v>2928</v>
      </c>
      <c r="AK283" s="11">
        <v>46286</v>
      </c>
      <c r="AL283" s="9">
        <v>2609430</v>
      </c>
      <c r="AM283" s="11">
        <v>46252</v>
      </c>
      <c r="AO283" s="9" t="s">
        <v>2571</v>
      </c>
      <c r="AP283" s="11">
        <v>46252</v>
      </c>
      <c r="AQ283" s="9" t="s">
        <v>2564</v>
      </c>
      <c r="AR283" s="9">
        <v>4</v>
      </c>
      <c r="AS283" s="9" t="s">
        <v>2632</v>
      </c>
      <c r="AT283" s="9">
        <v>1</v>
      </c>
      <c r="AU283" s="9" t="s">
        <v>2566</v>
      </c>
      <c r="AV283" s="9" t="s">
        <v>183</v>
      </c>
      <c r="AW283" s="9" t="s">
        <v>2945</v>
      </c>
      <c r="AX283" s="9">
        <v>2609430</v>
      </c>
      <c r="AY283" s="11">
        <v>46262</v>
      </c>
      <c r="AZ283" s="9">
        <v>306</v>
      </c>
      <c r="BA283" s="9">
        <v>330858</v>
      </c>
      <c r="BB283" s="11">
        <v>46252</v>
      </c>
      <c r="BC283" s="9">
        <v>1680</v>
      </c>
    </row>
    <row r="284" spans="1:55" x14ac:dyDescent="0.25">
      <c r="A284" s="9" t="s">
        <v>2916</v>
      </c>
      <c r="B284" s="9">
        <v>1880</v>
      </c>
      <c r="C284" s="9" t="s">
        <v>2557</v>
      </c>
      <c r="D284" s="9">
        <v>1612</v>
      </c>
      <c r="E284" s="9">
        <v>2026</v>
      </c>
      <c r="F284" s="9" t="s">
        <v>2946</v>
      </c>
      <c r="G284" s="9">
        <v>62063000</v>
      </c>
      <c r="H284" s="9">
        <v>2016</v>
      </c>
      <c r="I284" s="9">
        <v>1</v>
      </c>
      <c r="J284" s="9" t="s">
        <v>2558</v>
      </c>
      <c r="L284" s="10">
        <v>1968.75</v>
      </c>
      <c r="M284" s="10">
        <v>1968.75</v>
      </c>
      <c r="N284" s="9">
        <v>0</v>
      </c>
      <c r="O284" s="9">
        <v>0</v>
      </c>
      <c r="P284" s="9">
        <v>0</v>
      </c>
      <c r="R284" s="10">
        <v>1968.75</v>
      </c>
      <c r="S284" s="11">
        <v>46287</v>
      </c>
      <c r="T284" s="10">
        <v>1920.19</v>
      </c>
      <c r="U284" s="9">
        <v>1</v>
      </c>
      <c r="V284" s="11">
        <v>46268</v>
      </c>
      <c r="W284" s="9">
        <v>260326210686920</v>
      </c>
      <c r="X284" s="9" t="s">
        <v>2559</v>
      </c>
      <c r="Y284" s="9" t="s">
        <v>2560</v>
      </c>
      <c r="Z284" s="9" t="s">
        <v>2918</v>
      </c>
      <c r="AA284" s="9" t="s">
        <v>2919</v>
      </c>
      <c r="AB284" s="9" t="s">
        <v>2570</v>
      </c>
      <c r="AC284" s="11">
        <v>46273</v>
      </c>
      <c r="AD284" s="9">
        <v>1880</v>
      </c>
      <c r="AE284" s="9" t="s">
        <v>2570</v>
      </c>
      <c r="AF284" s="9">
        <v>10</v>
      </c>
      <c r="AG284" s="9" t="s">
        <v>2563</v>
      </c>
      <c r="AH284" s="9">
        <v>450</v>
      </c>
      <c r="AJ284" s="9" t="s">
        <v>2928</v>
      </c>
      <c r="AK284" s="11">
        <v>46286</v>
      </c>
      <c r="AL284" s="9">
        <v>2609613</v>
      </c>
      <c r="AM284" s="11">
        <v>46255</v>
      </c>
      <c r="AO284" s="9" t="s">
        <v>2571</v>
      </c>
      <c r="AP284" s="11">
        <v>46255</v>
      </c>
      <c r="AQ284" s="9" t="s">
        <v>2564</v>
      </c>
      <c r="AR284" s="9">
        <v>4</v>
      </c>
      <c r="AS284" s="9" t="s">
        <v>2947</v>
      </c>
      <c r="AT284" s="9">
        <v>1</v>
      </c>
      <c r="AU284" s="9" t="s">
        <v>2566</v>
      </c>
      <c r="AW284" s="9" t="s">
        <v>2948</v>
      </c>
      <c r="AY284" s="11">
        <v>46268</v>
      </c>
      <c r="AZ284" s="9">
        <v>306</v>
      </c>
      <c r="BA284" s="9">
        <v>347890</v>
      </c>
      <c r="BB284" s="11">
        <v>46256</v>
      </c>
      <c r="BC284" s="9">
        <v>1680</v>
      </c>
    </row>
    <row r="285" spans="1:55" x14ac:dyDescent="0.25">
      <c r="A285" s="9" t="s">
        <v>2916</v>
      </c>
      <c r="B285" s="9">
        <v>1880</v>
      </c>
      <c r="C285" s="9" t="s">
        <v>2557</v>
      </c>
      <c r="D285" s="9">
        <v>1580</v>
      </c>
      <c r="E285" s="9">
        <v>2026</v>
      </c>
      <c r="F285" s="9" t="s">
        <v>2949</v>
      </c>
      <c r="G285" s="9">
        <v>62052000</v>
      </c>
      <c r="H285" s="9">
        <v>2016</v>
      </c>
      <c r="I285" s="9">
        <v>1</v>
      </c>
      <c r="J285" s="9" t="s">
        <v>2558</v>
      </c>
      <c r="L285" s="10">
        <v>11028.8</v>
      </c>
      <c r="M285" s="10">
        <v>11028.8</v>
      </c>
      <c r="N285" s="9">
        <v>6878.45</v>
      </c>
      <c r="O285" s="9">
        <v>0</v>
      </c>
      <c r="R285" s="10">
        <v>11028.8</v>
      </c>
      <c r="U285" s="9">
        <v>8</v>
      </c>
      <c r="V285" s="11">
        <v>46260</v>
      </c>
      <c r="W285" s="9">
        <v>260326210686920</v>
      </c>
      <c r="X285" s="9" t="s">
        <v>2559</v>
      </c>
      <c r="Y285" s="9" t="s">
        <v>2560</v>
      </c>
      <c r="Z285" s="9" t="s">
        <v>2918</v>
      </c>
      <c r="AA285" s="9" t="s">
        <v>2919</v>
      </c>
      <c r="AB285" s="9" t="s">
        <v>2570</v>
      </c>
      <c r="AC285" s="11">
        <v>46271</v>
      </c>
      <c r="AD285" s="9">
        <v>1880</v>
      </c>
      <c r="AF285" s="9">
        <v>10</v>
      </c>
      <c r="AG285" s="9" t="s">
        <v>2563</v>
      </c>
      <c r="AH285" s="9">
        <v>1952</v>
      </c>
      <c r="AJ285" s="9" t="s">
        <v>2925</v>
      </c>
      <c r="AK285" s="11">
        <v>46274</v>
      </c>
      <c r="AL285" s="9">
        <v>2609451</v>
      </c>
      <c r="AM285" s="11">
        <v>46252</v>
      </c>
      <c r="AO285" s="9" t="s">
        <v>2571</v>
      </c>
      <c r="AP285" s="11">
        <v>46253</v>
      </c>
      <c r="AQ285" s="9" t="s">
        <v>2564</v>
      </c>
      <c r="AR285" s="9">
        <v>9</v>
      </c>
      <c r="AS285" s="9" t="s">
        <v>2572</v>
      </c>
      <c r="AT285" s="9">
        <v>7</v>
      </c>
      <c r="AU285" s="9" t="s">
        <v>2566</v>
      </c>
      <c r="AW285" s="9" t="s">
        <v>2950</v>
      </c>
      <c r="AY285" s="11">
        <v>46259</v>
      </c>
      <c r="AZ285" s="9">
        <v>101</v>
      </c>
      <c r="BA285" s="9">
        <v>871869</v>
      </c>
      <c r="BB285" s="11">
        <v>46259</v>
      </c>
      <c r="BC285" s="9">
        <v>1680</v>
      </c>
    </row>
    <row r="286" spans="1:55" x14ac:dyDescent="0.25">
      <c r="A286" s="9" t="s">
        <v>2916</v>
      </c>
      <c r="B286" s="9">
        <v>1880</v>
      </c>
      <c r="C286" s="9" t="s">
        <v>2557</v>
      </c>
      <c r="D286" s="9">
        <v>1863</v>
      </c>
      <c r="E286" s="9">
        <v>2026</v>
      </c>
      <c r="F286" s="9" t="s">
        <v>1441</v>
      </c>
      <c r="G286" s="9">
        <v>62052000</v>
      </c>
      <c r="H286" s="9">
        <v>110</v>
      </c>
      <c r="I286" s="9">
        <v>1</v>
      </c>
      <c r="J286" s="9" t="s">
        <v>2558</v>
      </c>
      <c r="L286" s="10">
        <v>7000</v>
      </c>
      <c r="M286" s="10">
        <v>7000</v>
      </c>
      <c r="N286" s="9">
        <v>3000</v>
      </c>
      <c r="O286" s="9">
        <v>0</v>
      </c>
      <c r="R286" s="10">
        <v>7000</v>
      </c>
      <c r="U286" s="9">
        <v>8</v>
      </c>
      <c r="W286" s="9">
        <v>260326210686920</v>
      </c>
      <c r="X286" s="9" t="s">
        <v>2559</v>
      </c>
      <c r="Y286" s="9" t="s">
        <v>2560</v>
      </c>
      <c r="Z286" s="9" t="s">
        <v>2918</v>
      </c>
      <c r="AA286" s="9" t="s">
        <v>2919</v>
      </c>
      <c r="AF286" s="9">
        <v>10</v>
      </c>
      <c r="AG286" s="9" t="s">
        <v>2563</v>
      </c>
      <c r="AH286" s="9">
        <v>400</v>
      </c>
      <c r="AP286" s="11">
        <v>46280</v>
      </c>
      <c r="AQ286" s="9" t="s">
        <v>2564</v>
      </c>
      <c r="AR286" s="9">
        <v>9</v>
      </c>
      <c r="AU286" s="9" t="s">
        <v>2566</v>
      </c>
      <c r="AZ286" s="9">
        <v>101</v>
      </c>
      <c r="BA286" s="9">
        <v>971202</v>
      </c>
      <c r="BB286" s="11">
        <v>46284</v>
      </c>
      <c r="BC286" s="9">
        <v>1680</v>
      </c>
    </row>
    <row r="287" spans="1:55" x14ac:dyDescent="0.25">
      <c r="A287" s="9" t="s">
        <v>2916</v>
      </c>
      <c r="B287" s="9">
        <v>1880</v>
      </c>
      <c r="C287" s="9" t="s">
        <v>2557</v>
      </c>
      <c r="D287" s="9">
        <v>1859</v>
      </c>
      <c r="E287" s="9">
        <v>2026</v>
      </c>
      <c r="F287" s="9" t="s">
        <v>1431</v>
      </c>
      <c r="G287" s="9">
        <v>62052000</v>
      </c>
      <c r="H287" s="9">
        <v>2016</v>
      </c>
      <c r="I287" s="9">
        <v>1</v>
      </c>
      <c r="J287" s="9" t="s">
        <v>2558</v>
      </c>
      <c r="L287" s="10">
        <v>17833.75</v>
      </c>
      <c r="M287" s="10">
        <v>17833.75</v>
      </c>
      <c r="N287" s="9">
        <v>8000</v>
      </c>
      <c r="O287" s="9">
        <v>0</v>
      </c>
      <c r="R287" s="10">
        <v>17833.75</v>
      </c>
      <c r="U287" s="9">
        <v>8</v>
      </c>
      <c r="W287" s="9">
        <v>260326210686920</v>
      </c>
      <c r="X287" s="9" t="s">
        <v>2559</v>
      </c>
      <c r="Y287" s="9" t="s">
        <v>2560</v>
      </c>
      <c r="Z287" s="9" t="s">
        <v>2918</v>
      </c>
      <c r="AA287" s="9" t="s">
        <v>2919</v>
      </c>
      <c r="AF287" s="9">
        <v>10</v>
      </c>
      <c r="AG287" s="9" t="s">
        <v>2563</v>
      </c>
      <c r="AH287" s="9">
        <v>1297</v>
      </c>
      <c r="AP287" s="11">
        <v>46280</v>
      </c>
      <c r="AQ287" s="9" t="s">
        <v>2564</v>
      </c>
      <c r="AR287" s="9">
        <v>9</v>
      </c>
      <c r="AU287" s="9" t="s">
        <v>2566</v>
      </c>
      <c r="AZ287" s="9">
        <v>101</v>
      </c>
      <c r="BA287" s="9">
        <v>967711</v>
      </c>
      <c r="BB287" s="11">
        <v>46283</v>
      </c>
      <c r="BC287" s="9">
        <v>1680</v>
      </c>
    </row>
    <row r="288" spans="1:55" x14ac:dyDescent="0.25">
      <c r="A288" s="9" t="s">
        <v>2916</v>
      </c>
      <c r="B288" s="9">
        <v>1880</v>
      </c>
      <c r="C288" s="9" t="s">
        <v>2557</v>
      </c>
      <c r="D288" s="9">
        <v>1849</v>
      </c>
      <c r="E288" s="9">
        <v>2026</v>
      </c>
      <c r="F288" s="9" t="s">
        <v>1395</v>
      </c>
      <c r="G288" s="9">
        <v>62052000</v>
      </c>
      <c r="H288" s="9">
        <v>110</v>
      </c>
      <c r="I288" s="9">
        <v>1</v>
      </c>
      <c r="J288" s="9" t="s">
        <v>2558</v>
      </c>
      <c r="K288" s="9">
        <v>0</v>
      </c>
      <c r="L288" s="10">
        <v>2750</v>
      </c>
      <c r="M288" s="10">
        <v>2750</v>
      </c>
      <c r="N288" s="9">
        <v>0</v>
      </c>
      <c r="O288" s="9">
        <v>0</v>
      </c>
      <c r="P288" s="9">
        <v>0</v>
      </c>
      <c r="R288" s="10">
        <v>2750</v>
      </c>
      <c r="U288" s="9">
        <v>1</v>
      </c>
      <c r="W288" s="9">
        <v>260326210686920</v>
      </c>
      <c r="X288" s="9" t="s">
        <v>2559</v>
      </c>
      <c r="Y288" s="9" t="s">
        <v>2560</v>
      </c>
      <c r="Z288" s="9" t="s">
        <v>2918</v>
      </c>
      <c r="AA288" s="9" t="s">
        <v>2919</v>
      </c>
      <c r="AF288" s="9">
        <v>10</v>
      </c>
      <c r="AG288" s="9" t="s">
        <v>2563</v>
      </c>
      <c r="AH288" s="9">
        <v>200</v>
      </c>
      <c r="AP288" s="11">
        <v>46280</v>
      </c>
      <c r="AQ288" s="9" t="s">
        <v>2564</v>
      </c>
      <c r="AR288" s="9">
        <v>4</v>
      </c>
      <c r="AS288" s="9" t="s">
        <v>2565</v>
      </c>
      <c r="AU288" s="9" t="s">
        <v>2566</v>
      </c>
      <c r="AV288" s="9" t="s">
        <v>190</v>
      </c>
      <c r="AX288" s="9">
        <v>2610411</v>
      </c>
      <c r="AZ288" s="9">
        <v>306</v>
      </c>
      <c r="BA288" s="9">
        <v>454973</v>
      </c>
      <c r="BB288" s="11">
        <v>46280</v>
      </c>
      <c r="BC288" s="9">
        <v>1680</v>
      </c>
    </row>
    <row r="289" spans="1:55" x14ac:dyDescent="0.25">
      <c r="A289" s="9" t="s">
        <v>2916</v>
      </c>
      <c r="B289" s="9">
        <v>1880</v>
      </c>
      <c r="C289" s="9" t="s">
        <v>2557</v>
      </c>
      <c r="D289" s="9">
        <v>1850</v>
      </c>
      <c r="E289" s="9">
        <v>2026</v>
      </c>
      <c r="F289" s="9" t="s">
        <v>1399</v>
      </c>
      <c r="G289" s="9">
        <v>62052000</v>
      </c>
      <c r="H289" s="9">
        <v>2016</v>
      </c>
      <c r="I289" s="9">
        <v>1</v>
      </c>
      <c r="J289" s="9" t="s">
        <v>2558</v>
      </c>
      <c r="K289" s="9">
        <v>0</v>
      </c>
      <c r="L289" s="10">
        <v>4578.75</v>
      </c>
      <c r="M289" s="10">
        <v>4578.75</v>
      </c>
      <c r="N289" s="9">
        <v>0</v>
      </c>
      <c r="O289" s="9">
        <v>0</v>
      </c>
      <c r="P289" s="9">
        <v>0</v>
      </c>
      <c r="R289" s="10">
        <v>4578.75</v>
      </c>
      <c r="U289" s="9">
        <v>1</v>
      </c>
      <c r="W289" s="9">
        <v>260326210686920</v>
      </c>
      <c r="X289" s="9" t="s">
        <v>2559</v>
      </c>
      <c r="Y289" s="9" t="s">
        <v>2560</v>
      </c>
      <c r="Z289" s="9" t="s">
        <v>2918</v>
      </c>
      <c r="AA289" s="9" t="s">
        <v>2919</v>
      </c>
      <c r="AF289" s="9">
        <v>10</v>
      </c>
      <c r="AG289" s="9" t="s">
        <v>2563</v>
      </c>
      <c r="AH289" s="9">
        <v>333</v>
      </c>
      <c r="AP289" s="11">
        <v>46280</v>
      </c>
      <c r="AQ289" s="9" t="s">
        <v>2564</v>
      </c>
      <c r="AR289" s="9">
        <v>4</v>
      </c>
      <c r="AS289" s="9" t="s">
        <v>2565</v>
      </c>
      <c r="AU289" s="9" t="s">
        <v>2566</v>
      </c>
      <c r="AV289" s="9" t="s">
        <v>183</v>
      </c>
      <c r="AX289" s="9">
        <v>2610412</v>
      </c>
      <c r="AZ289" s="9">
        <v>306</v>
      </c>
      <c r="BA289" s="9">
        <v>455764</v>
      </c>
      <c r="BB289" s="11">
        <v>46280</v>
      </c>
      <c r="BC289" s="9">
        <v>1680</v>
      </c>
    </row>
    <row r="290" spans="1:55" x14ac:dyDescent="0.25">
      <c r="A290" s="9" t="s">
        <v>2916</v>
      </c>
      <c r="B290" s="9">
        <v>1880</v>
      </c>
      <c r="C290" s="9" t="s">
        <v>2557</v>
      </c>
      <c r="D290" s="9">
        <v>1851</v>
      </c>
      <c r="E290" s="9">
        <v>2026</v>
      </c>
      <c r="F290" s="9" t="s">
        <v>1402</v>
      </c>
      <c r="G290" s="9">
        <v>62052000</v>
      </c>
      <c r="H290" s="9">
        <v>2016</v>
      </c>
      <c r="I290" s="9">
        <v>1</v>
      </c>
      <c r="J290" s="9" t="s">
        <v>2558</v>
      </c>
      <c r="K290" s="9">
        <v>0</v>
      </c>
      <c r="L290" s="10">
        <v>2543.75</v>
      </c>
      <c r="M290" s="10">
        <v>2543.75</v>
      </c>
      <c r="N290" s="9">
        <v>0</v>
      </c>
      <c r="O290" s="9">
        <v>0</v>
      </c>
      <c r="P290" s="9">
        <v>0</v>
      </c>
      <c r="R290" s="10">
        <v>2543.75</v>
      </c>
      <c r="U290" s="9">
        <v>1</v>
      </c>
      <c r="W290" s="9">
        <v>260326210686920</v>
      </c>
      <c r="X290" s="9" t="s">
        <v>2559</v>
      </c>
      <c r="Y290" s="9" t="s">
        <v>2560</v>
      </c>
      <c r="Z290" s="9" t="s">
        <v>2918</v>
      </c>
      <c r="AA290" s="9" t="s">
        <v>2919</v>
      </c>
      <c r="AF290" s="9">
        <v>10</v>
      </c>
      <c r="AG290" s="9" t="s">
        <v>2563</v>
      </c>
      <c r="AH290" s="9">
        <v>185</v>
      </c>
      <c r="AP290" s="11">
        <v>46280</v>
      </c>
      <c r="AQ290" s="9" t="s">
        <v>2564</v>
      </c>
      <c r="AR290" s="9">
        <v>4</v>
      </c>
      <c r="AS290" s="9" t="s">
        <v>2565</v>
      </c>
      <c r="AU290" s="9" t="s">
        <v>2566</v>
      </c>
      <c r="AV290" s="9" t="s">
        <v>183</v>
      </c>
      <c r="AX290" s="9">
        <v>2610413</v>
      </c>
      <c r="AZ290" s="9">
        <v>306</v>
      </c>
      <c r="BA290" s="9">
        <v>455493</v>
      </c>
      <c r="BB290" s="11">
        <v>46280</v>
      </c>
      <c r="BC290" s="9">
        <v>1680</v>
      </c>
    </row>
    <row r="291" spans="1:55" x14ac:dyDescent="0.25">
      <c r="A291" s="9" t="s">
        <v>2916</v>
      </c>
      <c r="B291" s="9">
        <v>1880</v>
      </c>
      <c r="C291" s="9" t="s">
        <v>2557</v>
      </c>
      <c r="D291" s="9">
        <v>1852</v>
      </c>
      <c r="E291" s="9">
        <v>2026</v>
      </c>
      <c r="F291" s="9" t="s">
        <v>1405</v>
      </c>
      <c r="G291" s="9">
        <v>62052000</v>
      </c>
      <c r="H291" s="9">
        <v>110</v>
      </c>
      <c r="I291" s="9">
        <v>1</v>
      </c>
      <c r="J291" s="9" t="s">
        <v>2558</v>
      </c>
      <c r="K291" s="9">
        <v>0</v>
      </c>
      <c r="L291" s="10">
        <v>5500</v>
      </c>
      <c r="M291" s="10">
        <v>5500</v>
      </c>
      <c r="N291" s="9">
        <v>0</v>
      </c>
      <c r="O291" s="9">
        <v>0</v>
      </c>
      <c r="P291" s="9">
        <v>0</v>
      </c>
      <c r="R291" s="10">
        <v>5500</v>
      </c>
      <c r="U291" s="9">
        <v>1</v>
      </c>
      <c r="W291" s="9">
        <v>260326210686920</v>
      </c>
      <c r="X291" s="9" t="s">
        <v>2559</v>
      </c>
      <c r="Y291" s="9" t="s">
        <v>2560</v>
      </c>
      <c r="Z291" s="9" t="s">
        <v>2918</v>
      </c>
      <c r="AA291" s="9" t="s">
        <v>2919</v>
      </c>
      <c r="AF291" s="9">
        <v>10</v>
      </c>
      <c r="AG291" s="9" t="s">
        <v>2563</v>
      </c>
      <c r="AH291" s="9">
        <v>400</v>
      </c>
      <c r="AP291" s="11">
        <v>46280</v>
      </c>
      <c r="AQ291" s="9" t="s">
        <v>2564</v>
      </c>
      <c r="AR291" s="9">
        <v>4</v>
      </c>
      <c r="AS291" s="9" t="s">
        <v>2565</v>
      </c>
      <c r="AU291" s="9" t="s">
        <v>2566</v>
      </c>
      <c r="AV291" s="9" t="s">
        <v>190</v>
      </c>
      <c r="AX291" s="9">
        <v>2610414</v>
      </c>
      <c r="AZ291" s="9">
        <v>306</v>
      </c>
      <c r="BA291" s="9">
        <v>454985</v>
      </c>
      <c r="BB291" s="11">
        <v>46280</v>
      </c>
      <c r="BC291" s="9">
        <v>1680</v>
      </c>
    </row>
    <row r="292" spans="1:55" x14ac:dyDescent="0.25">
      <c r="A292" s="9" t="s">
        <v>2916</v>
      </c>
      <c r="B292" s="9">
        <v>1880</v>
      </c>
      <c r="C292" s="9" t="s">
        <v>2557</v>
      </c>
      <c r="D292" s="9">
        <v>1853</v>
      </c>
      <c r="E292" s="9">
        <v>2026</v>
      </c>
      <c r="F292" s="9" t="s">
        <v>1408</v>
      </c>
      <c r="G292" s="9">
        <v>62052000</v>
      </c>
      <c r="H292" s="9">
        <v>2016</v>
      </c>
      <c r="I292" s="9">
        <v>1</v>
      </c>
      <c r="J292" s="9" t="s">
        <v>2558</v>
      </c>
      <c r="K292" s="9">
        <v>0</v>
      </c>
      <c r="L292" s="10">
        <v>5926.25</v>
      </c>
      <c r="M292" s="10">
        <v>5926.25</v>
      </c>
      <c r="N292" s="9">
        <v>0</v>
      </c>
      <c r="O292" s="9">
        <v>0</v>
      </c>
      <c r="P292" s="9">
        <v>0</v>
      </c>
      <c r="R292" s="10">
        <v>5926.25</v>
      </c>
      <c r="U292" s="9">
        <v>1</v>
      </c>
      <c r="W292" s="9">
        <v>260326210686920</v>
      </c>
      <c r="X292" s="9" t="s">
        <v>2559</v>
      </c>
      <c r="Y292" s="9" t="s">
        <v>2560</v>
      </c>
      <c r="Z292" s="9" t="s">
        <v>2918</v>
      </c>
      <c r="AA292" s="9" t="s">
        <v>2919</v>
      </c>
      <c r="AF292" s="9">
        <v>10</v>
      </c>
      <c r="AG292" s="9" t="s">
        <v>2563</v>
      </c>
      <c r="AH292" s="9">
        <v>431</v>
      </c>
      <c r="AP292" s="11">
        <v>46280</v>
      </c>
      <c r="AQ292" s="9" t="s">
        <v>2564</v>
      </c>
      <c r="AR292" s="9">
        <v>4</v>
      </c>
      <c r="AS292" s="9" t="s">
        <v>2565</v>
      </c>
      <c r="AU292" s="9" t="s">
        <v>2566</v>
      </c>
      <c r="AV292" s="9" t="s">
        <v>183</v>
      </c>
      <c r="AX292" s="9">
        <v>2610415</v>
      </c>
      <c r="AZ292" s="9">
        <v>306</v>
      </c>
      <c r="BA292" s="9">
        <v>455500</v>
      </c>
      <c r="BB292" s="11">
        <v>46280</v>
      </c>
      <c r="BC292" s="9">
        <v>1680</v>
      </c>
    </row>
    <row r="293" spans="1:55" x14ac:dyDescent="0.25">
      <c r="A293" s="9" t="s">
        <v>2916</v>
      </c>
      <c r="B293" s="9">
        <v>1880</v>
      </c>
      <c r="C293" s="9" t="s">
        <v>2557</v>
      </c>
      <c r="D293" s="9">
        <v>1854</v>
      </c>
      <c r="E293" s="9">
        <v>2026</v>
      </c>
      <c r="F293" s="9" t="s">
        <v>1411</v>
      </c>
      <c r="G293" s="9">
        <v>62052000</v>
      </c>
      <c r="H293" s="9">
        <v>2016</v>
      </c>
      <c r="I293" s="9">
        <v>1</v>
      </c>
      <c r="J293" s="9" t="s">
        <v>2558</v>
      </c>
      <c r="K293" s="9">
        <v>0</v>
      </c>
      <c r="L293" s="10">
        <v>10132.5</v>
      </c>
      <c r="M293" s="10">
        <v>10132.5</v>
      </c>
      <c r="N293" s="9">
        <v>0</v>
      </c>
      <c r="O293" s="9">
        <v>0</v>
      </c>
      <c r="P293" s="9">
        <v>0</v>
      </c>
      <c r="R293" s="10">
        <v>10132.5</v>
      </c>
      <c r="U293" s="9">
        <v>1</v>
      </c>
      <c r="W293" s="9">
        <v>260326210686920</v>
      </c>
      <c r="X293" s="9" t="s">
        <v>2559</v>
      </c>
      <c r="Y293" s="9" t="s">
        <v>2560</v>
      </c>
      <c r="Z293" s="9" t="s">
        <v>2918</v>
      </c>
      <c r="AA293" s="9" t="s">
        <v>2919</v>
      </c>
      <c r="AF293" s="9">
        <v>10</v>
      </c>
      <c r="AG293" s="9" t="s">
        <v>2563</v>
      </c>
      <c r="AH293" s="9">
        <v>579</v>
      </c>
      <c r="AP293" s="11">
        <v>46280</v>
      </c>
      <c r="AQ293" s="9" t="s">
        <v>2564</v>
      </c>
      <c r="AR293" s="9">
        <v>4</v>
      </c>
      <c r="AS293" s="9" t="s">
        <v>2565</v>
      </c>
      <c r="AU293" s="9" t="s">
        <v>2566</v>
      </c>
      <c r="AV293" s="9" t="s">
        <v>183</v>
      </c>
      <c r="AX293" s="9">
        <v>2610416</v>
      </c>
      <c r="AZ293" s="9">
        <v>306</v>
      </c>
      <c r="BA293" s="9">
        <v>455509</v>
      </c>
      <c r="BB293" s="11">
        <v>46280</v>
      </c>
      <c r="BC293" s="9">
        <v>1680</v>
      </c>
    </row>
    <row r="294" spans="1:55" x14ac:dyDescent="0.25">
      <c r="A294" s="9" t="s">
        <v>2916</v>
      </c>
      <c r="B294" s="9">
        <v>1880</v>
      </c>
      <c r="C294" s="9" t="s">
        <v>2557</v>
      </c>
      <c r="D294" s="9">
        <v>1855</v>
      </c>
      <c r="E294" s="9">
        <v>2026</v>
      </c>
      <c r="F294" s="9" t="s">
        <v>1414</v>
      </c>
      <c r="G294" s="9">
        <v>62052000</v>
      </c>
      <c r="H294" s="9">
        <v>110</v>
      </c>
      <c r="I294" s="9">
        <v>1</v>
      </c>
      <c r="J294" s="9" t="s">
        <v>2558</v>
      </c>
      <c r="K294" s="9">
        <v>0</v>
      </c>
      <c r="L294" s="10">
        <v>3500</v>
      </c>
      <c r="M294" s="10">
        <v>3500</v>
      </c>
      <c r="N294" s="9">
        <v>0</v>
      </c>
      <c r="O294" s="9">
        <v>0</v>
      </c>
      <c r="P294" s="9">
        <v>0</v>
      </c>
      <c r="R294" s="10">
        <v>3500</v>
      </c>
      <c r="U294" s="9">
        <v>1</v>
      </c>
      <c r="W294" s="9">
        <v>260326210686920</v>
      </c>
      <c r="X294" s="9" t="s">
        <v>2559</v>
      </c>
      <c r="Y294" s="9" t="s">
        <v>2560</v>
      </c>
      <c r="Z294" s="9" t="s">
        <v>2918</v>
      </c>
      <c r="AA294" s="9" t="s">
        <v>2919</v>
      </c>
      <c r="AF294" s="9">
        <v>10</v>
      </c>
      <c r="AG294" s="9" t="s">
        <v>2563</v>
      </c>
      <c r="AH294" s="9">
        <v>200</v>
      </c>
      <c r="AP294" s="11">
        <v>46280</v>
      </c>
      <c r="AQ294" s="9" t="s">
        <v>2564</v>
      </c>
      <c r="AR294" s="9">
        <v>4</v>
      </c>
      <c r="AS294" s="9" t="s">
        <v>2565</v>
      </c>
      <c r="AU294" s="9" t="s">
        <v>2566</v>
      </c>
      <c r="AV294" s="9" t="s">
        <v>190</v>
      </c>
      <c r="AX294" s="9">
        <v>2610417</v>
      </c>
      <c r="AZ294" s="9">
        <v>306</v>
      </c>
      <c r="BA294" s="9">
        <v>454993</v>
      </c>
      <c r="BB294" s="11">
        <v>46280</v>
      </c>
      <c r="BC294" s="9">
        <v>1680</v>
      </c>
    </row>
    <row r="295" spans="1:55" x14ac:dyDescent="0.25">
      <c r="A295" s="9" t="s">
        <v>2916</v>
      </c>
      <c r="B295" s="9">
        <v>1880</v>
      </c>
      <c r="C295" s="9" t="s">
        <v>2557</v>
      </c>
      <c r="D295" s="9">
        <v>1864</v>
      </c>
      <c r="E295" s="9">
        <v>2026</v>
      </c>
      <c r="F295" s="9" t="s">
        <v>2951</v>
      </c>
      <c r="G295" s="9">
        <v>62052000</v>
      </c>
      <c r="H295" s="9">
        <v>110</v>
      </c>
      <c r="I295" s="9">
        <v>1</v>
      </c>
      <c r="J295" s="9" t="s">
        <v>2558</v>
      </c>
      <c r="L295" s="10">
        <v>5500</v>
      </c>
      <c r="M295" s="10">
        <v>5500</v>
      </c>
      <c r="N295" s="9">
        <v>2000</v>
      </c>
      <c r="O295" s="9">
        <v>0</v>
      </c>
      <c r="R295" s="10">
        <v>5500</v>
      </c>
      <c r="U295" s="9">
        <v>8</v>
      </c>
      <c r="W295" s="9">
        <v>260326210686920</v>
      </c>
      <c r="X295" s="9" t="s">
        <v>2559</v>
      </c>
      <c r="Y295" s="9" t="s">
        <v>2560</v>
      </c>
      <c r="Z295" s="9" t="s">
        <v>2918</v>
      </c>
      <c r="AA295" s="9" t="s">
        <v>2919</v>
      </c>
      <c r="AF295" s="9">
        <v>10</v>
      </c>
      <c r="AG295" s="9" t="s">
        <v>2563</v>
      </c>
      <c r="AH295" s="9">
        <v>400</v>
      </c>
      <c r="AP295" s="11">
        <v>46280</v>
      </c>
      <c r="AQ295" s="9" t="s">
        <v>2564</v>
      </c>
      <c r="AR295" s="9">
        <v>9</v>
      </c>
      <c r="AU295" s="9" t="s">
        <v>2566</v>
      </c>
      <c r="AZ295" s="9">
        <v>101</v>
      </c>
      <c r="BA295" s="9">
        <v>971203</v>
      </c>
      <c r="BB295" s="11">
        <v>46284</v>
      </c>
      <c r="BC295" s="9">
        <v>1680</v>
      </c>
    </row>
    <row r="296" spans="1:55" x14ac:dyDescent="0.25">
      <c r="A296" s="9" t="s">
        <v>2916</v>
      </c>
      <c r="B296" s="9">
        <v>1880</v>
      </c>
      <c r="C296" s="9" t="s">
        <v>2557</v>
      </c>
      <c r="D296" s="9">
        <v>1861</v>
      </c>
      <c r="E296" s="9">
        <v>2026</v>
      </c>
      <c r="F296" s="9" t="s">
        <v>1436</v>
      </c>
      <c r="G296" s="9">
        <v>62052000</v>
      </c>
      <c r="H296" s="9">
        <v>2016</v>
      </c>
      <c r="I296" s="9">
        <v>1</v>
      </c>
      <c r="J296" s="9" t="s">
        <v>2558</v>
      </c>
      <c r="L296" s="10">
        <v>17833.75</v>
      </c>
      <c r="M296" s="10">
        <v>17833.75</v>
      </c>
      <c r="N296" s="9">
        <v>8000</v>
      </c>
      <c r="O296" s="9">
        <v>0</v>
      </c>
      <c r="R296" s="10">
        <v>17833.75</v>
      </c>
      <c r="U296" s="9">
        <v>8</v>
      </c>
      <c r="W296" s="9">
        <v>260326210686920</v>
      </c>
      <c r="X296" s="9" t="s">
        <v>2559</v>
      </c>
      <c r="Y296" s="9" t="s">
        <v>2560</v>
      </c>
      <c r="Z296" s="9" t="s">
        <v>2918</v>
      </c>
      <c r="AA296" s="9" t="s">
        <v>2919</v>
      </c>
      <c r="AF296" s="9">
        <v>10</v>
      </c>
      <c r="AG296" s="9" t="s">
        <v>2563</v>
      </c>
      <c r="AH296" s="9">
        <v>1297</v>
      </c>
      <c r="AP296" s="11">
        <v>46280</v>
      </c>
      <c r="AQ296" s="9" t="s">
        <v>2564</v>
      </c>
      <c r="AR296" s="9">
        <v>9</v>
      </c>
      <c r="AU296" s="9" t="s">
        <v>2566</v>
      </c>
      <c r="AZ296" s="9">
        <v>101</v>
      </c>
      <c r="BA296" s="9">
        <v>967721</v>
      </c>
      <c r="BB296" s="11">
        <v>46283</v>
      </c>
      <c r="BC296" s="9">
        <v>1680</v>
      </c>
    </row>
    <row r="297" spans="1:55" x14ac:dyDescent="0.25">
      <c r="A297" s="9" t="s">
        <v>2916</v>
      </c>
      <c r="B297" s="9">
        <v>1880</v>
      </c>
      <c r="C297" s="9" t="s">
        <v>2557</v>
      </c>
      <c r="D297" s="9">
        <v>1858</v>
      </c>
      <c r="E297" s="9">
        <v>2026</v>
      </c>
      <c r="F297" s="9" t="s">
        <v>1428</v>
      </c>
      <c r="G297" s="9">
        <v>62112000</v>
      </c>
      <c r="H297" s="9">
        <v>2016</v>
      </c>
      <c r="I297" s="9">
        <v>1</v>
      </c>
      <c r="J297" s="9" t="s">
        <v>2558</v>
      </c>
      <c r="L297" s="10">
        <v>2305.8000000000002</v>
      </c>
      <c r="M297" s="10">
        <v>2305.8000000000002</v>
      </c>
      <c r="N297" s="9">
        <v>1000</v>
      </c>
      <c r="O297" s="9">
        <v>0</v>
      </c>
      <c r="R297" s="10">
        <v>2305.8000000000002</v>
      </c>
      <c r="U297" s="9">
        <v>8</v>
      </c>
      <c r="W297" s="9">
        <v>260326210686920</v>
      </c>
      <c r="X297" s="9" t="s">
        <v>2559</v>
      </c>
      <c r="Y297" s="9" t="s">
        <v>2560</v>
      </c>
      <c r="Z297" s="9" t="s">
        <v>2918</v>
      </c>
      <c r="AA297" s="9" t="s">
        <v>2919</v>
      </c>
      <c r="AF297" s="9">
        <v>10</v>
      </c>
      <c r="AG297" s="9" t="s">
        <v>2563</v>
      </c>
      <c r="AH297" s="9">
        <v>420</v>
      </c>
      <c r="AP297" s="11">
        <v>46280</v>
      </c>
      <c r="AQ297" s="9" t="s">
        <v>2564</v>
      </c>
      <c r="AR297" s="9">
        <v>9</v>
      </c>
      <c r="AU297" s="9" t="s">
        <v>2566</v>
      </c>
      <c r="AZ297" s="9">
        <v>101</v>
      </c>
      <c r="BA297" s="9">
        <v>967716</v>
      </c>
      <c r="BB297" s="11">
        <v>46283</v>
      </c>
      <c r="BC297" s="9">
        <v>1680</v>
      </c>
    </row>
    <row r="298" spans="1:55" x14ac:dyDescent="0.25">
      <c r="A298" s="9" t="s">
        <v>2916</v>
      </c>
      <c r="B298" s="9">
        <v>1880</v>
      </c>
      <c r="C298" s="9" t="s">
        <v>2557</v>
      </c>
      <c r="D298" s="9">
        <v>1866</v>
      </c>
      <c r="E298" s="9">
        <v>2026</v>
      </c>
      <c r="F298" s="9" t="s">
        <v>1447</v>
      </c>
      <c r="G298" s="9">
        <v>62052000</v>
      </c>
      <c r="H298" s="9">
        <v>2016</v>
      </c>
      <c r="I298" s="9">
        <v>1</v>
      </c>
      <c r="J298" s="9" t="s">
        <v>2558</v>
      </c>
      <c r="L298" s="10">
        <v>4136.3</v>
      </c>
      <c r="M298" s="10">
        <v>4136.3</v>
      </c>
      <c r="N298" s="9">
        <v>2000</v>
      </c>
      <c r="O298" s="9">
        <v>0</v>
      </c>
      <c r="R298" s="10">
        <v>4136.3</v>
      </c>
      <c r="U298" s="9">
        <v>8</v>
      </c>
      <c r="W298" s="9">
        <v>260326210686920</v>
      </c>
      <c r="X298" s="9" t="s">
        <v>2559</v>
      </c>
      <c r="Y298" s="9" t="s">
        <v>2560</v>
      </c>
      <c r="Z298" s="9" t="s">
        <v>2918</v>
      </c>
      <c r="AA298" s="9" t="s">
        <v>2919</v>
      </c>
      <c r="AF298" s="9">
        <v>10</v>
      </c>
      <c r="AG298" s="9" t="s">
        <v>2563</v>
      </c>
      <c r="AH298" s="9">
        <v>1244</v>
      </c>
      <c r="AP298" s="11">
        <v>46280</v>
      </c>
      <c r="AQ298" s="9" t="s">
        <v>2564</v>
      </c>
      <c r="AR298" s="9">
        <v>9</v>
      </c>
      <c r="AU298" s="9" t="s">
        <v>2566</v>
      </c>
      <c r="AZ298" s="9">
        <v>101</v>
      </c>
      <c r="BA298" s="9">
        <v>967696</v>
      </c>
      <c r="BB298" s="11">
        <v>46283</v>
      </c>
      <c r="BC298" s="9">
        <v>1680</v>
      </c>
    </row>
    <row r="299" spans="1:55" x14ac:dyDescent="0.25">
      <c r="A299" s="9" t="s">
        <v>2916</v>
      </c>
      <c r="B299" s="9">
        <v>1880</v>
      </c>
      <c r="C299" s="9" t="s">
        <v>2557</v>
      </c>
      <c r="D299" s="9">
        <v>1860</v>
      </c>
      <c r="E299" s="9">
        <v>2026</v>
      </c>
      <c r="F299" s="9" t="s">
        <v>1434</v>
      </c>
      <c r="G299" s="9">
        <v>62052000</v>
      </c>
      <c r="H299" s="9">
        <v>110</v>
      </c>
      <c r="I299" s="9">
        <v>1</v>
      </c>
      <c r="J299" s="9" t="s">
        <v>2558</v>
      </c>
      <c r="L299" s="10">
        <v>11000</v>
      </c>
      <c r="M299" s="10">
        <v>11000</v>
      </c>
      <c r="N299" s="9">
        <v>5000</v>
      </c>
      <c r="O299" s="9">
        <v>0</v>
      </c>
      <c r="R299" s="10">
        <v>11000</v>
      </c>
      <c r="U299" s="9">
        <v>8</v>
      </c>
      <c r="W299" s="9">
        <v>260326210686920</v>
      </c>
      <c r="X299" s="9" t="s">
        <v>2559</v>
      </c>
      <c r="Y299" s="9" t="s">
        <v>2560</v>
      </c>
      <c r="Z299" s="9" t="s">
        <v>2918</v>
      </c>
      <c r="AA299" s="9" t="s">
        <v>2919</v>
      </c>
      <c r="AF299" s="9">
        <v>10</v>
      </c>
      <c r="AG299" s="9" t="s">
        <v>2563</v>
      </c>
      <c r="AH299" s="9">
        <v>800</v>
      </c>
      <c r="AP299" s="11">
        <v>46280</v>
      </c>
      <c r="AQ299" s="9" t="s">
        <v>2564</v>
      </c>
      <c r="AR299" s="9">
        <v>9</v>
      </c>
      <c r="AU299" s="9" t="s">
        <v>2566</v>
      </c>
      <c r="AZ299" s="9">
        <v>101</v>
      </c>
      <c r="BA299" s="9">
        <v>971205</v>
      </c>
      <c r="BB299" s="11">
        <v>46284</v>
      </c>
      <c r="BC299" s="9">
        <v>1680</v>
      </c>
    </row>
    <row r="300" spans="1:55" x14ac:dyDescent="0.25">
      <c r="A300" s="9" t="s">
        <v>2916</v>
      </c>
      <c r="B300" s="9">
        <v>1880</v>
      </c>
      <c r="C300" s="9" t="s">
        <v>2557</v>
      </c>
      <c r="D300" s="9">
        <v>1862</v>
      </c>
      <c r="E300" s="9">
        <v>2026</v>
      </c>
      <c r="F300" s="9" t="s">
        <v>1438</v>
      </c>
      <c r="G300" s="9">
        <v>62052000</v>
      </c>
      <c r="H300" s="9">
        <v>2016</v>
      </c>
      <c r="I300" s="9">
        <v>1</v>
      </c>
      <c r="J300" s="9" t="s">
        <v>2558</v>
      </c>
      <c r="L300" s="10">
        <v>15015</v>
      </c>
      <c r="M300" s="10">
        <v>15015</v>
      </c>
      <c r="N300" s="9">
        <v>7000</v>
      </c>
      <c r="O300" s="9">
        <v>0</v>
      </c>
      <c r="R300" s="10">
        <v>15015</v>
      </c>
      <c r="U300" s="9">
        <v>8</v>
      </c>
      <c r="W300" s="9">
        <v>260326210686920</v>
      </c>
      <c r="X300" s="9" t="s">
        <v>2559</v>
      </c>
      <c r="Y300" s="9" t="s">
        <v>2560</v>
      </c>
      <c r="Z300" s="9" t="s">
        <v>2918</v>
      </c>
      <c r="AA300" s="9" t="s">
        <v>2919</v>
      </c>
      <c r="AF300" s="9">
        <v>10</v>
      </c>
      <c r="AG300" s="9" t="s">
        <v>2563</v>
      </c>
      <c r="AH300" s="9">
        <v>858</v>
      </c>
      <c r="AP300" s="11">
        <v>46280</v>
      </c>
      <c r="AQ300" s="9" t="s">
        <v>2564</v>
      </c>
      <c r="AR300" s="9">
        <v>9</v>
      </c>
      <c r="AU300" s="9" t="s">
        <v>2566</v>
      </c>
      <c r="AZ300" s="9">
        <v>101</v>
      </c>
      <c r="BA300" s="9">
        <v>967691</v>
      </c>
      <c r="BB300" s="11">
        <v>46283</v>
      </c>
      <c r="BC300" s="9">
        <v>1680</v>
      </c>
    </row>
    <row r="301" spans="1:55" x14ac:dyDescent="0.25">
      <c r="A301" s="9" t="s">
        <v>2916</v>
      </c>
      <c r="B301" s="9">
        <v>1880</v>
      </c>
      <c r="C301" s="9" t="s">
        <v>2557</v>
      </c>
      <c r="D301" s="9">
        <v>1867</v>
      </c>
      <c r="E301" s="9">
        <v>2026</v>
      </c>
      <c r="F301" s="9" t="s">
        <v>1449</v>
      </c>
      <c r="G301" s="9">
        <v>62052000</v>
      </c>
      <c r="H301" s="9">
        <v>2016</v>
      </c>
      <c r="I301" s="9">
        <v>1</v>
      </c>
      <c r="J301" s="9" t="s">
        <v>2558</v>
      </c>
      <c r="L301" s="10">
        <v>1702.4</v>
      </c>
      <c r="M301" s="10">
        <v>1702.4</v>
      </c>
      <c r="N301" s="9">
        <v>500</v>
      </c>
      <c r="O301" s="9">
        <v>0</v>
      </c>
      <c r="R301" s="10">
        <v>1702.4</v>
      </c>
      <c r="U301" s="9">
        <v>8</v>
      </c>
      <c r="W301" s="9">
        <v>260326210686920</v>
      </c>
      <c r="X301" s="9" t="s">
        <v>2559</v>
      </c>
      <c r="Y301" s="9" t="s">
        <v>2560</v>
      </c>
      <c r="Z301" s="9" t="s">
        <v>2918</v>
      </c>
      <c r="AA301" s="9" t="s">
        <v>2919</v>
      </c>
      <c r="AF301" s="9">
        <v>10</v>
      </c>
      <c r="AG301" s="9" t="s">
        <v>2563</v>
      </c>
      <c r="AH301" s="9">
        <v>512</v>
      </c>
      <c r="AP301" s="11">
        <v>46280</v>
      </c>
      <c r="AQ301" s="9" t="s">
        <v>2564</v>
      </c>
      <c r="AR301" s="9">
        <v>9</v>
      </c>
      <c r="AU301" s="9" t="s">
        <v>2566</v>
      </c>
      <c r="AZ301" s="9">
        <v>101</v>
      </c>
      <c r="BA301" s="9">
        <v>967704</v>
      </c>
      <c r="BB301" s="11">
        <v>46283</v>
      </c>
      <c r="BC301" s="9">
        <v>1680</v>
      </c>
    </row>
    <row r="302" spans="1:55" ht="75" x14ac:dyDescent="0.25">
      <c r="A302" s="9" t="s">
        <v>2916</v>
      </c>
      <c r="B302" s="9">
        <v>1880</v>
      </c>
      <c r="C302" s="9" t="s">
        <v>2557</v>
      </c>
      <c r="D302" s="9">
        <v>1949</v>
      </c>
      <c r="E302" s="9">
        <v>2026</v>
      </c>
      <c r="F302" s="9" t="s">
        <v>2485</v>
      </c>
      <c r="G302" s="9">
        <v>62052000</v>
      </c>
      <c r="H302" s="9">
        <v>1204</v>
      </c>
      <c r="I302" s="9">
        <v>86</v>
      </c>
      <c r="J302" s="9" t="s">
        <v>2574</v>
      </c>
      <c r="K302" s="9">
        <v>0</v>
      </c>
      <c r="L302" s="10">
        <v>4400</v>
      </c>
      <c r="M302" s="10">
        <v>4400</v>
      </c>
      <c r="N302" s="9">
        <v>0</v>
      </c>
      <c r="O302" s="9">
        <v>0</v>
      </c>
      <c r="P302" s="9">
        <v>0</v>
      </c>
      <c r="U302" s="9">
        <v>1</v>
      </c>
      <c r="W302" s="9">
        <v>260326210686920</v>
      </c>
      <c r="X302" s="9" t="s">
        <v>2559</v>
      </c>
      <c r="Y302" s="9" t="s">
        <v>2560</v>
      </c>
      <c r="Z302" s="9" t="s">
        <v>2922</v>
      </c>
      <c r="AA302" s="12" t="s">
        <v>2952</v>
      </c>
      <c r="AF302" s="9">
        <v>10</v>
      </c>
      <c r="AG302" s="9" t="s">
        <v>2563</v>
      </c>
      <c r="AH302" s="9">
        <v>1069</v>
      </c>
      <c r="AO302" s="9" t="s">
        <v>2577</v>
      </c>
      <c r="AP302" s="11">
        <v>46294</v>
      </c>
      <c r="AQ302" s="9" t="s">
        <v>2564</v>
      </c>
      <c r="AR302" s="9">
        <v>4</v>
      </c>
      <c r="AS302" s="9" t="s">
        <v>2565</v>
      </c>
      <c r="AU302" s="9" t="s">
        <v>2566</v>
      </c>
      <c r="AV302" s="9" t="s">
        <v>195</v>
      </c>
      <c r="AX302" s="9">
        <v>2610877</v>
      </c>
      <c r="BC302" s="9">
        <v>1680</v>
      </c>
    </row>
    <row r="303" spans="1:55" ht="60" x14ac:dyDescent="0.25">
      <c r="A303" s="9" t="s">
        <v>2916</v>
      </c>
      <c r="B303" s="9">
        <v>1880</v>
      </c>
      <c r="C303" s="9" t="s">
        <v>2557</v>
      </c>
      <c r="D303" s="9">
        <v>1950</v>
      </c>
      <c r="E303" s="9">
        <v>2026</v>
      </c>
      <c r="F303" s="9" t="s">
        <v>2489</v>
      </c>
      <c r="G303" s="9">
        <v>62052000</v>
      </c>
      <c r="H303" s="9">
        <v>2016</v>
      </c>
      <c r="I303" s="9">
        <v>86</v>
      </c>
      <c r="J303" s="9" t="s">
        <v>2574</v>
      </c>
      <c r="K303" s="9">
        <v>0</v>
      </c>
      <c r="L303" s="10">
        <v>2020.96</v>
      </c>
      <c r="M303" s="10">
        <v>2020.96</v>
      </c>
      <c r="N303" s="9">
        <v>0</v>
      </c>
      <c r="O303" s="9">
        <v>0</v>
      </c>
      <c r="P303" s="9">
        <v>0</v>
      </c>
      <c r="U303" s="9">
        <v>1</v>
      </c>
      <c r="W303" s="9">
        <v>260326210686920</v>
      </c>
      <c r="X303" s="9" t="s">
        <v>2559</v>
      </c>
      <c r="Y303" s="9" t="s">
        <v>2560</v>
      </c>
      <c r="Z303" s="9" t="s">
        <v>2922</v>
      </c>
      <c r="AA303" s="12" t="s">
        <v>2578</v>
      </c>
      <c r="AF303" s="9">
        <v>10</v>
      </c>
      <c r="AG303" s="9" t="s">
        <v>2563</v>
      </c>
      <c r="AH303" s="9">
        <v>491</v>
      </c>
      <c r="AO303" s="9" t="s">
        <v>2577</v>
      </c>
      <c r="AP303" s="11">
        <v>46294</v>
      </c>
      <c r="AQ303" s="9" t="s">
        <v>2564</v>
      </c>
      <c r="AR303" s="9">
        <v>4</v>
      </c>
      <c r="AS303" s="9" t="s">
        <v>2565</v>
      </c>
      <c r="AU303" s="9" t="s">
        <v>2566</v>
      </c>
      <c r="AV303" s="9" t="s">
        <v>183</v>
      </c>
      <c r="AX303" s="9">
        <v>2610878</v>
      </c>
      <c r="BC303" s="9">
        <v>1680</v>
      </c>
    </row>
    <row r="304" spans="1:55" ht="75" x14ac:dyDescent="0.25">
      <c r="A304" s="9" t="s">
        <v>2916</v>
      </c>
      <c r="B304" s="9">
        <v>1880</v>
      </c>
      <c r="C304" s="9" t="s">
        <v>2557</v>
      </c>
      <c r="D304" s="9">
        <v>1951</v>
      </c>
      <c r="E304" s="9">
        <v>2026</v>
      </c>
      <c r="F304" s="9" t="s">
        <v>2492</v>
      </c>
      <c r="G304" s="9">
        <v>62052000</v>
      </c>
      <c r="H304" s="9">
        <v>1204</v>
      </c>
      <c r="I304" s="9">
        <v>86</v>
      </c>
      <c r="J304" s="9" t="s">
        <v>2574</v>
      </c>
      <c r="K304" s="9">
        <v>0</v>
      </c>
      <c r="L304" s="9">
        <v>144.06</v>
      </c>
      <c r="M304" s="9">
        <v>144.06</v>
      </c>
      <c r="N304" s="9">
        <v>0</v>
      </c>
      <c r="O304" s="9">
        <v>0</v>
      </c>
      <c r="P304" s="9">
        <v>0</v>
      </c>
      <c r="U304" s="9">
        <v>1</v>
      </c>
      <c r="W304" s="9">
        <v>260326210686920</v>
      </c>
      <c r="X304" s="9" t="s">
        <v>2559</v>
      </c>
      <c r="Y304" s="9" t="s">
        <v>2560</v>
      </c>
      <c r="Z304" s="9" t="s">
        <v>2922</v>
      </c>
      <c r="AA304" s="12" t="s">
        <v>2952</v>
      </c>
      <c r="AF304" s="9">
        <v>10</v>
      </c>
      <c r="AG304" s="9" t="s">
        <v>2563</v>
      </c>
      <c r="AH304" s="9">
        <v>35</v>
      </c>
      <c r="AO304" s="9" t="s">
        <v>2577</v>
      </c>
      <c r="AP304" s="11">
        <v>46294</v>
      </c>
      <c r="AQ304" s="9" t="s">
        <v>2564</v>
      </c>
      <c r="AR304" s="9">
        <v>4</v>
      </c>
      <c r="AS304" s="9" t="s">
        <v>2565</v>
      </c>
      <c r="AU304" s="9" t="s">
        <v>2566</v>
      </c>
      <c r="AV304" s="9" t="s">
        <v>195</v>
      </c>
      <c r="AX304" s="9">
        <v>2610879</v>
      </c>
      <c r="BC304" s="9">
        <v>1680</v>
      </c>
    </row>
    <row r="305" spans="1:55" ht="45" x14ac:dyDescent="0.25">
      <c r="A305" s="9" t="s">
        <v>2916</v>
      </c>
      <c r="B305" s="9">
        <v>1880</v>
      </c>
      <c r="C305" s="9" t="s">
        <v>2557</v>
      </c>
      <c r="D305" s="9">
        <v>1952</v>
      </c>
      <c r="E305" s="9">
        <v>2026</v>
      </c>
      <c r="F305" s="9" t="s">
        <v>2953</v>
      </c>
      <c r="G305" s="9">
        <v>62052000</v>
      </c>
      <c r="H305" s="9">
        <v>2016</v>
      </c>
      <c r="I305" s="9">
        <v>86</v>
      </c>
      <c r="J305" s="9" t="s">
        <v>2574</v>
      </c>
      <c r="L305" s="10">
        <v>153432.13</v>
      </c>
      <c r="M305" s="10">
        <v>153432.13</v>
      </c>
      <c r="N305" s="9">
        <v>0</v>
      </c>
      <c r="O305" s="9">
        <v>0</v>
      </c>
      <c r="P305" s="9">
        <v>0</v>
      </c>
      <c r="U305" s="9">
        <v>1</v>
      </c>
      <c r="W305" s="9">
        <v>260326210686920</v>
      </c>
      <c r="X305" s="9" t="s">
        <v>2559</v>
      </c>
      <c r="Y305" s="9" t="s">
        <v>2560</v>
      </c>
      <c r="Z305" s="9" t="s">
        <v>2922</v>
      </c>
      <c r="AA305" s="12" t="s">
        <v>2938</v>
      </c>
      <c r="AF305" s="9">
        <v>10</v>
      </c>
      <c r="AG305" s="9" t="s">
        <v>2563</v>
      </c>
      <c r="AH305" s="9">
        <v>37277</v>
      </c>
      <c r="AO305" s="9" t="s">
        <v>2577</v>
      </c>
      <c r="AP305" s="11">
        <v>46294</v>
      </c>
      <c r="AQ305" s="9" t="s">
        <v>2564</v>
      </c>
      <c r="AR305" s="9">
        <v>4</v>
      </c>
      <c r="AU305" s="9" t="s">
        <v>2566</v>
      </c>
      <c r="BC305" s="9">
        <v>1680</v>
      </c>
    </row>
    <row r="306" spans="1:55" x14ac:dyDescent="0.25">
      <c r="A306" s="9" t="s">
        <v>2916</v>
      </c>
      <c r="B306" s="9">
        <v>1880</v>
      </c>
      <c r="C306" s="9" t="s">
        <v>2557</v>
      </c>
      <c r="D306" s="9">
        <v>1711</v>
      </c>
      <c r="E306" s="9">
        <v>2026</v>
      </c>
      <c r="F306" s="9" t="s">
        <v>2954</v>
      </c>
      <c r="G306" s="9">
        <v>62063000</v>
      </c>
      <c r="H306" s="9">
        <v>2016</v>
      </c>
      <c r="I306" s="9">
        <v>1</v>
      </c>
      <c r="J306" s="9" t="s">
        <v>2558</v>
      </c>
      <c r="K306" s="9">
        <v>0</v>
      </c>
      <c r="L306" s="10">
        <v>24640</v>
      </c>
      <c r="M306" s="10">
        <v>24640</v>
      </c>
      <c r="N306" s="9">
        <v>0</v>
      </c>
      <c r="O306" s="9">
        <v>0</v>
      </c>
      <c r="P306" s="9">
        <v>0</v>
      </c>
      <c r="R306" s="10">
        <v>24640</v>
      </c>
      <c r="S306" s="11">
        <v>46287</v>
      </c>
      <c r="T306" s="10">
        <v>24032.23</v>
      </c>
      <c r="U306" s="9">
        <v>1</v>
      </c>
      <c r="V306" s="11">
        <v>46268</v>
      </c>
      <c r="W306" s="9">
        <v>260326210686920</v>
      </c>
      <c r="X306" s="9" t="s">
        <v>2559</v>
      </c>
      <c r="Y306" s="9" t="s">
        <v>2560</v>
      </c>
      <c r="Z306" s="9" t="s">
        <v>2918</v>
      </c>
      <c r="AA306" s="9" t="s">
        <v>2919</v>
      </c>
      <c r="AB306" s="9" t="s">
        <v>2570</v>
      </c>
      <c r="AC306" s="11">
        <v>46273</v>
      </c>
      <c r="AD306" s="9">
        <v>1880</v>
      </c>
      <c r="AE306" s="9" t="s">
        <v>2570</v>
      </c>
      <c r="AF306" s="9">
        <v>10</v>
      </c>
      <c r="AG306" s="9" t="s">
        <v>2563</v>
      </c>
      <c r="AH306" s="9">
        <v>4480</v>
      </c>
      <c r="AJ306" s="9" t="s">
        <v>2928</v>
      </c>
      <c r="AK306" s="11">
        <v>46286</v>
      </c>
      <c r="AL306" s="9">
        <v>2609869</v>
      </c>
      <c r="AM306" s="11">
        <v>46262</v>
      </c>
      <c r="AO306" s="9" t="s">
        <v>2571</v>
      </c>
      <c r="AP306" s="11">
        <v>46264</v>
      </c>
      <c r="AQ306" s="9" t="s">
        <v>2564</v>
      </c>
      <c r="AR306" s="9">
        <v>4</v>
      </c>
      <c r="AS306" s="9" t="s">
        <v>2642</v>
      </c>
      <c r="AT306" s="9">
        <v>1</v>
      </c>
      <c r="AU306" s="9" t="s">
        <v>2566</v>
      </c>
      <c r="AV306" s="9" t="s">
        <v>183</v>
      </c>
      <c r="AW306" s="9" t="s">
        <v>2955</v>
      </c>
      <c r="AX306" s="9">
        <v>2609869</v>
      </c>
      <c r="AY306" s="11">
        <v>46268</v>
      </c>
      <c r="AZ306" s="9">
        <v>306</v>
      </c>
      <c r="BA306" s="9">
        <v>383341</v>
      </c>
      <c r="BB306" s="11">
        <v>46264</v>
      </c>
      <c r="BC306" s="9">
        <v>1680</v>
      </c>
    </row>
    <row r="307" spans="1:55" x14ac:dyDescent="0.25">
      <c r="A307" s="9" t="s">
        <v>2916</v>
      </c>
      <c r="B307" s="9">
        <v>1880</v>
      </c>
      <c r="C307" s="9" t="s">
        <v>2557</v>
      </c>
      <c r="D307" s="9">
        <v>1712</v>
      </c>
      <c r="E307" s="9">
        <v>2026</v>
      </c>
      <c r="F307" s="9" t="s">
        <v>2956</v>
      </c>
      <c r="G307" s="9">
        <v>62063000</v>
      </c>
      <c r="H307" s="9">
        <v>2016</v>
      </c>
      <c r="I307" s="9">
        <v>1</v>
      </c>
      <c r="J307" s="9" t="s">
        <v>2558</v>
      </c>
      <c r="K307" s="9">
        <v>0</v>
      </c>
      <c r="L307" s="10">
        <v>10560</v>
      </c>
      <c r="M307" s="10">
        <v>10560</v>
      </c>
      <c r="N307" s="9">
        <v>0</v>
      </c>
      <c r="O307" s="9">
        <v>0</v>
      </c>
      <c r="P307" s="9">
        <v>0</v>
      </c>
      <c r="R307" s="10">
        <v>10560</v>
      </c>
      <c r="U307" s="9">
        <v>1</v>
      </c>
      <c r="V307" s="11">
        <v>46271</v>
      </c>
      <c r="W307" s="9">
        <v>260326210686920</v>
      </c>
      <c r="X307" s="9" t="s">
        <v>2559</v>
      </c>
      <c r="Y307" s="9" t="s">
        <v>2560</v>
      </c>
      <c r="Z307" s="9" t="s">
        <v>2918</v>
      </c>
      <c r="AA307" s="9" t="s">
        <v>2919</v>
      </c>
      <c r="AB307" s="9" t="s">
        <v>2570</v>
      </c>
      <c r="AC307" s="11">
        <v>46295</v>
      </c>
      <c r="AD307" s="9">
        <v>1880</v>
      </c>
      <c r="AF307" s="9">
        <v>10</v>
      </c>
      <c r="AG307" s="9" t="s">
        <v>2563</v>
      </c>
      <c r="AH307" s="9">
        <v>1920</v>
      </c>
      <c r="AL307" s="9">
        <v>2609870</v>
      </c>
      <c r="AM307" s="11">
        <v>46262</v>
      </c>
      <c r="AO307" s="9" t="s">
        <v>2571</v>
      </c>
      <c r="AP307" s="11">
        <v>46264</v>
      </c>
      <c r="AQ307" s="9" t="s">
        <v>2564</v>
      </c>
      <c r="AR307" s="9">
        <v>4</v>
      </c>
      <c r="AS307" s="9" t="s">
        <v>2957</v>
      </c>
      <c r="AT307" s="9">
        <v>1</v>
      </c>
      <c r="AU307" s="9" t="s">
        <v>2566</v>
      </c>
      <c r="AV307" s="9" t="s">
        <v>206</v>
      </c>
      <c r="AW307" s="9" t="s">
        <v>2958</v>
      </c>
      <c r="AX307" s="9">
        <v>2609870</v>
      </c>
      <c r="AY307" s="11">
        <v>46271</v>
      </c>
      <c r="AZ307" s="9">
        <v>306</v>
      </c>
      <c r="BA307" s="9">
        <v>383343</v>
      </c>
      <c r="BB307" s="11">
        <v>46264</v>
      </c>
      <c r="BC307" s="9">
        <v>1680</v>
      </c>
    </row>
    <row r="308" spans="1:55" x14ac:dyDescent="0.25">
      <c r="A308" s="9" t="s">
        <v>2916</v>
      </c>
      <c r="B308" s="9">
        <v>1880</v>
      </c>
      <c r="C308" s="9" t="s">
        <v>2557</v>
      </c>
      <c r="D308" s="9">
        <v>1713</v>
      </c>
      <c r="E308" s="9">
        <v>2026</v>
      </c>
      <c r="F308" s="9" t="s">
        <v>2959</v>
      </c>
      <c r="G308" s="9">
        <v>62112000</v>
      </c>
      <c r="H308" s="9">
        <v>2016</v>
      </c>
      <c r="I308" s="9">
        <v>1</v>
      </c>
      <c r="J308" s="9" t="s">
        <v>2558</v>
      </c>
      <c r="K308" s="9">
        <v>0</v>
      </c>
      <c r="L308" s="10">
        <v>5096.3999999999996</v>
      </c>
      <c r="M308" s="10">
        <v>5096.3999999999996</v>
      </c>
      <c r="N308" s="9">
        <v>0</v>
      </c>
      <c r="O308" s="9">
        <v>0</v>
      </c>
      <c r="P308" s="9">
        <v>0</v>
      </c>
      <c r="R308" s="10">
        <v>5096.3999999999996</v>
      </c>
      <c r="S308" s="11">
        <v>46287</v>
      </c>
      <c r="T308" s="10">
        <v>4970.6899999999996</v>
      </c>
      <c r="U308" s="9">
        <v>1</v>
      </c>
      <c r="V308" s="11">
        <v>46268</v>
      </c>
      <c r="W308" s="9">
        <v>260326210686920</v>
      </c>
      <c r="X308" s="9" t="s">
        <v>2559</v>
      </c>
      <c r="Y308" s="9" t="s">
        <v>2560</v>
      </c>
      <c r="Z308" s="9" t="s">
        <v>2918</v>
      </c>
      <c r="AA308" s="9" t="s">
        <v>2919</v>
      </c>
      <c r="AB308" s="9" t="s">
        <v>2570</v>
      </c>
      <c r="AC308" s="11">
        <v>46273</v>
      </c>
      <c r="AD308" s="9">
        <v>1880</v>
      </c>
      <c r="AE308" s="9" t="s">
        <v>2570</v>
      </c>
      <c r="AF308" s="9">
        <v>10</v>
      </c>
      <c r="AG308" s="9" t="s">
        <v>2563</v>
      </c>
      <c r="AH308" s="9">
        <v>936</v>
      </c>
      <c r="AJ308" s="9" t="s">
        <v>2928</v>
      </c>
      <c r="AK308" s="11">
        <v>46286</v>
      </c>
      <c r="AL308" s="9">
        <v>2609875</v>
      </c>
      <c r="AM308" s="11">
        <v>46264</v>
      </c>
      <c r="AO308" s="9" t="s">
        <v>2592</v>
      </c>
      <c r="AP308" s="11">
        <v>46264</v>
      </c>
      <c r="AQ308" s="9" t="s">
        <v>2564</v>
      </c>
      <c r="AR308" s="9">
        <v>4</v>
      </c>
      <c r="AS308" s="9" t="s">
        <v>2642</v>
      </c>
      <c r="AT308" s="9">
        <v>1</v>
      </c>
      <c r="AU308" s="9" t="s">
        <v>2566</v>
      </c>
      <c r="AV308" s="9" t="s">
        <v>183</v>
      </c>
      <c r="AW308" s="9" t="s">
        <v>2960</v>
      </c>
      <c r="AX308" s="9">
        <v>2609875</v>
      </c>
      <c r="AY308" s="11">
        <v>46268</v>
      </c>
      <c r="AZ308" s="9">
        <v>306</v>
      </c>
      <c r="BA308" s="9">
        <v>383314</v>
      </c>
      <c r="BB308" s="11">
        <v>46264</v>
      </c>
      <c r="BC308" s="9">
        <v>1680</v>
      </c>
    </row>
    <row r="309" spans="1:55" x14ac:dyDescent="0.25">
      <c r="A309" s="9" t="s">
        <v>2916</v>
      </c>
      <c r="B309" s="9">
        <v>1880</v>
      </c>
      <c r="C309" s="9" t="s">
        <v>2557</v>
      </c>
      <c r="D309" s="9">
        <v>1714</v>
      </c>
      <c r="E309" s="9">
        <v>2026</v>
      </c>
      <c r="F309" s="9" t="s">
        <v>2961</v>
      </c>
      <c r="G309" s="9">
        <v>62112000</v>
      </c>
      <c r="H309" s="9">
        <v>2016</v>
      </c>
      <c r="I309" s="9">
        <v>1</v>
      </c>
      <c r="J309" s="9" t="s">
        <v>2558</v>
      </c>
      <c r="K309" s="9">
        <v>0</v>
      </c>
      <c r="L309" s="10">
        <v>1816</v>
      </c>
      <c r="M309" s="10">
        <v>1816</v>
      </c>
      <c r="N309" s="9">
        <v>0</v>
      </c>
      <c r="O309" s="9">
        <v>0</v>
      </c>
      <c r="P309" s="9">
        <v>0</v>
      </c>
      <c r="R309" s="10">
        <v>1816</v>
      </c>
      <c r="U309" s="9">
        <v>1</v>
      </c>
      <c r="V309" s="11">
        <v>46271</v>
      </c>
      <c r="W309" s="9">
        <v>260326210686920</v>
      </c>
      <c r="X309" s="9" t="s">
        <v>2559</v>
      </c>
      <c r="Y309" s="9" t="s">
        <v>2560</v>
      </c>
      <c r="Z309" s="9" t="s">
        <v>2918</v>
      </c>
      <c r="AA309" s="9" t="s">
        <v>2919</v>
      </c>
      <c r="AB309" s="9" t="s">
        <v>2570</v>
      </c>
      <c r="AC309" s="11">
        <v>46295</v>
      </c>
      <c r="AD309" s="9">
        <v>1880</v>
      </c>
      <c r="AF309" s="9">
        <v>10</v>
      </c>
      <c r="AG309" s="9" t="s">
        <v>2563</v>
      </c>
      <c r="AH309" s="9">
        <v>334</v>
      </c>
      <c r="AL309" s="9">
        <v>2609876</v>
      </c>
      <c r="AM309" s="11">
        <v>46264</v>
      </c>
      <c r="AO309" s="9" t="s">
        <v>2592</v>
      </c>
      <c r="AP309" s="11">
        <v>46264</v>
      </c>
      <c r="AQ309" s="9" t="s">
        <v>2564</v>
      </c>
      <c r="AR309" s="9">
        <v>4</v>
      </c>
      <c r="AS309" s="9" t="s">
        <v>2957</v>
      </c>
      <c r="AT309" s="9">
        <v>1</v>
      </c>
      <c r="AU309" s="9" t="s">
        <v>2566</v>
      </c>
      <c r="AV309" s="9" t="s">
        <v>206</v>
      </c>
      <c r="AW309" s="9" t="s">
        <v>2962</v>
      </c>
      <c r="AX309" s="9">
        <v>2609876</v>
      </c>
      <c r="AY309" s="11">
        <v>46271</v>
      </c>
      <c r="AZ309" s="9">
        <v>306</v>
      </c>
      <c r="BA309" s="9">
        <v>383337</v>
      </c>
      <c r="BB309" s="11">
        <v>46264</v>
      </c>
      <c r="BC309" s="9">
        <v>1680</v>
      </c>
    </row>
    <row r="310" spans="1:55" x14ac:dyDescent="0.25">
      <c r="A310" s="9" t="s">
        <v>2916</v>
      </c>
      <c r="B310" s="9">
        <v>1880</v>
      </c>
      <c r="C310" s="9" t="s">
        <v>2557</v>
      </c>
      <c r="D310" s="9">
        <v>1865</v>
      </c>
      <c r="E310" s="9">
        <v>2026</v>
      </c>
      <c r="F310" s="9" t="s">
        <v>1445</v>
      </c>
      <c r="G310" s="9">
        <v>62052000</v>
      </c>
      <c r="H310" s="9">
        <v>2016</v>
      </c>
      <c r="I310" s="9">
        <v>1</v>
      </c>
      <c r="J310" s="9" t="s">
        <v>2558</v>
      </c>
      <c r="L310" s="10">
        <v>10752.5</v>
      </c>
      <c r="M310" s="10">
        <v>10752.5</v>
      </c>
      <c r="N310" s="9">
        <v>5000</v>
      </c>
      <c r="O310" s="9">
        <v>0</v>
      </c>
      <c r="R310" s="10">
        <v>10752.5</v>
      </c>
      <c r="U310" s="9">
        <v>8</v>
      </c>
      <c r="W310" s="9">
        <v>260326210686920</v>
      </c>
      <c r="X310" s="9" t="s">
        <v>2559</v>
      </c>
      <c r="Y310" s="9" t="s">
        <v>2560</v>
      </c>
      <c r="Z310" s="9" t="s">
        <v>2918</v>
      </c>
      <c r="AA310" s="9" t="s">
        <v>2919</v>
      </c>
      <c r="AF310" s="9">
        <v>10</v>
      </c>
      <c r="AG310" s="9" t="s">
        <v>2563</v>
      </c>
      <c r="AH310" s="9">
        <v>782</v>
      </c>
      <c r="AP310" s="11">
        <v>46280</v>
      </c>
      <c r="AQ310" s="9" t="s">
        <v>2564</v>
      </c>
      <c r="AR310" s="9">
        <v>9</v>
      </c>
      <c r="AU310" s="9" t="s">
        <v>2566</v>
      </c>
      <c r="AZ310" s="9">
        <v>101</v>
      </c>
      <c r="BA310" s="9">
        <v>967717</v>
      </c>
      <c r="BB310" s="11">
        <v>46283</v>
      </c>
      <c r="BC310" s="9">
        <v>1680</v>
      </c>
    </row>
    <row r="311" spans="1:55" ht="45" x14ac:dyDescent="0.25">
      <c r="A311" s="9" t="s">
        <v>2916</v>
      </c>
      <c r="B311" s="9">
        <v>1880</v>
      </c>
      <c r="C311" s="9" t="s">
        <v>2557</v>
      </c>
      <c r="D311" s="9">
        <v>1509</v>
      </c>
      <c r="E311" s="9">
        <v>2026</v>
      </c>
      <c r="F311" s="9" t="s">
        <v>2963</v>
      </c>
      <c r="G311" s="9">
        <v>62052000</v>
      </c>
      <c r="H311" s="9">
        <v>2016</v>
      </c>
      <c r="I311" s="9">
        <v>86</v>
      </c>
      <c r="J311" s="9" t="s">
        <v>2574</v>
      </c>
      <c r="L311" s="10">
        <v>149282.03</v>
      </c>
      <c r="M311" s="10">
        <v>149282.03</v>
      </c>
      <c r="N311" s="9">
        <v>0</v>
      </c>
      <c r="O311" s="9">
        <v>0</v>
      </c>
      <c r="P311" s="9">
        <v>0</v>
      </c>
      <c r="R311" s="10">
        <v>149282.03</v>
      </c>
      <c r="S311" s="11">
        <v>46281</v>
      </c>
      <c r="T311" s="10">
        <v>142619.89000000001</v>
      </c>
      <c r="U311" s="9">
        <v>1</v>
      </c>
      <c r="V311" s="11">
        <v>46248</v>
      </c>
      <c r="W311" s="9">
        <v>260326210686920</v>
      </c>
      <c r="X311" s="9" t="s">
        <v>2559</v>
      </c>
      <c r="Y311" s="9" t="s">
        <v>2560</v>
      </c>
      <c r="Z311" s="9" t="s">
        <v>2922</v>
      </c>
      <c r="AA311" s="12" t="s">
        <v>2938</v>
      </c>
      <c r="AB311" s="9" t="s">
        <v>2570</v>
      </c>
      <c r="AC311" s="11">
        <v>46263</v>
      </c>
      <c r="AD311" s="9">
        <v>1880</v>
      </c>
      <c r="AE311" s="9" t="s">
        <v>2570</v>
      </c>
      <c r="AF311" s="9">
        <v>10</v>
      </c>
      <c r="AG311" s="9" t="s">
        <v>2563</v>
      </c>
      <c r="AH311" s="9">
        <v>33549</v>
      </c>
      <c r="AJ311" s="9" t="s">
        <v>2964</v>
      </c>
      <c r="AK311" s="11">
        <v>46274</v>
      </c>
      <c r="AL311" s="9">
        <v>2609134</v>
      </c>
      <c r="AM311" s="11">
        <v>46245</v>
      </c>
      <c r="AO311" s="9" t="s">
        <v>2577</v>
      </c>
      <c r="AP311" s="11">
        <v>46245</v>
      </c>
      <c r="AQ311" s="9" t="s">
        <v>2564</v>
      </c>
      <c r="AR311" s="9">
        <v>4</v>
      </c>
      <c r="AT311" s="9">
        <v>6</v>
      </c>
      <c r="AU311" s="9" t="s">
        <v>2566</v>
      </c>
      <c r="AW311" s="9" t="s">
        <v>2965</v>
      </c>
      <c r="AY311" s="11">
        <v>46248</v>
      </c>
      <c r="AZ311" s="9">
        <v>306</v>
      </c>
      <c r="BA311" s="9">
        <v>295921</v>
      </c>
      <c r="BB311" s="11">
        <v>46245</v>
      </c>
      <c r="BC311" s="9">
        <v>1680</v>
      </c>
    </row>
    <row r="312" spans="1:55" x14ac:dyDescent="0.25">
      <c r="A312" s="9" t="s">
        <v>2916</v>
      </c>
      <c r="B312" s="9">
        <v>1880</v>
      </c>
      <c r="C312" s="9" t="s">
        <v>2557</v>
      </c>
      <c r="D312" s="9">
        <v>1561</v>
      </c>
      <c r="E312" s="9">
        <v>2026</v>
      </c>
      <c r="F312" s="9" t="s">
        <v>2966</v>
      </c>
      <c r="G312" s="9">
        <v>62044200</v>
      </c>
      <c r="H312" s="9">
        <v>2016</v>
      </c>
      <c r="I312" s="9">
        <v>1</v>
      </c>
      <c r="J312" s="9" t="s">
        <v>2558</v>
      </c>
      <c r="L312" s="10">
        <v>4092</v>
      </c>
      <c r="M312" s="10">
        <v>4092</v>
      </c>
      <c r="N312" s="9">
        <v>1811.62</v>
      </c>
      <c r="O312" s="9">
        <v>0</v>
      </c>
      <c r="P312" s="9">
        <v>0</v>
      </c>
      <c r="R312" s="10">
        <v>4092</v>
      </c>
      <c r="U312" s="9">
        <v>8</v>
      </c>
      <c r="V312" s="11">
        <v>46254</v>
      </c>
      <c r="W312" s="9">
        <v>260326210686920</v>
      </c>
      <c r="X312" s="9" t="s">
        <v>2559</v>
      </c>
      <c r="Y312" s="9" t="s">
        <v>2560</v>
      </c>
      <c r="Z312" s="9" t="s">
        <v>2918</v>
      </c>
      <c r="AA312" s="9" t="s">
        <v>2919</v>
      </c>
      <c r="AB312" s="9" t="s">
        <v>2570</v>
      </c>
      <c r="AC312" s="11">
        <v>46261</v>
      </c>
      <c r="AD312" s="9">
        <v>1880</v>
      </c>
      <c r="AF312" s="9">
        <v>10</v>
      </c>
      <c r="AG312" s="9" t="s">
        <v>2563</v>
      </c>
      <c r="AH312" s="9">
        <v>1056</v>
      </c>
      <c r="AL312" s="9">
        <v>2609152</v>
      </c>
      <c r="AM312" s="11">
        <v>46246</v>
      </c>
      <c r="AO312" s="9" t="s">
        <v>2577</v>
      </c>
      <c r="AP312" s="11">
        <v>46250</v>
      </c>
      <c r="AQ312" s="9" t="s">
        <v>2564</v>
      </c>
      <c r="AR312" s="9">
        <v>9</v>
      </c>
      <c r="AS312" s="9" t="s">
        <v>2967</v>
      </c>
      <c r="AT312" s="9">
        <v>7</v>
      </c>
      <c r="AU312" s="9" t="s">
        <v>2566</v>
      </c>
      <c r="AW312" s="9" t="s">
        <v>2968</v>
      </c>
      <c r="AY312" s="11">
        <v>46254</v>
      </c>
      <c r="AZ312" s="9">
        <v>101</v>
      </c>
      <c r="BA312" s="9">
        <v>847581</v>
      </c>
      <c r="BB312" s="11">
        <v>46253</v>
      </c>
      <c r="BC312" s="9">
        <v>1680</v>
      </c>
    </row>
    <row r="313" spans="1:55" x14ac:dyDescent="0.25">
      <c r="A313" s="9" t="s">
        <v>2916</v>
      </c>
      <c r="B313" s="9">
        <v>1880</v>
      </c>
      <c r="C313" s="9" t="s">
        <v>2557</v>
      </c>
      <c r="D313" s="9">
        <v>1729</v>
      </c>
      <c r="E313" s="9">
        <v>2026</v>
      </c>
      <c r="F313" s="9" t="s">
        <v>203</v>
      </c>
      <c r="G313" s="9">
        <v>62063000</v>
      </c>
      <c r="H313" s="9">
        <v>2016</v>
      </c>
      <c r="I313" s="9">
        <v>1</v>
      </c>
      <c r="J313" s="9" t="s">
        <v>2558</v>
      </c>
      <c r="K313" s="9">
        <v>0</v>
      </c>
      <c r="L313" s="10">
        <v>4637.43</v>
      </c>
      <c r="M313" s="10">
        <v>4637.43</v>
      </c>
      <c r="N313" s="9">
        <v>0</v>
      </c>
      <c r="O313" s="9">
        <v>0</v>
      </c>
      <c r="P313" s="9">
        <v>0</v>
      </c>
      <c r="R313" s="10">
        <v>4637.43</v>
      </c>
      <c r="U313" s="9">
        <v>1</v>
      </c>
      <c r="V313" s="11">
        <v>46271</v>
      </c>
      <c r="W313" s="9">
        <v>260326210686920</v>
      </c>
      <c r="X313" s="9" t="s">
        <v>2559</v>
      </c>
      <c r="Y313" s="9" t="s">
        <v>2560</v>
      </c>
      <c r="Z313" s="9" t="s">
        <v>2918</v>
      </c>
      <c r="AA313" s="9" t="s">
        <v>2919</v>
      </c>
      <c r="AB313" s="9" t="s">
        <v>2570</v>
      </c>
      <c r="AC313" s="11">
        <v>46295</v>
      </c>
      <c r="AD313" s="9">
        <v>1880</v>
      </c>
      <c r="AF313" s="9">
        <v>10</v>
      </c>
      <c r="AG313" s="9" t="s">
        <v>2563</v>
      </c>
      <c r="AH313" s="9">
        <v>866</v>
      </c>
      <c r="AL313" s="9">
        <v>2610001</v>
      </c>
      <c r="AM313" s="11">
        <v>46266</v>
      </c>
      <c r="AO313" s="9" t="s">
        <v>2571</v>
      </c>
      <c r="AP313" s="11">
        <v>46266</v>
      </c>
      <c r="AQ313" s="9" t="s">
        <v>2564</v>
      </c>
      <c r="AR313" s="9">
        <v>4</v>
      </c>
      <c r="AS313" s="9" t="s">
        <v>2957</v>
      </c>
      <c r="AT313" s="9">
        <v>1</v>
      </c>
      <c r="AU313" s="9" t="s">
        <v>2566</v>
      </c>
      <c r="AV313" s="9" t="s">
        <v>183</v>
      </c>
      <c r="AW313" s="9" t="s">
        <v>2969</v>
      </c>
      <c r="AX313" s="9">
        <v>2610001</v>
      </c>
      <c r="AY313" s="11">
        <v>46271</v>
      </c>
      <c r="AZ313" s="9">
        <v>306</v>
      </c>
      <c r="BA313" s="9">
        <v>393294</v>
      </c>
      <c r="BB313" s="11">
        <v>46266</v>
      </c>
      <c r="BC313" s="9">
        <v>1680</v>
      </c>
    </row>
    <row r="314" spans="1:55" x14ac:dyDescent="0.25">
      <c r="A314" s="9" t="s">
        <v>2916</v>
      </c>
      <c r="B314" s="9">
        <v>1880</v>
      </c>
      <c r="C314" s="9" t="s">
        <v>2557</v>
      </c>
      <c r="D314" s="9">
        <v>1730</v>
      </c>
      <c r="E314" s="9">
        <v>2026</v>
      </c>
      <c r="F314" s="9" t="s">
        <v>207</v>
      </c>
      <c r="G314" s="9">
        <v>62063000</v>
      </c>
      <c r="H314" s="9">
        <v>2016</v>
      </c>
      <c r="I314" s="9">
        <v>1</v>
      </c>
      <c r="J314" s="9" t="s">
        <v>2558</v>
      </c>
      <c r="K314" s="9">
        <v>0</v>
      </c>
      <c r="L314" s="10">
        <v>2409.75</v>
      </c>
      <c r="M314" s="10">
        <v>2409.75</v>
      </c>
      <c r="N314" s="9">
        <v>0</v>
      </c>
      <c r="O314" s="9">
        <v>0</v>
      </c>
      <c r="P314" s="9">
        <v>0</v>
      </c>
      <c r="R314" s="10">
        <v>2409.75</v>
      </c>
      <c r="U314" s="9">
        <v>1</v>
      </c>
      <c r="V314" s="11">
        <v>46271</v>
      </c>
      <c r="W314" s="9">
        <v>260326210686920</v>
      </c>
      <c r="X314" s="9" t="s">
        <v>2559</v>
      </c>
      <c r="Y314" s="9" t="s">
        <v>2560</v>
      </c>
      <c r="Z314" s="9" t="s">
        <v>2918</v>
      </c>
      <c r="AA314" s="9" t="s">
        <v>2919</v>
      </c>
      <c r="AB314" s="9" t="s">
        <v>2570</v>
      </c>
      <c r="AC314" s="11">
        <v>46294</v>
      </c>
      <c r="AD314" s="9">
        <v>1880</v>
      </c>
      <c r="AF314" s="9">
        <v>10</v>
      </c>
      <c r="AG314" s="9" t="s">
        <v>2563</v>
      </c>
      <c r="AH314" s="9">
        <v>450</v>
      </c>
      <c r="AL314" s="9">
        <v>2610002</v>
      </c>
      <c r="AM314" s="11">
        <v>46266</v>
      </c>
      <c r="AO314" s="9" t="s">
        <v>2571</v>
      </c>
      <c r="AP314" s="11">
        <v>46266</v>
      </c>
      <c r="AQ314" s="9" t="s">
        <v>2564</v>
      </c>
      <c r="AR314" s="9">
        <v>4</v>
      </c>
      <c r="AS314" s="9" t="s">
        <v>2970</v>
      </c>
      <c r="AT314" s="9">
        <v>1</v>
      </c>
      <c r="AU314" s="9" t="s">
        <v>2566</v>
      </c>
      <c r="AV314" s="9" t="s">
        <v>206</v>
      </c>
      <c r="AW314" s="9" t="s">
        <v>2971</v>
      </c>
      <c r="AX314" s="9">
        <v>2610002</v>
      </c>
      <c r="AY314" s="11">
        <v>46271</v>
      </c>
      <c r="AZ314" s="9">
        <v>306</v>
      </c>
      <c r="BA314" s="9">
        <v>393301</v>
      </c>
      <c r="BB314" s="11">
        <v>46266</v>
      </c>
      <c r="BC314" s="9">
        <v>1680</v>
      </c>
    </row>
    <row r="315" spans="1:55" ht="75" x14ac:dyDescent="0.25">
      <c r="A315" s="9" t="s">
        <v>2916</v>
      </c>
      <c r="B315" s="9">
        <v>1880</v>
      </c>
      <c r="C315" s="9" t="s">
        <v>2557</v>
      </c>
      <c r="D315" s="9">
        <v>1785</v>
      </c>
      <c r="E315" s="9">
        <v>2026</v>
      </c>
      <c r="F315" s="9" t="s">
        <v>804</v>
      </c>
      <c r="G315" s="9">
        <v>62052000</v>
      </c>
      <c r="H315" s="9">
        <v>2016</v>
      </c>
      <c r="I315" s="9">
        <v>86</v>
      </c>
      <c r="J315" s="9" t="s">
        <v>2574</v>
      </c>
      <c r="L315" s="10">
        <v>34780.199999999997</v>
      </c>
      <c r="M315" s="10">
        <v>34780.199999999997</v>
      </c>
      <c r="N315" s="9">
        <v>0</v>
      </c>
      <c r="O315" s="9">
        <v>0</v>
      </c>
      <c r="P315" s="9">
        <v>0</v>
      </c>
      <c r="R315" s="10">
        <v>34780.199999999997</v>
      </c>
      <c r="U315" s="9">
        <v>1</v>
      </c>
      <c r="W315" s="9">
        <v>260326210686920</v>
      </c>
      <c r="X315" s="9" t="s">
        <v>2559</v>
      </c>
      <c r="Y315" s="9" t="s">
        <v>2560</v>
      </c>
      <c r="Z315" s="9" t="s">
        <v>2922</v>
      </c>
      <c r="AA315" s="12" t="s">
        <v>2972</v>
      </c>
      <c r="AF315" s="9">
        <v>10</v>
      </c>
      <c r="AG315" s="9" t="s">
        <v>2563</v>
      </c>
      <c r="AH315" s="9">
        <v>5915</v>
      </c>
      <c r="AO315" s="9" t="s">
        <v>2577</v>
      </c>
      <c r="AP315" s="11">
        <v>46273</v>
      </c>
      <c r="AQ315" s="9" t="s">
        <v>2564</v>
      </c>
      <c r="AR315" s="9">
        <v>4</v>
      </c>
      <c r="AU315" s="9" t="s">
        <v>2566</v>
      </c>
      <c r="AZ315" s="9">
        <v>306</v>
      </c>
      <c r="BA315" s="9">
        <v>425753</v>
      </c>
      <c r="BB315" s="11">
        <v>46273</v>
      </c>
      <c r="BC315" s="9">
        <v>1680</v>
      </c>
    </row>
    <row r="316" spans="1:55" x14ac:dyDescent="0.25">
      <c r="A316" s="9" t="s">
        <v>2916</v>
      </c>
      <c r="B316" s="9">
        <v>1880</v>
      </c>
      <c r="C316" s="9" t="s">
        <v>2557</v>
      </c>
      <c r="D316" s="9">
        <v>1653</v>
      </c>
      <c r="E316" s="9">
        <v>2026</v>
      </c>
      <c r="F316" s="9" t="s">
        <v>2973</v>
      </c>
      <c r="G316" s="9">
        <v>62063000</v>
      </c>
      <c r="H316" s="9">
        <v>2016</v>
      </c>
      <c r="I316" s="9">
        <v>1</v>
      </c>
      <c r="J316" s="9" t="s">
        <v>2558</v>
      </c>
      <c r="K316" s="9">
        <v>0</v>
      </c>
      <c r="L316" s="10">
        <v>7055.19</v>
      </c>
      <c r="M316" s="10">
        <v>7055.19</v>
      </c>
      <c r="N316" s="9">
        <v>0</v>
      </c>
      <c r="O316" s="9">
        <v>0</v>
      </c>
      <c r="P316" s="9">
        <v>0</v>
      </c>
      <c r="R316" s="10">
        <v>7055.19</v>
      </c>
      <c r="S316" s="11">
        <v>46287</v>
      </c>
      <c r="T316" s="10">
        <v>6881.17</v>
      </c>
      <c r="U316" s="9">
        <v>1</v>
      </c>
      <c r="V316" s="11">
        <v>46268</v>
      </c>
      <c r="W316" s="9">
        <v>260326210686920</v>
      </c>
      <c r="X316" s="9" t="s">
        <v>2559</v>
      </c>
      <c r="Y316" s="9" t="s">
        <v>2560</v>
      </c>
      <c r="Z316" s="9" t="s">
        <v>2918</v>
      </c>
      <c r="AA316" s="9" t="s">
        <v>2919</v>
      </c>
      <c r="AB316" s="9" t="s">
        <v>2570</v>
      </c>
      <c r="AC316" s="11">
        <v>46286</v>
      </c>
      <c r="AD316" s="9">
        <v>1880</v>
      </c>
      <c r="AE316" s="9" t="s">
        <v>2570</v>
      </c>
      <c r="AF316" s="9">
        <v>10</v>
      </c>
      <c r="AG316" s="9" t="s">
        <v>2563</v>
      </c>
      <c r="AH316" s="9">
        <v>1698</v>
      </c>
      <c r="AJ316" s="9" t="s">
        <v>2928</v>
      </c>
      <c r="AK316" s="11">
        <v>46286</v>
      </c>
      <c r="AL316" s="9">
        <v>2609776</v>
      </c>
      <c r="AM316" s="11">
        <v>46261</v>
      </c>
      <c r="AO316" s="9" t="s">
        <v>2571</v>
      </c>
      <c r="AP316" s="11">
        <v>46261</v>
      </c>
      <c r="AQ316" s="9" t="s">
        <v>2564</v>
      </c>
      <c r="AR316" s="9">
        <v>4</v>
      </c>
      <c r="AS316" s="9" t="s">
        <v>2947</v>
      </c>
      <c r="AT316" s="9">
        <v>1</v>
      </c>
      <c r="AU316" s="9" t="s">
        <v>2566</v>
      </c>
      <c r="AV316" s="9" t="s">
        <v>206</v>
      </c>
      <c r="AW316" s="9" t="s">
        <v>2974</v>
      </c>
      <c r="AX316" s="9">
        <v>2609776</v>
      </c>
      <c r="AY316" s="11">
        <v>46268</v>
      </c>
      <c r="AZ316" s="9">
        <v>306</v>
      </c>
      <c r="BA316" s="9">
        <v>370201</v>
      </c>
      <c r="BB316" s="11">
        <v>46261</v>
      </c>
      <c r="BC316" s="9">
        <v>1680</v>
      </c>
    </row>
    <row r="317" spans="1:55" x14ac:dyDescent="0.25">
      <c r="A317" s="9" t="s">
        <v>2916</v>
      </c>
      <c r="B317" s="9">
        <v>1880</v>
      </c>
      <c r="C317" s="9" t="s">
        <v>2557</v>
      </c>
      <c r="D317" s="9">
        <v>1650</v>
      </c>
      <c r="E317" s="9">
        <v>2026</v>
      </c>
      <c r="F317" s="9" t="s">
        <v>2975</v>
      </c>
      <c r="G317" s="9">
        <v>62063000</v>
      </c>
      <c r="H317" s="9">
        <v>2016</v>
      </c>
      <c r="I317" s="9">
        <v>1</v>
      </c>
      <c r="J317" s="9" t="s">
        <v>2558</v>
      </c>
      <c r="K317" s="9">
        <v>0</v>
      </c>
      <c r="L317" s="10">
        <v>13670.4</v>
      </c>
      <c r="M317" s="10">
        <v>13670.4</v>
      </c>
      <c r="N317" s="9">
        <v>0</v>
      </c>
      <c r="O317" s="9">
        <v>0</v>
      </c>
      <c r="P317" s="9">
        <v>0</v>
      </c>
      <c r="R317" s="10">
        <v>13670.4</v>
      </c>
      <c r="S317" s="11">
        <v>46287</v>
      </c>
      <c r="T317" s="10">
        <v>13333.2</v>
      </c>
      <c r="U317" s="9">
        <v>1</v>
      </c>
      <c r="V317" s="11">
        <v>46268</v>
      </c>
      <c r="W317" s="9">
        <v>260326210686920</v>
      </c>
      <c r="X317" s="9" t="s">
        <v>2559</v>
      </c>
      <c r="Y317" s="9" t="s">
        <v>2560</v>
      </c>
      <c r="Z317" s="9" t="s">
        <v>2918</v>
      </c>
      <c r="AA317" s="9" t="s">
        <v>2919</v>
      </c>
      <c r="AB317" s="9" t="s">
        <v>2570</v>
      </c>
      <c r="AC317" s="11">
        <v>46273</v>
      </c>
      <c r="AD317" s="9">
        <v>1880</v>
      </c>
      <c r="AE317" s="9" t="s">
        <v>2570</v>
      </c>
      <c r="AF317" s="9">
        <v>10</v>
      </c>
      <c r="AG317" s="9" t="s">
        <v>2563</v>
      </c>
      <c r="AH317" s="9">
        <v>3840</v>
      </c>
      <c r="AJ317" s="9" t="s">
        <v>2928</v>
      </c>
      <c r="AK317" s="11">
        <v>46286</v>
      </c>
      <c r="AL317" s="9">
        <v>2609773</v>
      </c>
      <c r="AM317" s="11">
        <v>46261</v>
      </c>
      <c r="AO317" s="9" t="s">
        <v>2571</v>
      </c>
      <c r="AP317" s="11">
        <v>46261</v>
      </c>
      <c r="AQ317" s="9" t="s">
        <v>2564</v>
      </c>
      <c r="AR317" s="9">
        <v>4</v>
      </c>
      <c r="AS317" s="9" t="s">
        <v>2642</v>
      </c>
      <c r="AT317" s="9">
        <v>1</v>
      </c>
      <c r="AU317" s="9" t="s">
        <v>2566</v>
      </c>
      <c r="AV317" s="9" t="s">
        <v>183</v>
      </c>
      <c r="AW317" s="9" t="s">
        <v>2976</v>
      </c>
      <c r="AX317" s="9">
        <v>2609773</v>
      </c>
      <c r="AY317" s="11">
        <v>46268</v>
      </c>
      <c r="AZ317" s="9">
        <v>306</v>
      </c>
      <c r="BA317" s="9">
        <v>370209</v>
      </c>
      <c r="BB317" s="11">
        <v>46261</v>
      </c>
      <c r="BC317" s="9">
        <v>1680</v>
      </c>
    </row>
    <row r="318" spans="1:55" x14ac:dyDescent="0.25">
      <c r="A318" s="9" t="s">
        <v>2916</v>
      </c>
      <c r="B318" s="9">
        <v>1880</v>
      </c>
      <c r="C318" s="9" t="s">
        <v>2557</v>
      </c>
      <c r="D318" s="9">
        <v>1651</v>
      </c>
      <c r="E318" s="9">
        <v>2026</v>
      </c>
      <c r="F318" s="9" t="s">
        <v>2977</v>
      </c>
      <c r="G318" s="9">
        <v>62063000</v>
      </c>
      <c r="H318" s="9">
        <v>2016</v>
      </c>
      <c r="I318" s="9">
        <v>1</v>
      </c>
      <c r="J318" s="9" t="s">
        <v>2558</v>
      </c>
      <c r="K318" s="9">
        <v>0</v>
      </c>
      <c r="L318" s="10">
        <v>4628</v>
      </c>
      <c r="M318" s="10">
        <v>4628</v>
      </c>
      <c r="N318" s="9">
        <v>0</v>
      </c>
      <c r="O318" s="9">
        <v>0</v>
      </c>
      <c r="P318" s="9">
        <v>0</v>
      </c>
      <c r="R318" s="10">
        <v>4628</v>
      </c>
      <c r="U318" s="9">
        <v>1</v>
      </c>
      <c r="V318" s="11">
        <v>46271</v>
      </c>
      <c r="W318" s="9">
        <v>260326210686920</v>
      </c>
      <c r="X318" s="9" t="s">
        <v>2559</v>
      </c>
      <c r="Y318" s="9" t="s">
        <v>2560</v>
      </c>
      <c r="Z318" s="9" t="s">
        <v>2918</v>
      </c>
      <c r="AA318" s="9" t="s">
        <v>2919</v>
      </c>
      <c r="AB318" s="9" t="s">
        <v>2570</v>
      </c>
      <c r="AC318" s="11">
        <v>46295</v>
      </c>
      <c r="AD318" s="9">
        <v>1880</v>
      </c>
      <c r="AF318" s="9">
        <v>10</v>
      </c>
      <c r="AG318" s="9" t="s">
        <v>2563</v>
      </c>
      <c r="AH318" s="9">
        <v>1300</v>
      </c>
      <c r="AL318" s="9">
        <v>2609774</v>
      </c>
      <c r="AM318" s="11">
        <v>46261</v>
      </c>
      <c r="AO318" s="9" t="s">
        <v>2571</v>
      </c>
      <c r="AP318" s="11">
        <v>46261</v>
      </c>
      <c r="AQ318" s="9" t="s">
        <v>2564</v>
      </c>
      <c r="AR318" s="9">
        <v>4</v>
      </c>
      <c r="AS318" s="9" t="s">
        <v>2957</v>
      </c>
      <c r="AT318" s="9">
        <v>1</v>
      </c>
      <c r="AU318" s="9" t="s">
        <v>2566</v>
      </c>
      <c r="AV318" s="9" t="s">
        <v>206</v>
      </c>
      <c r="AW318" s="9" t="s">
        <v>2978</v>
      </c>
      <c r="AX318" s="9">
        <v>2609774</v>
      </c>
      <c r="AY318" s="11">
        <v>46271</v>
      </c>
      <c r="AZ318" s="9">
        <v>306</v>
      </c>
      <c r="BA318" s="9">
        <v>370193</v>
      </c>
      <c r="BB318" s="11">
        <v>46261</v>
      </c>
      <c r="BC318" s="9">
        <v>1680</v>
      </c>
    </row>
    <row r="319" spans="1:55" x14ac:dyDescent="0.25">
      <c r="A319" s="9" t="s">
        <v>2916</v>
      </c>
      <c r="B319" s="9">
        <v>1880</v>
      </c>
      <c r="C319" s="9" t="s">
        <v>2557</v>
      </c>
      <c r="D319" s="9">
        <v>1652</v>
      </c>
      <c r="E319" s="9">
        <v>2026</v>
      </c>
      <c r="F319" s="9" t="s">
        <v>2979</v>
      </c>
      <c r="G319" s="9">
        <v>62063000</v>
      </c>
      <c r="H319" s="9">
        <v>2016</v>
      </c>
      <c r="I319" s="9">
        <v>1</v>
      </c>
      <c r="J319" s="9" t="s">
        <v>2558</v>
      </c>
      <c r="K319" s="9">
        <v>0</v>
      </c>
      <c r="L319" s="10">
        <v>21240.36</v>
      </c>
      <c r="M319" s="10">
        <v>21240.36</v>
      </c>
      <c r="N319" s="9">
        <v>0</v>
      </c>
      <c r="O319" s="9">
        <v>0</v>
      </c>
      <c r="P319" s="9">
        <v>0</v>
      </c>
      <c r="R319" s="10">
        <v>21240.36</v>
      </c>
      <c r="S319" s="11">
        <v>46287</v>
      </c>
      <c r="T319" s="10">
        <v>20716.45</v>
      </c>
      <c r="U319" s="9">
        <v>1</v>
      </c>
      <c r="V319" s="11">
        <v>46263</v>
      </c>
      <c r="W319" s="9">
        <v>260326210686920</v>
      </c>
      <c r="X319" s="9" t="s">
        <v>2559</v>
      </c>
      <c r="Y319" s="9" t="s">
        <v>2560</v>
      </c>
      <c r="Z319" s="9" t="s">
        <v>2918</v>
      </c>
      <c r="AA319" s="9" t="s">
        <v>2919</v>
      </c>
      <c r="AB319" s="9" t="s">
        <v>2570</v>
      </c>
      <c r="AC319" s="11">
        <v>46272</v>
      </c>
      <c r="AD319" s="9">
        <v>1880</v>
      </c>
      <c r="AE319" s="9" t="s">
        <v>2570</v>
      </c>
      <c r="AF319" s="9">
        <v>10</v>
      </c>
      <c r="AG319" s="9" t="s">
        <v>2563</v>
      </c>
      <c r="AH319" s="9">
        <v>5112</v>
      </c>
      <c r="AJ319" s="9" t="s">
        <v>2928</v>
      </c>
      <c r="AK319" s="11">
        <v>46286</v>
      </c>
      <c r="AL319" s="9">
        <v>2609775</v>
      </c>
      <c r="AM319" s="11">
        <v>46261</v>
      </c>
      <c r="AO319" s="9" t="s">
        <v>2571</v>
      </c>
      <c r="AP319" s="11">
        <v>46261</v>
      </c>
      <c r="AQ319" s="9" t="s">
        <v>2564</v>
      </c>
      <c r="AR319" s="9">
        <v>4</v>
      </c>
      <c r="AS319" s="9" t="s">
        <v>2565</v>
      </c>
      <c r="AT319" s="9">
        <v>1</v>
      </c>
      <c r="AU319" s="9" t="s">
        <v>2566</v>
      </c>
      <c r="AV319" s="9" t="s">
        <v>183</v>
      </c>
      <c r="AW319" s="9" t="s">
        <v>2980</v>
      </c>
      <c r="AX319" s="9">
        <v>2609775</v>
      </c>
      <c r="AY319" s="11">
        <v>46294</v>
      </c>
      <c r="AZ319" s="9">
        <v>306</v>
      </c>
      <c r="BA319" s="9">
        <v>370204</v>
      </c>
      <c r="BB319" s="11">
        <v>46261</v>
      </c>
      <c r="BC319" s="9">
        <v>1680</v>
      </c>
    </row>
    <row r="320" spans="1:55" x14ac:dyDescent="0.25">
      <c r="A320" s="9" t="s">
        <v>2916</v>
      </c>
      <c r="B320" s="9">
        <v>1880</v>
      </c>
      <c r="C320" s="9" t="s">
        <v>2557</v>
      </c>
      <c r="D320" s="9">
        <v>1494</v>
      </c>
      <c r="E320" s="9">
        <v>2026</v>
      </c>
      <c r="F320" s="9" t="s">
        <v>2981</v>
      </c>
      <c r="G320" s="9">
        <v>62052000</v>
      </c>
      <c r="H320" s="9">
        <v>2016</v>
      </c>
      <c r="I320" s="9">
        <v>1</v>
      </c>
      <c r="J320" s="9" t="s">
        <v>2558</v>
      </c>
      <c r="L320" s="10">
        <v>16012.5</v>
      </c>
      <c r="M320" s="10">
        <v>16012.5</v>
      </c>
      <c r="N320" s="9">
        <v>0</v>
      </c>
      <c r="O320" s="9">
        <v>0</v>
      </c>
      <c r="P320" s="9">
        <v>0</v>
      </c>
      <c r="R320" s="10">
        <v>16012.5</v>
      </c>
      <c r="S320" s="11">
        <v>46279</v>
      </c>
      <c r="T320" s="10">
        <v>15667.92</v>
      </c>
      <c r="U320" s="9">
        <v>1</v>
      </c>
      <c r="V320" s="11">
        <v>46245</v>
      </c>
      <c r="W320" s="9">
        <v>260326210686920</v>
      </c>
      <c r="X320" s="9" t="s">
        <v>2559</v>
      </c>
      <c r="Y320" s="9" t="s">
        <v>2560</v>
      </c>
      <c r="Z320" s="9" t="s">
        <v>2918</v>
      </c>
      <c r="AA320" s="9" t="s">
        <v>2919</v>
      </c>
      <c r="AB320" s="9" t="s">
        <v>2570</v>
      </c>
      <c r="AC320" s="11">
        <v>46273</v>
      </c>
      <c r="AD320" s="9">
        <v>1880</v>
      </c>
      <c r="AE320" s="9" t="s">
        <v>2570</v>
      </c>
      <c r="AF320" s="9">
        <v>10</v>
      </c>
      <c r="AG320" s="9" t="s">
        <v>2563</v>
      </c>
      <c r="AH320" s="9">
        <v>2625</v>
      </c>
      <c r="AJ320" s="9" t="s">
        <v>2982</v>
      </c>
      <c r="AK320" s="11">
        <v>46278</v>
      </c>
      <c r="AL320" s="9">
        <v>2609041</v>
      </c>
      <c r="AM320" s="11">
        <v>46242</v>
      </c>
      <c r="AP320" s="11">
        <v>46243</v>
      </c>
      <c r="AQ320" s="9" t="s">
        <v>2564</v>
      </c>
      <c r="AR320" s="9">
        <v>4</v>
      </c>
      <c r="AT320" s="9">
        <v>1</v>
      </c>
      <c r="AU320" s="9" t="s">
        <v>2566</v>
      </c>
      <c r="AW320" s="9" t="s">
        <v>2983</v>
      </c>
      <c r="AY320" s="11">
        <v>46245</v>
      </c>
      <c r="AZ320" s="9">
        <v>306</v>
      </c>
      <c r="BA320" s="9">
        <v>282228</v>
      </c>
      <c r="BB320" s="11">
        <v>46243</v>
      </c>
      <c r="BC320" s="9">
        <v>1680</v>
      </c>
    </row>
    <row r="321" spans="1:55" x14ac:dyDescent="0.25">
      <c r="A321" s="9" t="s">
        <v>2916</v>
      </c>
      <c r="B321" s="9">
        <v>1880</v>
      </c>
      <c r="C321" s="9" t="s">
        <v>2557</v>
      </c>
      <c r="D321" s="9">
        <v>1498</v>
      </c>
      <c r="E321" s="9">
        <v>2026</v>
      </c>
      <c r="F321" s="9" t="s">
        <v>2984</v>
      </c>
      <c r="G321" s="9">
        <v>62063000</v>
      </c>
      <c r="H321" s="9">
        <v>2016</v>
      </c>
      <c r="I321" s="9">
        <v>1</v>
      </c>
      <c r="J321" s="9" t="s">
        <v>2558</v>
      </c>
      <c r="L321" s="10">
        <v>2306.25</v>
      </c>
      <c r="M321" s="10">
        <v>2306.25</v>
      </c>
      <c r="N321" s="9">
        <v>0</v>
      </c>
      <c r="O321" s="9">
        <v>0</v>
      </c>
      <c r="P321" s="9">
        <v>0</v>
      </c>
      <c r="R321" s="10">
        <v>2306.25</v>
      </c>
      <c r="S321" s="11">
        <v>46286</v>
      </c>
      <c r="T321" s="10">
        <v>2262.81</v>
      </c>
      <c r="U321" s="9">
        <v>1</v>
      </c>
      <c r="V321" s="11">
        <v>46255</v>
      </c>
      <c r="W321" s="9">
        <v>260326210686920</v>
      </c>
      <c r="X321" s="9" t="s">
        <v>2559</v>
      </c>
      <c r="Y321" s="9" t="s">
        <v>2560</v>
      </c>
      <c r="Z321" s="9" t="s">
        <v>2918</v>
      </c>
      <c r="AA321" s="9" t="s">
        <v>2919</v>
      </c>
      <c r="AB321" s="9" t="s">
        <v>2570</v>
      </c>
      <c r="AC321" s="11">
        <v>46284</v>
      </c>
      <c r="AD321" s="9">
        <v>1880</v>
      </c>
      <c r="AE321" s="9" t="s">
        <v>2570</v>
      </c>
      <c r="AF321" s="9">
        <v>10</v>
      </c>
      <c r="AG321" s="9" t="s">
        <v>2563</v>
      </c>
      <c r="AH321" s="9">
        <v>450</v>
      </c>
      <c r="AJ321" s="9" t="s">
        <v>2985</v>
      </c>
      <c r="AK321" s="11">
        <v>46285</v>
      </c>
      <c r="AL321" s="9">
        <v>2609043</v>
      </c>
      <c r="AM321" s="11">
        <v>46242</v>
      </c>
      <c r="AP321" s="11">
        <v>46243</v>
      </c>
      <c r="AQ321" s="9" t="s">
        <v>2564</v>
      </c>
      <c r="AR321" s="9">
        <v>4</v>
      </c>
      <c r="AT321" s="9">
        <v>1</v>
      </c>
      <c r="AU321" s="9" t="s">
        <v>2566</v>
      </c>
      <c r="AW321" s="9" t="s">
        <v>2986</v>
      </c>
      <c r="AY321" s="11">
        <v>46255</v>
      </c>
      <c r="AZ321" s="9">
        <v>306</v>
      </c>
      <c r="BA321" s="9">
        <v>282883</v>
      </c>
      <c r="BB321" s="11">
        <v>46243</v>
      </c>
      <c r="BC321" s="9">
        <v>1680</v>
      </c>
    </row>
    <row r="322" spans="1:55" ht="60" x14ac:dyDescent="0.25">
      <c r="A322" s="9" t="s">
        <v>2916</v>
      </c>
      <c r="B322" s="9">
        <v>1880</v>
      </c>
      <c r="C322" s="9" t="s">
        <v>2557</v>
      </c>
      <c r="D322" s="9">
        <v>1510</v>
      </c>
      <c r="E322" s="9">
        <v>2026</v>
      </c>
      <c r="F322" s="9" t="s">
        <v>2987</v>
      </c>
      <c r="G322" s="9">
        <v>62052000</v>
      </c>
      <c r="H322" s="9">
        <v>2016</v>
      </c>
      <c r="I322" s="9">
        <v>86</v>
      </c>
      <c r="J322" s="9" t="s">
        <v>2574</v>
      </c>
      <c r="K322" s="9">
        <v>0</v>
      </c>
      <c r="L322" s="9">
        <v>802.62</v>
      </c>
      <c r="M322" s="9">
        <v>802.62</v>
      </c>
      <c r="N322" s="9">
        <v>0</v>
      </c>
      <c r="O322" s="9">
        <v>0</v>
      </c>
      <c r="P322" s="9">
        <v>0</v>
      </c>
      <c r="R322" s="9">
        <v>802.62</v>
      </c>
      <c r="U322" s="9">
        <v>1</v>
      </c>
      <c r="V322" s="11">
        <v>46248</v>
      </c>
      <c r="W322" s="9">
        <v>260326210686920</v>
      </c>
      <c r="X322" s="9" t="s">
        <v>2559</v>
      </c>
      <c r="Y322" s="9" t="s">
        <v>2560</v>
      </c>
      <c r="Z322" s="9" t="s">
        <v>2922</v>
      </c>
      <c r="AA322" s="12" t="s">
        <v>2578</v>
      </c>
      <c r="AB322" s="9" t="s">
        <v>2570</v>
      </c>
      <c r="AC322" s="11">
        <v>46263</v>
      </c>
      <c r="AD322" s="9">
        <v>1880</v>
      </c>
      <c r="AF322" s="9">
        <v>10</v>
      </c>
      <c r="AG322" s="9" t="s">
        <v>2563</v>
      </c>
      <c r="AH322" s="9">
        <v>195</v>
      </c>
      <c r="AL322" s="9">
        <v>2609135</v>
      </c>
      <c r="AM322" s="11">
        <v>46245</v>
      </c>
      <c r="AO322" s="9" t="s">
        <v>2577</v>
      </c>
      <c r="AP322" s="11">
        <v>46245</v>
      </c>
      <c r="AQ322" s="9" t="s">
        <v>2564</v>
      </c>
      <c r="AR322" s="9">
        <v>4</v>
      </c>
      <c r="AS322" s="9" t="s">
        <v>2565</v>
      </c>
      <c r="AT322" s="9">
        <v>6</v>
      </c>
      <c r="AU322" s="9" t="s">
        <v>2566</v>
      </c>
      <c r="AV322" s="9" t="s">
        <v>183</v>
      </c>
      <c r="AW322" s="9" t="s">
        <v>2988</v>
      </c>
      <c r="AX322" s="9">
        <v>2609135</v>
      </c>
      <c r="AY322" s="11">
        <v>46248</v>
      </c>
      <c r="AZ322" s="9">
        <v>306</v>
      </c>
      <c r="BA322" s="9">
        <v>295929</v>
      </c>
      <c r="BB322" s="11">
        <v>46245</v>
      </c>
      <c r="BC322" s="9">
        <v>1680</v>
      </c>
    </row>
    <row r="323" spans="1:55" ht="75" x14ac:dyDescent="0.25">
      <c r="A323" s="9" t="s">
        <v>2916</v>
      </c>
      <c r="B323" s="9">
        <v>1880</v>
      </c>
      <c r="C323" s="9" t="s">
        <v>2557</v>
      </c>
      <c r="D323" s="9">
        <v>1511</v>
      </c>
      <c r="E323" s="9">
        <v>2026</v>
      </c>
      <c r="F323" s="9" t="s">
        <v>2989</v>
      </c>
      <c r="G323" s="9">
        <v>62052000</v>
      </c>
      <c r="H323" s="9">
        <v>1204</v>
      </c>
      <c r="I323" s="9">
        <v>86</v>
      </c>
      <c r="J323" s="9" t="s">
        <v>2574</v>
      </c>
      <c r="K323" s="9">
        <v>0</v>
      </c>
      <c r="L323" s="9">
        <v>950.8</v>
      </c>
      <c r="M323" s="9">
        <v>950.8</v>
      </c>
      <c r="N323" s="9">
        <v>0</v>
      </c>
      <c r="O323" s="9">
        <v>0</v>
      </c>
      <c r="P323" s="9">
        <v>0</v>
      </c>
      <c r="R323" s="9">
        <v>950.8</v>
      </c>
      <c r="S323" s="11">
        <v>46287</v>
      </c>
      <c r="T323" s="9">
        <v>907.17</v>
      </c>
      <c r="U323" s="9">
        <v>1</v>
      </c>
      <c r="V323" s="11">
        <v>46252</v>
      </c>
      <c r="W323" s="9">
        <v>260326210686920</v>
      </c>
      <c r="X323" s="9" t="s">
        <v>2559</v>
      </c>
      <c r="Y323" s="9" t="s">
        <v>2560</v>
      </c>
      <c r="Z323" s="9" t="s">
        <v>2922</v>
      </c>
      <c r="AA323" s="12" t="s">
        <v>2952</v>
      </c>
      <c r="AB323" s="9" t="s">
        <v>2570</v>
      </c>
      <c r="AC323" s="11">
        <v>46263</v>
      </c>
      <c r="AD323" s="9">
        <v>1880</v>
      </c>
      <c r="AE323" s="9" t="s">
        <v>2570</v>
      </c>
      <c r="AF323" s="9">
        <v>10</v>
      </c>
      <c r="AG323" s="9" t="s">
        <v>2563</v>
      </c>
      <c r="AH323" s="9">
        <v>231</v>
      </c>
      <c r="AJ323" s="9" t="s">
        <v>2990</v>
      </c>
      <c r="AK323" s="11">
        <v>46285</v>
      </c>
      <c r="AL323" s="9">
        <v>2609136</v>
      </c>
      <c r="AM323" s="11">
        <v>46245</v>
      </c>
      <c r="AO323" s="9" t="s">
        <v>2577</v>
      </c>
      <c r="AP323" s="11">
        <v>46245</v>
      </c>
      <c r="AQ323" s="9" t="s">
        <v>2564</v>
      </c>
      <c r="AR323" s="9">
        <v>4</v>
      </c>
      <c r="AS323" s="9" t="s">
        <v>2565</v>
      </c>
      <c r="AT323" s="9">
        <v>6</v>
      </c>
      <c r="AU323" s="9" t="s">
        <v>2566</v>
      </c>
      <c r="AV323" s="9" t="s">
        <v>195</v>
      </c>
      <c r="AW323" s="9" t="s">
        <v>2991</v>
      </c>
      <c r="AX323" s="9">
        <v>2609136</v>
      </c>
      <c r="AY323" s="11">
        <v>46252</v>
      </c>
      <c r="AZ323" s="9">
        <v>306</v>
      </c>
      <c r="BA323" s="9">
        <v>296591</v>
      </c>
      <c r="BB323" s="11">
        <v>46245</v>
      </c>
      <c r="BC323" s="9">
        <v>1680</v>
      </c>
    </row>
    <row r="324" spans="1:55" ht="75" x14ac:dyDescent="0.25">
      <c r="A324" s="9" t="s">
        <v>2916</v>
      </c>
      <c r="B324" s="9">
        <v>1880</v>
      </c>
      <c r="C324" s="9" t="s">
        <v>2557</v>
      </c>
      <c r="D324" s="9">
        <v>1512</v>
      </c>
      <c r="E324" s="9">
        <v>2026</v>
      </c>
      <c r="F324" s="9" t="s">
        <v>2992</v>
      </c>
      <c r="G324" s="9">
        <v>62052000</v>
      </c>
      <c r="H324" s="9">
        <v>1204</v>
      </c>
      <c r="I324" s="9">
        <v>86</v>
      </c>
      <c r="J324" s="9" t="s">
        <v>2574</v>
      </c>
      <c r="K324" s="9">
        <v>0</v>
      </c>
      <c r="L324" s="9">
        <v>345.74</v>
      </c>
      <c r="M324" s="9">
        <v>345.74</v>
      </c>
      <c r="N324" s="9">
        <v>0</v>
      </c>
      <c r="O324" s="9">
        <v>0</v>
      </c>
      <c r="P324" s="9">
        <v>0</v>
      </c>
      <c r="R324" s="9">
        <v>345.74</v>
      </c>
      <c r="U324" s="9">
        <v>1</v>
      </c>
      <c r="V324" s="11">
        <v>46252</v>
      </c>
      <c r="W324" s="9">
        <v>260326210686920</v>
      </c>
      <c r="X324" s="9" t="s">
        <v>2559</v>
      </c>
      <c r="Y324" s="9" t="s">
        <v>2560</v>
      </c>
      <c r="Z324" s="9" t="s">
        <v>2922</v>
      </c>
      <c r="AA324" s="12" t="s">
        <v>2952</v>
      </c>
      <c r="AB324" s="9" t="s">
        <v>2570</v>
      </c>
      <c r="AC324" s="11">
        <v>46263</v>
      </c>
      <c r="AD324" s="9">
        <v>1880</v>
      </c>
      <c r="AF324" s="9">
        <v>10</v>
      </c>
      <c r="AG324" s="9" t="s">
        <v>2563</v>
      </c>
      <c r="AH324" s="9">
        <v>84</v>
      </c>
      <c r="AL324" s="9">
        <v>2609137</v>
      </c>
      <c r="AM324" s="11">
        <v>46245</v>
      </c>
      <c r="AO324" s="9" t="s">
        <v>2577</v>
      </c>
      <c r="AP324" s="11">
        <v>46245</v>
      </c>
      <c r="AQ324" s="9" t="s">
        <v>2564</v>
      </c>
      <c r="AR324" s="9">
        <v>4</v>
      </c>
      <c r="AS324" s="9" t="s">
        <v>2565</v>
      </c>
      <c r="AT324" s="9">
        <v>6</v>
      </c>
      <c r="AU324" s="9" t="s">
        <v>2566</v>
      </c>
      <c r="AV324" s="9" t="s">
        <v>195</v>
      </c>
      <c r="AW324" s="9" t="s">
        <v>2993</v>
      </c>
      <c r="AX324" s="9">
        <v>2609137</v>
      </c>
      <c r="AY324" s="11">
        <v>46252</v>
      </c>
      <c r="AZ324" s="9">
        <v>306</v>
      </c>
      <c r="BA324" s="9">
        <v>296588</v>
      </c>
      <c r="BB324" s="11">
        <v>46245</v>
      </c>
      <c r="BC324" s="9">
        <v>1680</v>
      </c>
    </row>
    <row r="325" spans="1:55" x14ac:dyDescent="0.25">
      <c r="A325" s="9" t="s">
        <v>2916</v>
      </c>
      <c r="B325" s="9">
        <v>1880</v>
      </c>
      <c r="C325" s="9" t="s">
        <v>2557</v>
      </c>
      <c r="D325" s="9">
        <v>1468</v>
      </c>
      <c r="E325" s="9">
        <v>2026</v>
      </c>
      <c r="F325" s="9" t="s">
        <v>2994</v>
      </c>
      <c r="G325" s="9">
        <v>62082100</v>
      </c>
      <c r="H325" s="9">
        <v>2016</v>
      </c>
      <c r="I325" s="9">
        <v>1</v>
      </c>
      <c r="J325" s="9" t="s">
        <v>2558</v>
      </c>
      <c r="L325" s="10">
        <v>32680</v>
      </c>
      <c r="M325" s="10">
        <v>32680</v>
      </c>
      <c r="N325" s="9">
        <v>0</v>
      </c>
      <c r="O325" s="9">
        <v>0</v>
      </c>
      <c r="P325" s="9">
        <v>0</v>
      </c>
      <c r="R325" s="10">
        <v>32680</v>
      </c>
      <c r="S325" s="11">
        <v>46279</v>
      </c>
      <c r="T325" s="10">
        <v>31976.75</v>
      </c>
      <c r="U325" s="9">
        <v>1</v>
      </c>
      <c r="V325" s="11">
        <v>46246</v>
      </c>
      <c r="W325" s="9">
        <v>260326210686920</v>
      </c>
      <c r="X325" s="9" t="s">
        <v>2559</v>
      </c>
      <c r="Y325" s="9" t="s">
        <v>2560</v>
      </c>
      <c r="Z325" s="9" t="s">
        <v>2918</v>
      </c>
      <c r="AA325" s="9" t="s">
        <v>2919</v>
      </c>
      <c r="AB325" s="9" t="s">
        <v>2570</v>
      </c>
      <c r="AC325" s="11">
        <v>46273</v>
      </c>
      <c r="AD325" s="9">
        <v>1880</v>
      </c>
      <c r="AE325" s="9" t="s">
        <v>2570</v>
      </c>
      <c r="AF325" s="9">
        <v>10</v>
      </c>
      <c r="AG325" s="9" t="s">
        <v>2563</v>
      </c>
      <c r="AH325" s="9">
        <v>8600</v>
      </c>
      <c r="AJ325" s="9" t="s">
        <v>2982</v>
      </c>
      <c r="AK325" s="11">
        <v>46278</v>
      </c>
      <c r="AL325" s="9">
        <v>2609028</v>
      </c>
      <c r="AM325" s="11">
        <v>46238</v>
      </c>
      <c r="AP325" s="11">
        <v>46238</v>
      </c>
      <c r="AQ325" s="9" t="s">
        <v>2564</v>
      </c>
      <c r="AR325" s="9">
        <v>4</v>
      </c>
      <c r="AT325" s="9">
        <v>1</v>
      </c>
      <c r="AU325" s="9" t="s">
        <v>2566</v>
      </c>
      <c r="AW325" s="9" t="s">
        <v>2995</v>
      </c>
      <c r="AY325" s="11">
        <v>46246</v>
      </c>
      <c r="AZ325" s="9">
        <v>306</v>
      </c>
      <c r="BA325" s="9">
        <v>270285</v>
      </c>
      <c r="BB325" s="11">
        <v>46240</v>
      </c>
      <c r="BC325" s="9">
        <v>1680</v>
      </c>
    </row>
    <row r="326" spans="1:55" x14ac:dyDescent="0.25">
      <c r="A326" s="9" t="s">
        <v>2916</v>
      </c>
      <c r="B326" s="9">
        <v>1880</v>
      </c>
      <c r="C326" s="9" t="s">
        <v>2557</v>
      </c>
      <c r="D326" s="9">
        <v>1524</v>
      </c>
      <c r="E326" s="9">
        <v>2026</v>
      </c>
      <c r="F326" s="9" t="s">
        <v>2996</v>
      </c>
      <c r="G326" s="9">
        <v>62052000</v>
      </c>
      <c r="H326" s="9">
        <v>2016</v>
      </c>
      <c r="I326" s="9">
        <v>1</v>
      </c>
      <c r="J326" s="9" t="s">
        <v>2558</v>
      </c>
      <c r="K326" s="9">
        <v>0</v>
      </c>
      <c r="L326" s="10">
        <v>24874.5</v>
      </c>
      <c r="M326" s="10">
        <v>24874.5</v>
      </c>
      <c r="N326" s="9">
        <v>0</v>
      </c>
      <c r="O326" s="9">
        <v>0</v>
      </c>
      <c r="P326" s="9">
        <v>0</v>
      </c>
      <c r="R326" s="10">
        <v>24874.5</v>
      </c>
      <c r="S326" s="11">
        <v>46279</v>
      </c>
      <c r="T326" s="10">
        <v>24339.22</v>
      </c>
      <c r="U326" s="9">
        <v>1</v>
      </c>
      <c r="V326" s="11">
        <v>46251</v>
      </c>
      <c r="W326" s="9">
        <v>260326210686920</v>
      </c>
      <c r="X326" s="9" t="s">
        <v>2559</v>
      </c>
      <c r="Y326" s="9" t="s">
        <v>2560</v>
      </c>
      <c r="Z326" s="9" t="s">
        <v>2918</v>
      </c>
      <c r="AA326" s="9" t="s">
        <v>2919</v>
      </c>
      <c r="AB326" s="9" t="s">
        <v>2570</v>
      </c>
      <c r="AC326" s="11">
        <v>46273</v>
      </c>
      <c r="AD326" s="9">
        <v>1880</v>
      </c>
      <c r="AE326" s="9" t="s">
        <v>2570</v>
      </c>
      <c r="AF326" s="9">
        <v>10</v>
      </c>
      <c r="AG326" s="9" t="s">
        <v>2563</v>
      </c>
      <c r="AH326" s="9">
        <v>4326</v>
      </c>
      <c r="AJ326" s="9" t="s">
        <v>2982</v>
      </c>
      <c r="AK326" s="11">
        <v>46278</v>
      </c>
      <c r="AL326" s="9">
        <v>2609153</v>
      </c>
      <c r="AM326" s="11">
        <v>46246</v>
      </c>
      <c r="AP326" s="11">
        <v>46246</v>
      </c>
      <c r="AQ326" s="9" t="s">
        <v>2564</v>
      </c>
      <c r="AR326" s="9">
        <v>4</v>
      </c>
      <c r="AS326" s="9" t="s">
        <v>2565</v>
      </c>
      <c r="AT326" s="9">
        <v>1</v>
      </c>
      <c r="AU326" s="9" t="s">
        <v>2566</v>
      </c>
      <c r="AV326" s="9" t="s">
        <v>183</v>
      </c>
      <c r="AW326" s="9" t="s">
        <v>2997</v>
      </c>
      <c r="AX326" s="9">
        <v>2609153</v>
      </c>
      <c r="AY326" s="11">
        <v>46251</v>
      </c>
      <c r="AZ326" s="9">
        <v>306</v>
      </c>
      <c r="BA326" s="9">
        <v>303623</v>
      </c>
      <c r="BB326" s="11">
        <v>46247</v>
      </c>
      <c r="BC326" s="9">
        <v>1680</v>
      </c>
    </row>
    <row r="327" spans="1:55" x14ac:dyDescent="0.25">
      <c r="A327" s="9" t="s">
        <v>2916</v>
      </c>
      <c r="B327" s="9">
        <v>1880</v>
      </c>
      <c r="C327" s="9" t="s">
        <v>2557</v>
      </c>
      <c r="D327" s="9">
        <v>1525</v>
      </c>
      <c r="E327" s="9">
        <v>2026</v>
      </c>
      <c r="F327" s="9" t="s">
        <v>2998</v>
      </c>
      <c r="G327" s="9">
        <v>62052000</v>
      </c>
      <c r="H327" s="9">
        <v>110</v>
      </c>
      <c r="I327" s="9">
        <v>1</v>
      </c>
      <c r="J327" s="9" t="s">
        <v>2558</v>
      </c>
      <c r="K327" s="9">
        <v>0</v>
      </c>
      <c r="L327" s="10">
        <v>8625</v>
      </c>
      <c r="M327" s="10">
        <v>8625</v>
      </c>
      <c r="N327" s="9">
        <v>0</v>
      </c>
      <c r="O327" s="9">
        <v>0</v>
      </c>
      <c r="P327" s="9">
        <v>0</v>
      </c>
      <c r="R327" s="10">
        <v>8625</v>
      </c>
      <c r="U327" s="9">
        <v>1</v>
      </c>
      <c r="V327" s="11">
        <v>46257</v>
      </c>
      <c r="W327" s="9">
        <v>260326210686920</v>
      </c>
      <c r="X327" s="9" t="s">
        <v>2559</v>
      </c>
      <c r="Y327" s="9" t="s">
        <v>2560</v>
      </c>
      <c r="Z327" s="9" t="s">
        <v>2918</v>
      </c>
      <c r="AA327" s="9" t="s">
        <v>2919</v>
      </c>
      <c r="AB327" s="9" t="s">
        <v>2570</v>
      </c>
      <c r="AC327" s="11">
        <v>46295</v>
      </c>
      <c r="AD327" s="9">
        <v>1880</v>
      </c>
      <c r="AF327" s="9">
        <v>10</v>
      </c>
      <c r="AG327" s="9" t="s">
        <v>2563</v>
      </c>
      <c r="AH327" s="9">
        <v>1500</v>
      </c>
      <c r="AL327" s="9">
        <v>2609154</v>
      </c>
      <c r="AM327" s="11">
        <v>46246</v>
      </c>
      <c r="AO327" s="9" t="s">
        <v>2571</v>
      </c>
      <c r="AP327" s="11">
        <v>46246</v>
      </c>
      <c r="AQ327" s="9" t="s">
        <v>2564</v>
      </c>
      <c r="AR327" s="9">
        <v>4</v>
      </c>
      <c r="AS327" s="9" t="s">
        <v>2999</v>
      </c>
      <c r="AT327" s="9">
        <v>1</v>
      </c>
      <c r="AU327" s="9" t="s">
        <v>2566</v>
      </c>
      <c r="AV327" s="9" t="s">
        <v>190</v>
      </c>
      <c r="AW327" s="9" t="s">
        <v>3000</v>
      </c>
      <c r="AX327" s="9">
        <v>2609154</v>
      </c>
      <c r="AY327" s="11">
        <v>46257</v>
      </c>
      <c r="AZ327" s="9">
        <v>306</v>
      </c>
      <c r="BA327" s="9">
        <v>303963</v>
      </c>
      <c r="BB327" s="11">
        <v>46247</v>
      </c>
      <c r="BC327" s="9">
        <v>1680</v>
      </c>
    </row>
    <row r="328" spans="1:55" x14ac:dyDescent="0.25">
      <c r="A328" s="9" t="s">
        <v>2916</v>
      </c>
      <c r="B328" s="9">
        <v>1880</v>
      </c>
      <c r="C328" s="9" t="s">
        <v>2557</v>
      </c>
      <c r="D328" s="9">
        <v>1526</v>
      </c>
      <c r="E328" s="9">
        <v>2026</v>
      </c>
      <c r="F328" s="9" t="s">
        <v>3001</v>
      </c>
      <c r="G328" s="9">
        <v>62052000</v>
      </c>
      <c r="H328" s="9">
        <v>2016</v>
      </c>
      <c r="I328" s="9">
        <v>1</v>
      </c>
      <c r="J328" s="9" t="s">
        <v>2558</v>
      </c>
      <c r="K328" s="9">
        <v>0</v>
      </c>
      <c r="L328" s="10">
        <v>23477.25</v>
      </c>
      <c r="M328" s="10">
        <v>23477.25</v>
      </c>
      <c r="N328" s="9">
        <v>0</v>
      </c>
      <c r="O328" s="9">
        <v>0</v>
      </c>
      <c r="P328" s="9">
        <v>0</v>
      </c>
      <c r="R328" s="10">
        <v>23477.25</v>
      </c>
      <c r="S328" s="11">
        <v>46279</v>
      </c>
      <c r="T328" s="10">
        <v>22972.04</v>
      </c>
      <c r="U328" s="9">
        <v>1</v>
      </c>
      <c r="V328" s="11">
        <v>46251</v>
      </c>
      <c r="W328" s="9">
        <v>260326210686920</v>
      </c>
      <c r="X328" s="9" t="s">
        <v>2559</v>
      </c>
      <c r="Y328" s="9" t="s">
        <v>2560</v>
      </c>
      <c r="Z328" s="9" t="s">
        <v>2918</v>
      </c>
      <c r="AA328" s="9" t="s">
        <v>2919</v>
      </c>
      <c r="AB328" s="9" t="s">
        <v>2570</v>
      </c>
      <c r="AC328" s="11">
        <v>46273</v>
      </c>
      <c r="AD328" s="9">
        <v>1880</v>
      </c>
      <c r="AE328" s="9" t="s">
        <v>2570</v>
      </c>
      <c r="AF328" s="9">
        <v>10</v>
      </c>
      <c r="AG328" s="9" t="s">
        <v>2563</v>
      </c>
      <c r="AH328" s="9">
        <v>4083</v>
      </c>
      <c r="AJ328" s="9" t="s">
        <v>2982</v>
      </c>
      <c r="AK328" s="11">
        <v>46278</v>
      </c>
      <c r="AL328" s="9">
        <v>2609155</v>
      </c>
      <c r="AM328" s="11">
        <v>46246</v>
      </c>
      <c r="AP328" s="11">
        <v>46246</v>
      </c>
      <c r="AQ328" s="9" t="s">
        <v>2564</v>
      </c>
      <c r="AR328" s="9">
        <v>4</v>
      </c>
      <c r="AS328" s="9" t="s">
        <v>2565</v>
      </c>
      <c r="AT328" s="9">
        <v>1</v>
      </c>
      <c r="AU328" s="9" t="s">
        <v>2566</v>
      </c>
      <c r="AV328" s="9" t="s">
        <v>183</v>
      </c>
      <c r="AW328" s="9" t="s">
        <v>3002</v>
      </c>
      <c r="AX328" s="9">
        <v>2609155</v>
      </c>
      <c r="AY328" s="11">
        <v>46251</v>
      </c>
      <c r="AZ328" s="9">
        <v>306</v>
      </c>
      <c r="BA328" s="9">
        <v>303630</v>
      </c>
      <c r="BB328" s="11">
        <v>46247</v>
      </c>
      <c r="BC328" s="9">
        <v>1680</v>
      </c>
    </row>
    <row r="329" spans="1:55" x14ac:dyDescent="0.25">
      <c r="A329" s="9" t="s">
        <v>2916</v>
      </c>
      <c r="B329" s="9">
        <v>1880</v>
      </c>
      <c r="C329" s="9" t="s">
        <v>2557</v>
      </c>
      <c r="D329" s="9">
        <v>1527</v>
      </c>
      <c r="E329" s="9">
        <v>2026</v>
      </c>
      <c r="F329" s="9" t="s">
        <v>3003</v>
      </c>
      <c r="G329" s="9">
        <v>62052000</v>
      </c>
      <c r="H329" s="9">
        <v>110</v>
      </c>
      <c r="I329" s="9">
        <v>1</v>
      </c>
      <c r="J329" s="9" t="s">
        <v>2558</v>
      </c>
      <c r="K329" s="9">
        <v>0</v>
      </c>
      <c r="L329" s="10">
        <v>9775</v>
      </c>
      <c r="M329" s="10">
        <v>9775</v>
      </c>
      <c r="N329" s="9">
        <v>0</v>
      </c>
      <c r="O329" s="9">
        <v>0</v>
      </c>
      <c r="P329" s="9">
        <v>0</v>
      </c>
      <c r="R329" s="10">
        <v>9775</v>
      </c>
      <c r="U329" s="9">
        <v>1</v>
      </c>
      <c r="V329" s="11">
        <v>46257</v>
      </c>
      <c r="W329" s="9">
        <v>260326210686920</v>
      </c>
      <c r="X329" s="9" t="s">
        <v>2559</v>
      </c>
      <c r="Y329" s="9" t="s">
        <v>2560</v>
      </c>
      <c r="Z329" s="9" t="s">
        <v>2918</v>
      </c>
      <c r="AA329" s="9" t="s">
        <v>2919</v>
      </c>
      <c r="AB329" s="9" t="s">
        <v>2570</v>
      </c>
      <c r="AC329" s="11">
        <v>46295</v>
      </c>
      <c r="AD329" s="9">
        <v>1880</v>
      </c>
      <c r="AF329" s="9">
        <v>10</v>
      </c>
      <c r="AG329" s="9" t="s">
        <v>2563</v>
      </c>
      <c r="AH329" s="9">
        <v>1700</v>
      </c>
      <c r="AL329" s="9">
        <v>2609156</v>
      </c>
      <c r="AM329" s="11">
        <v>46246</v>
      </c>
      <c r="AO329" s="9" t="s">
        <v>2571</v>
      </c>
      <c r="AP329" s="11">
        <v>46246</v>
      </c>
      <c r="AQ329" s="9" t="s">
        <v>2564</v>
      </c>
      <c r="AR329" s="9">
        <v>4</v>
      </c>
      <c r="AS329" s="9" t="s">
        <v>2999</v>
      </c>
      <c r="AT329" s="9">
        <v>1</v>
      </c>
      <c r="AU329" s="9" t="s">
        <v>2566</v>
      </c>
      <c r="AV329" s="9" t="s">
        <v>190</v>
      </c>
      <c r="AW329" s="9" t="s">
        <v>3004</v>
      </c>
      <c r="AX329" s="9">
        <v>2609156</v>
      </c>
      <c r="AY329" s="11">
        <v>46257</v>
      </c>
      <c r="AZ329" s="9">
        <v>306</v>
      </c>
      <c r="BA329" s="9">
        <v>303962</v>
      </c>
      <c r="BB329" s="11">
        <v>46247</v>
      </c>
      <c r="BC329" s="9">
        <v>1680</v>
      </c>
    </row>
    <row r="330" spans="1:55" x14ac:dyDescent="0.25">
      <c r="A330" s="9" t="s">
        <v>2916</v>
      </c>
      <c r="B330" s="9">
        <v>1880</v>
      </c>
      <c r="C330" s="9" t="s">
        <v>2557</v>
      </c>
      <c r="D330" s="9">
        <v>1497</v>
      </c>
      <c r="E330" s="9">
        <v>2026</v>
      </c>
      <c r="F330" s="9" t="s">
        <v>3005</v>
      </c>
      <c r="G330" s="9">
        <v>62063000</v>
      </c>
      <c r="H330" s="9">
        <v>2016</v>
      </c>
      <c r="I330" s="9">
        <v>1</v>
      </c>
      <c r="J330" s="9" t="s">
        <v>2558</v>
      </c>
      <c r="L330" s="10">
        <v>5381.25</v>
      </c>
      <c r="M330" s="10">
        <v>5381.25</v>
      </c>
      <c r="N330" s="9">
        <v>0</v>
      </c>
      <c r="O330" s="9">
        <v>0</v>
      </c>
      <c r="P330" s="9">
        <v>0</v>
      </c>
      <c r="R330" s="10">
        <v>5381.25</v>
      </c>
      <c r="S330" s="11">
        <v>46279</v>
      </c>
      <c r="T330" s="10">
        <v>5265.45</v>
      </c>
      <c r="U330" s="9">
        <v>1</v>
      </c>
      <c r="V330" s="11">
        <v>46251</v>
      </c>
      <c r="W330" s="9">
        <v>260326210686920</v>
      </c>
      <c r="X330" s="9" t="s">
        <v>2559</v>
      </c>
      <c r="Y330" s="9" t="s">
        <v>2560</v>
      </c>
      <c r="Z330" s="9" t="s">
        <v>2918</v>
      </c>
      <c r="AA330" s="9" t="s">
        <v>2919</v>
      </c>
      <c r="AB330" s="9" t="s">
        <v>2570</v>
      </c>
      <c r="AC330" s="11">
        <v>46273</v>
      </c>
      <c r="AD330" s="9">
        <v>1880</v>
      </c>
      <c r="AE330" s="9" t="s">
        <v>2570</v>
      </c>
      <c r="AF330" s="9">
        <v>10</v>
      </c>
      <c r="AG330" s="9" t="s">
        <v>2563</v>
      </c>
      <c r="AH330" s="9">
        <v>1050</v>
      </c>
      <c r="AJ330" s="9" t="s">
        <v>2982</v>
      </c>
      <c r="AK330" s="11">
        <v>46278</v>
      </c>
      <c r="AL330" s="9">
        <v>2609042</v>
      </c>
      <c r="AM330" s="11">
        <v>46242</v>
      </c>
      <c r="AP330" s="11">
        <v>46243</v>
      </c>
      <c r="AQ330" s="9" t="s">
        <v>2564</v>
      </c>
      <c r="AR330" s="9">
        <v>4</v>
      </c>
      <c r="AT330" s="9">
        <v>1</v>
      </c>
      <c r="AU330" s="9" t="s">
        <v>2566</v>
      </c>
      <c r="AW330" s="9" t="s">
        <v>3006</v>
      </c>
      <c r="AY330" s="11">
        <v>46251</v>
      </c>
      <c r="AZ330" s="9">
        <v>306</v>
      </c>
      <c r="BA330" s="9">
        <v>282880</v>
      </c>
      <c r="BB330" s="11">
        <v>46243</v>
      </c>
      <c r="BC330" s="9">
        <v>1680</v>
      </c>
    </row>
    <row r="331" spans="1:55" x14ac:dyDescent="0.25">
      <c r="A331" s="9" t="s">
        <v>2916</v>
      </c>
      <c r="B331" s="9">
        <v>1880</v>
      </c>
      <c r="C331" s="9" t="s">
        <v>2557</v>
      </c>
      <c r="D331" s="9">
        <v>1529</v>
      </c>
      <c r="E331" s="9">
        <v>2026</v>
      </c>
      <c r="F331" s="9" t="s">
        <v>3007</v>
      </c>
      <c r="G331" s="9">
        <v>62052000</v>
      </c>
      <c r="H331" s="9">
        <v>2016</v>
      </c>
      <c r="I331" s="9">
        <v>1</v>
      </c>
      <c r="J331" s="9" t="s">
        <v>2558</v>
      </c>
      <c r="L331" s="10">
        <v>2582.0500000000002</v>
      </c>
      <c r="M331" s="10">
        <v>2582.0500000000002</v>
      </c>
      <c r="N331" s="9">
        <v>0</v>
      </c>
      <c r="O331" s="9">
        <v>0</v>
      </c>
      <c r="P331" s="9">
        <v>0</v>
      </c>
      <c r="R331" s="10">
        <v>2582.0500000000002</v>
      </c>
      <c r="S331" s="11">
        <v>46286</v>
      </c>
      <c r="T331" s="10">
        <v>2533.41</v>
      </c>
      <c r="U331" s="9">
        <v>1</v>
      </c>
      <c r="V331" s="11">
        <v>46251</v>
      </c>
      <c r="W331" s="9">
        <v>260326210686920</v>
      </c>
      <c r="X331" s="9" t="s">
        <v>2559</v>
      </c>
      <c r="Y331" s="9" t="s">
        <v>2560</v>
      </c>
      <c r="Z331" s="9" t="s">
        <v>2918</v>
      </c>
      <c r="AA331" s="9" t="s">
        <v>2919</v>
      </c>
      <c r="AB331" s="9" t="s">
        <v>2570</v>
      </c>
      <c r="AC331" s="11">
        <v>46284</v>
      </c>
      <c r="AD331" s="9">
        <v>1880</v>
      </c>
      <c r="AE331" s="9" t="s">
        <v>2570</v>
      </c>
      <c r="AF331" s="9">
        <v>10</v>
      </c>
      <c r="AG331" s="9" t="s">
        <v>2563</v>
      </c>
      <c r="AH331" s="9">
        <v>457</v>
      </c>
      <c r="AJ331" s="9" t="s">
        <v>2985</v>
      </c>
      <c r="AK331" s="11">
        <v>46285</v>
      </c>
      <c r="AL331" s="9">
        <v>2609157</v>
      </c>
      <c r="AM331" s="11">
        <v>46246</v>
      </c>
      <c r="AP331" s="11">
        <v>46246</v>
      </c>
      <c r="AQ331" s="9" t="s">
        <v>2564</v>
      </c>
      <c r="AR331" s="9">
        <v>4</v>
      </c>
      <c r="AT331" s="9">
        <v>1</v>
      </c>
      <c r="AU331" s="9" t="s">
        <v>2566</v>
      </c>
      <c r="AW331" s="9" t="s">
        <v>3008</v>
      </c>
      <c r="AY331" s="11">
        <v>46251</v>
      </c>
      <c r="AZ331" s="9">
        <v>306</v>
      </c>
      <c r="BA331" s="9">
        <v>303633</v>
      </c>
      <c r="BB331" s="11">
        <v>46247</v>
      </c>
      <c r="BC331" s="9">
        <v>1680</v>
      </c>
    </row>
    <row r="332" spans="1:55" x14ac:dyDescent="0.25">
      <c r="A332" s="9" t="s">
        <v>2916</v>
      </c>
      <c r="B332" s="9">
        <v>1880</v>
      </c>
      <c r="C332" s="9" t="s">
        <v>2557</v>
      </c>
      <c r="D332" s="9">
        <v>1460</v>
      </c>
      <c r="E332" s="9">
        <v>2026</v>
      </c>
      <c r="F332" s="9" t="s">
        <v>3009</v>
      </c>
      <c r="G332" s="9">
        <v>62082100</v>
      </c>
      <c r="H332" s="9">
        <v>2016</v>
      </c>
      <c r="I332" s="9">
        <v>1</v>
      </c>
      <c r="J332" s="9" t="s">
        <v>2558</v>
      </c>
      <c r="L332" s="10">
        <v>21092.5</v>
      </c>
      <c r="M332" s="10">
        <v>21092.5</v>
      </c>
      <c r="N332" s="9">
        <v>0</v>
      </c>
      <c r="O332" s="9">
        <v>0</v>
      </c>
      <c r="P332" s="9">
        <v>0</v>
      </c>
      <c r="R332" s="10">
        <v>21092.5</v>
      </c>
      <c r="S332" s="11">
        <v>46279</v>
      </c>
      <c r="T332" s="10">
        <v>20638.61</v>
      </c>
      <c r="U332" s="9">
        <v>1</v>
      </c>
      <c r="V332" s="11">
        <v>46246</v>
      </c>
      <c r="W332" s="9">
        <v>260326210686920</v>
      </c>
      <c r="X332" s="9" t="s">
        <v>2559</v>
      </c>
      <c r="Y332" s="9" t="s">
        <v>2560</v>
      </c>
      <c r="Z332" s="9" t="s">
        <v>2918</v>
      </c>
      <c r="AA332" s="9" t="s">
        <v>2919</v>
      </c>
      <c r="AB332" s="9" t="s">
        <v>2570</v>
      </c>
      <c r="AC332" s="11">
        <v>46273</v>
      </c>
      <c r="AD332" s="9">
        <v>1880</v>
      </c>
      <c r="AE332" s="9" t="s">
        <v>2570</v>
      </c>
      <c r="AF332" s="9">
        <v>10</v>
      </c>
      <c r="AG332" s="9" t="s">
        <v>2563</v>
      </c>
      <c r="AH332" s="9">
        <v>7150</v>
      </c>
      <c r="AJ332" s="9" t="s">
        <v>2982</v>
      </c>
      <c r="AK332" s="11">
        <v>46278</v>
      </c>
      <c r="AL332" s="9">
        <v>2608944</v>
      </c>
      <c r="AM332" s="11">
        <v>46206</v>
      </c>
      <c r="AP332" s="11">
        <v>46238</v>
      </c>
      <c r="AQ332" s="9" t="s">
        <v>2564</v>
      </c>
      <c r="AR332" s="9">
        <v>4</v>
      </c>
      <c r="AT332" s="9">
        <v>1</v>
      </c>
      <c r="AU332" s="9" t="s">
        <v>2566</v>
      </c>
      <c r="AW332" s="9" t="s">
        <v>3010</v>
      </c>
      <c r="AY332" s="11">
        <v>46246</v>
      </c>
      <c r="AZ332" s="9">
        <v>306</v>
      </c>
      <c r="BA332" s="9">
        <v>261130</v>
      </c>
      <c r="BB332" s="11">
        <v>46238</v>
      </c>
      <c r="BC332" s="9">
        <v>1680</v>
      </c>
    </row>
    <row r="333" spans="1:55" x14ac:dyDescent="0.25">
      <c r="A333" s="9" t="s">
        <v>2916</v>
      </c>
      <c r="B333" s="9">
        <v>1880</v>
      </c>
      <c r="C333" s="9" t="s">
        <v>2557</v>
      </c>
      <c r="D333" s="9">
        <v>1532</v>
      </c>
      <c r="E333" s="9">
        <v>2026</v>
      </c>
      <c r="F333" s="9" t="s">
        <v>3011</v>
      </c>
      <c r="G333" s="9">
        <v>62052000</v>
      </c>
      <c r="H333" s="9">
        <v>2016</v>
      </c>
      <c r="I333" s="9">
        <v>1</v>
      </c>
      <c r="J333" s="9" t="s">
        <v>2558</v>
      </c>
      <c r="K333" s="9">
        <v>0</v>
      </c>
      <c r="L333" s="10">
        <v>11081.4</v>
      </c>
      <c r="M333" s="10">
        <v>11081.4</v>
      </c>
      <c r="N333" s="9">
        <v>0</v>
      </c>
      <c r="O333" s="9">
        <v>0</v>
      </c>
      <c r="P333" s="9">
        <v>0</v>
      </c>
      <c r="R333" s="10">
        <v>11081.4</v>
      </c>
      <c r="S333" s="11">
        <v>46279</v>
      </c>
      <c r="T333" s="10">
        <v>10842.94</v>
      </c>
      <c r="U333" s="9">
        <v>1</v>
      </c>
      <c r="V333" s="11">
        <v>46253</v>
      </c>
      <c r="W333" s="9">
        <v>260326210686920</v>
      </c>
      <c r="X333" s="9" t="s">
        <v>2559</v>
      </c>
      <c r="Y333" s="9" t="s">
        <v>2560</v>
      </c>
      <c r="Z333" s="9" t="s">
        <v>2918</v>
      </c>
      <c r="AA333" s="9" t="s">
        <v>2919</v>
      </c>
      <c r="AB333" s="9" t="s">
        <v>2570</v>
      </c>
      <c r="AC333" s="11">
        <v>46273</v>
      </c>
      <c r="AD333" s="9">
        <v>1880</v>
      </c>
      <c r="AE333" s="9" t="s">
        <v>2570</v>
      </c>
      <c r="AF333" s="9">
        <v>10</v>
      </c>
      <c r="AG333" s="9" t="s">
        <v>2563</v>
      </c>
      <c r="AH333" s="9">
        <v>1606</v>
      </c>
      <c r="AJ333" s="9" t="s">
        <v>2982</v>
      </c>
      <c r="AK333" s="11">
        <v>46278</v>
      </c>
      <c r="AL333" s="9">
        <v>2609162</v>
      </c>
      <c r="AM333" s="11">
        <v>46246</v>
      </c>
      <c r="AP333" s="11">
        <v>46247</v>
      </c>
      <c r="AQ333" s="9" t="s">
        <v>2564</v>
      </c>
      <c r="AR333" s="9">
        <v>4</v>
      </c>
      <c r="AS333" s="9" t="s">
        <v>2565</v>
      </c>
      <c r="AT333" s="9">
        <v>1</v>
      </c>
      <c r="AU333" s="9" t="s">
        <v>2566</v>
      </c>
      <c r="AV333" s="9" t="s">
        <v>183</v>
      </c>
      <c r="AW333" s="9" t="s">
        <v>3012</v>
      </c>
      <c r="AX333" s="9">
        <v>2609162</v>
      </c>
      <c r="AY333" s="11">
        <v>46253</v>
      </c>
      <c r="AZ333" s="9">
        <v>306</v>
      </c>
      <c r="BA333" s="9">
        <v>303665</v>
      </c>
      <c r="BB333" s="11">
        <v>46247</v>
      </c>
      <c r="BC333" s="9">
        <v>1680</v>
      </c>
    </row>
    <row r="334" spans="1:55" x14ac:dyDescent="0.25">
      <c r="A334" s="9" t="s">
        <v>2916</v>
      </c>
      <c r="B334" s="9">
        <v>1880</v>
      </c>
      <c r="C334" s="9" t="s">
        <v>2557</v>
      </c>
      <c r="D334" s="9">
        <v>1533</v>
      </c>
      <c r="E334" s="9">
        <v>2026</v>
      </c>
      <c r="F334" s="9" t="s">
        <v>3013</v>
      </c>
      <c r="G334" s="9">
        <v>62052000</v>
      </c>
      <c r="H334" s="9">
        <v>2016</v>
      </c>
      <c r="I334" s="9">
        <v>1</v>
      </c>
      <c r="J334" s="9" t="s">
        <v>2558</v>
      </c>
      <c r="K334" s="9">
        <v>0</v>
      </c>
      <c r="L334" s="10">
        <v>28676.1</v>
      </c>
      <c r="M334" s="10">
        <v>28676.1</v>
      </c>
      <c r="N334" s="9">
        <v>0</v>
      </c>
      <c r="O334" s="9">
        <v>0</v>
      </c>
      <c r="P334" s="9">
        <v>0</v>
      </c>
      <c r="R334" s="10">
        <v>28676.1</v>
      </c>
      <c r="S334" s="11">
        <v>46286</v>
      </c>
      <c r="T334" s="10">
        <v>28135.94</v>
      </c>
      <c r="U334" s="9">
        <v>1</v>
      </c>
      <c r="V334" s="11">
        <v>46251</v>
      </c>
      <c r="W334" s="9">
        <v>260326210686920</v>
      </c>
      <c r="X334" s="9" t="s">
        <v>2559</v>
      </c>
      <c r="Y334" s="9" t="s">
        <v>2560</v>
      </c>
      <c r="Z334" s="9" t="s">
        <v>2918</v>
      </c>
      <c r="AA334" s="9" t="s">
        <v>2919</v>
      </c>
      <c r="AB334" s="9" t="s">
        <v>2570</v>
      </c>
      <c r="AC334" s="11">
        <v>46284</v>
      </c>
      <c r="AD334" s="9">
        <v>1880</v>
      </c>
      <c r="AE334" s="9" t="s">
        <v>2570</v>
      </c>
      <c r="AF334" s="9">
        <v>10</v>
      </c>
      <c r="AG334" s="9" t="s">
        <v>2563</v>
      </c>
      <c r="AH334" s="9">
        <v>4701</v>
      </c>
      <c r="AJ334" s="9" t="s">
        <v>2985</v>
      </c>
      <c r="AK334" s="11">
        <v>46285</v>
      </c>
      <c r="AL334" s="9">
        <v>2609163</v>
      </c>
      <c r="AM334" s="11">
        <v>46246</v>
      </c>
      <c r="AP334" s="11">
        <v>46247</v>
      </c>
      <c r="AQ334" s="9" t="s">
        <v>2564</v>
      </c>
      <c r="AR334" s="9">
        <v>4</v>
      </c>
      <c r="AS334" s="9" t="s">
        <v>2565</v>
      </c>
      <c r="AT334" s="9">
        <v>1</v>
      </c>
      <c r="AU334" s="9" t="s">
        <v>2566</v>
      </c>
      <c r="AV334" s="9" t="s">
        <v>183</v>
      </c>
      <c r="AW334" s="9" t="s">
        <v>3014</v>
      </c>
      <c r="AX334" s="9">
        <v>2609163</v>
      </c>
      <c r="AY334" s="11">
        <v>46251</v>
      </c>
      <c r="AZ334" s="9">
        <v>306</v>
      </c>
      <c r="BA334" s="9">
        <v>303648</v>
      </c>
      <c r="BB334" s="11">
        <v>46247</v>
      </c>
      <c r="BC334" s="9">
        <v>1680</v>
      </c>
    </row>
    <row r="335" spans="1:55" x14ac:dyDescent="0.25">
      <c r="A335" s="9" t="s">
        <v>2916</v>
      </c>
      <c r="B335" s="9">
        <v>1880</v>
      </c>
      <c r="C335" s="9" t="s">
        <v>2557</v>
      </c>
      <c r="D335" s="9">
        <v>1534</v>
      </c>
      <c r="E335" s="9">
        <v>2026</v>
      </c>
      <c r="F335" s="9" t="s">
        <v>3015</v>
      </c>
      <c r="G335" s="9">
        <v>62052000</v>
      </c>
      <c r="H335" s="9">
        <v>110</v>
      </c>
      <c r="I335" s="9">
        <v>1</v>
      </c>
      <c r="J335" s="9" t="s">
        <v>2558</v>
      </c>
      <c r="K335" s="9">
        <v>0</v>
      </c>
      <c r="L335" s="10">
        <v>11590</v>
      </c>
      <c r="M335" s="10">
        <v>11590</v>
      </c>
      <c r="N335" s="9">
        <v>0</v>
      </c>
      <c r="O335" s="9">
        <v>0</v>
      </c>
      <c r="P335" s="9">
        <v>0</v>
      </c>
      <c r="R335" s="10">
        <v>11590</v>
      </c>
      <c r="U335" s="9">
        <v>1</v>
      </c>
      <c r="V335" s="11">
        <v>46257</v>
      </c>
      <c r="W335" s="9">
        <v>260326210686920</v>
      </c>
      <c r="X335" s="9" t="s">
        <v>2559</v>
      </c>
      <c r="Y335" s="9" t="s">
        <v>2560</v>
      </c>
      <c r="Z335" s="9" t="s">
        <v>2918</v>
      </c>
      <c r="AA335" s="9" t="s">
        <v>2919</v>
      </c>
      <c r="AB335" s="9" t="s">
        <v>2570</v>
      </c>
      <c r="AC335" s="11">
        <v>46295</v>
      </c>
      <c r="AD335" s="9">
        <v>1880</v>
      </c>
      <c r="AF335" s="9">
        <v>10</v>
      </c>
      <c r="AG335" s="9" t="s">
        <v>2563</v>
      </c>
      <c r="AH335" s="9">
        <v>1900</v>
      </c>
      <c r="AL335" s="9">
        <v>2609164</v>
      </c>
      <c r="AM335" s="11">
        <v>46246</v>
      </c>
      <c r="AO335" s="9" t="s">
        <v>2571</v>
      </c>
      <c r="AP335" s="11">
        <v>46247</v>
      </c>
      <c r="AQ335" s="9" t="s">
        <v>2564</v>
      </c>
      <c r="AR335" s="9">
        <v>4</v>
      </c>
      <c r="AS335" s="9" t="s">
        <v>2999</v>
      </c>
      <c r="AT335" s="9">
        <v>1</v>
      </c>
      <c r="AU335" s="9" t="s">
        <v>2566</v>
      </c>
      <c r="AV335" s="9" t="s">
        <v>190</v>
      </c>
      <c r="AW335" s="9" t="s">
        <v>3016</v>
      </c>
      <c r="AX335" s="9">
        <v>2609164</v>
      </c>
      <c r="AY335" s="11">
        <v>46257</v>
      </c>
      <c r="AZ335" s="9">
        <v>306</v>
      </c>
      <c r="BA335" s="9">
        <v>303955</v>
      </c>
      <c r="BB335" s="11">
        <v>46247</v>
      </c>
      <c r="BC335" s="9">
        <v>1680</v>
      </c>
    </row>
    <row r="336" spans="1:55" x14ac:dyDescent="0.25">
      <c r="A336" s="9" t="s">
        <v>2916</v>
      </c>
      <c r="B336" s="9">
        <v>1880</v>
      </c>
      <c r="C336" s="9" t="s">
        <v>2557</v>
      </c>
      <c r="D336" s="9">
        <v>1535</v>
      </c>
      <c r="E336" s="9">
        <v>2026</v>
      </c>
      <c r="F336" s="9" t="s">
        <v>3017</v>
      </c>
      <c r="G336" s="9">
        <v>62052000</v>
      </c>
      <c r="H336" s="9">
        <v>2016</v>
      </c>
      <c r="I336" s="9">
        <v>1</v>
      </c>
      <c r="J336" s="9" t="s">
        <v>2558</v>
      </c>
      <c r="K336" s="9">
        <v>0</v>
      </c>
      <c r="L336" s="10">
        <v>32491.15</v>
      </c>
      <c r="M336" s="10">
        <v>32491.15</v>
      </c>
      <c r="N336" s="9">
        <v>0</v>
      </c>
      <c r="O336" s="9">
        <v>0</v>
      </c>
      <c r="P336" s="9">
        <v>0</v>
      </c>
      <c r="R336" s="10">
        <v>32491.15</v>
      </c>
      <c r="S336" s="11">
        <v>46279</v>
      </c>
      <c r="T336" s="10">
        <v>31791.97</v>
      </c>
      <c r="U336" s="9">
        <v>1</v>
      </c>
      <c r="V336" s="11">
        <v>46251</v>
      </c>
      <c r="W336" s="9">
        <v>260326210686920</v>
      </c>
      <c r="X336" s="9" t="s">
        <v>2559</v>
      </c>
      <c r="Y336" s="9" t="s">
        <v>2560</v>
      </c>
      <c r="Z336" s="9" t="s">
        <v>2918</v>
      </c>
      <c r="AA336" s="9" t="s">
        <v>2919</v>
      </c>
      <c r="AB336" s="9" t="s">
        <v>2570</v>
      </c>
      <c r="AC336" s="11">
        <v>46273</v>
      </c>
      <c r="AD336" s="9">
        <v>1880</v>
      </c>
      <c r="AE336" s="9" t="s">
        <v>2570</v>
      </c>
      <c r="AF336" s="9">
        <v>10</v>
      </c>
      <c r="AG336" s="9" t="s">
        <v>2563</v>
      </c>
      <c r="AH336" s="9">
        <v>4139</v>
      </c>
      <c r="AJ336" s="9" t="s">
        <v>2982</v>
      </c>
      <c r="AK336" s="11">
        <v>46278</v>
      </c>
      <c r="AL336" s="9">
        <v>2609165</v>
      </c>
      <c r="AM336" s="11">
        <v>46246</v>
      </c>
      <c r="AP336" s="11">
        <v>46247</v>
      </c>
      <c r="AQ336" s="9" t="s">
        <v>2564</v>
      </c>
      <c r="AR336" s="9">
        <v>4</v>
      </c>
      <c r="AS336" s="9" t="s">
        <v>2565</v>
      </c>
      <c r="AT336" s="9">
        <v>1</v>
      </c>
      <c r="AU336" s="9" t="s">
        <v>2566</v>
      </c>
      <c r="AV336" s="9" t="s">
        <v>183</v>
      </c>
      <c r="AW336" s="9" t="s">
        <v>3018</v>
      </c>
      <c r="AX336" s="9">
        <v>2609165</v>
      </c>
      <c r="AY336" s="11">
        <v>46251</v>
      </c>
      <c r="AZ336" s="9">
        <v>306</v>
      </c>
      <c r="BA336" s="9">
        <v>303677</v>
      </c>
      <c r="BB336" s="11">
        <v>46247</v>
      </c>
      <c r="BC336" s="9">
        <v>1680</v>
      </c>
    </row>
    <row r="337" spans="1:55" x14ac:dyDescent="0.25">
      <c r="A337" s="9" t="s">
        <v>2916</v>
      </c>
      <c r="B337" s="9">
        <v>1880</v>
      </c>
      <c r="C337" s="9" t="s">
        <v>2557</v>
      </c>
      <c r="D337" s="9">
        <v>1536</v>
      </c>
      <c r="E337" s="9">
        <v>2026</v>
      </c>
      <c r="F337" s="9" t="s">
        <v>3019</v>
      </c>
      <c r="G337" s="9">
        <v>62052000</v>
      </c>
      <c r="H337" s="9">
        <v>110</v>
      </c>
      <c r="I337" s="9">
        <v>1</v>
      </c>
      <c r="J337" s="9" t="s">
        <v>2558</v>
      </c>
      <c r="K337" s="9">
        <v>0</v>
      </c>
      <c r="L337" s="10">
        <v>9420</v>
      </c>
      <c r="M337" s="10">
        <v>9420</v>
      </c>
      <c r="N337" s="9">
        <v>0</v>
      </c>
      <c r="O337" s="9">
        <v>0</v>
      </c>
      <c r="P337" s="9">
        <v>0</v>
      </c>
      <c r="R337" s="10">
        <v>9420</v>
      </c>
      <c r="U337" s="9">
        <v>1</v>
      </c>
      <c r="V337" s="11">
        <v>46257</v>
      </c>
      <c r="W337" s="9">
        <v>260326210686920</v>
      </c>
      <c r="X337" s="9" t="s">
        <v>2559</v>
      </c>
      <c r="Y337" s="9" t="s">
        <v>2560</v>
      </c>
      <c r="Z337" s="9" t="s">
        <v>2918</v>
      </c>
      <c r="AA337" s="9" t="s">
        <v>2919</v>
      </c>
      <c r="AB337" s="9" t="s">
        <v>2570</v>
      </c>
      <c r="AC337" s="11">
        <v>46295</v>
      </c>
      <c r="AD337" s="9">
        <v>1880</v>
      </c>
      <c r="AF337" s="9">
        <v>10</v>
      </c>
      <c r="AG337" s="9" t="s">
        <v>2563</v>
      </c>
      <c r="AH337" s="9">
        <v>1200</v>
      </c>
      <c r="AL337" s="9">
        <v>2609166</v>
      </c>
      <c r="AM337" s="11">
        <v>46246</v>
      </c>
      <c r="AP337" s="11">
        <v>46247</v>
      </c>
      <c r="AQ337" s="9" t="s">
        <v>2564</v>
      </c>
      <c r="AR337" s="9">
        <v>4</v>
      </c>
      <c r="AS337" s="9" t="s">
        <v>2565</v>
      </c>
      <c r="AT337" s="9">
        <v>1</v>
      </c>
      <c r="AU337" s="9" t="s">
        <v>2566</v>
      </c>
      <c r="AV337" s="9" t="s">
        <v>190</v>
      </c>
      <c r="AW337" s="9" t="s">
        <v>3020</v>
      </c>
      <c r="AX337" s="9">
        <v>2609166</v>
      </c>
      <c r="AY337" s="11">
        <v>46257</v>
      </c>
      <c r="AZ337" s="9">
        <v>306</v>
      </c>
      <c r="BA337" s="9">
        <v>303958</v>
      </c>
      <c r="BB337" s="11">
        <v>46247</v>
      </c>
      <c r="BC337" s="9">
        <v>1680</v>
      </c>
    </row>
    <row r="338" spans="1:55" x14ac:dyDescent="0.25">
      <c r="A338" s="9" t="s">
        <v>2916</v>
      </c>
      <c r="B338" s="9">
        <v>1880</v>
      </c>
      <c r="C338" s="9" t="s">
        <v>2557</v>
      </c>
      <c r="D338" s="9">
        <v>1537</v>
      </c>
      <c r="E338" s="9">
        <v>2026</v>
      </c>
      <c r="F338" s="9" t="s">
        <v>3021</v>
      </c>
      <c r="G338" s="9">
        <v>62082100</v>
      </c>
      <c r="H338" s="9">
        <v>2016</v>
      </c>
      <c r="I338" s="9">
        <v>1</v>
      </c>
      <c r="J338" s="9" t="s">
        <v>2558</v>
      </c>
      <c r="K338" s="9">
        <v>0</v>
      </c>
      <c r="L338" s="10">
        <v>22166.3</v>
      </c>
      <c r="M338" s="10">
        <v>22166.3</v>
      </c>
      <c r="N338" s="9">
        <v>0</v>
      </c>
      <c r="O338" s="9">
        <v>0</v>
      </c>
      <c r="P338" s="9">
        <v>0</v>
      </c>
      <c r="R338" s="10">
        <v>22166.3</v>
      </c>
      <c r="S338" s="11">
        <v>46279</v>
      </c>
      <c r="T338" s="10">
        <v>21689.3</v>
      </c>
      <c r="U338" s="9">
        <v>1</v>
      </c>
      <c r="V338" s="11">
        <v>46251</v>
      </c>
      <c r="W338" s="9">
        <v>260326210686920</v>
      </c>
      <c r="X338" s="9" t="s">
        <v>2559</v>
      </c>
      <c r="Y338" s="9" t="s">
        <v>2560</v>
      </c>
      <c r="Z338" s="9" t="s">
        <v>2918</v>
      </c>
      <c r="AA338" s="9" t="s">
        <v>2919</v>
      </c>
      <c r="AB338" s="9" t="s">
        <v>2570</v>
      </c>
      <c r="AC338" s="11">
        <v>46273</v>
      </c>
      <c r="AD338" s="9">
        <v>1880</v>
      </c>
      <c r="AE338" s="9" t="s">
        <v>2570</v>
      </c>
      <c r="AF338" s="9">
        <v>10</v>
      </c>
      <c r="AG338" s="9" t="s">
        <v>2563</v>
      </c>
      <c r="AH338" s="9">
        <v>7514</v>
      </c>
      <c r="AJ338" s="9" t="s">
        <v>2982</v>
      </c>
      <c r="AK338" s="11">
        <v>46278</v>
      </c>
      <c r="AL338" s="9">
        <v>2609167</v>
      </c>
      <c r="AM338" s="11">
        <v>46247</v>
      </c>
      <c r="AP338" s="11">
        <v>46247</v>
      </c>
      <c r="AQ338" s="9" t="s">
        <v>2564</v>
      </c>
      <c r="AR338" s="9">
        <v>4</v>
      </c>
      <c r="AS338" s="9" t="s">
        <v>2565</v>
      </c>
      <c r="AT338" s="9">
        <v>1</v>
      </c>
      <c r="AU338" s="9" t="s">
        <v>2566</v>
      </c>
      <c r="AV338" s="9" t="s">
        <v>183</v>
      </c>
      <c r="AW338" s="9" t="s">
        <v>3022</v>
      </c>
      <c r="AX338" s="9">
        <v>2609167</v>
      </c>
      <c r="AY338" s="11">
        <v>46251</v>
      </c>
      <c r="AZ338" s="9">
        <v>306</v>
      </c>
      <c r="BA338" s="9">
        <v>303656</v>
      </c>
      <c r="BB338" s="11">
        <v>46247</v>
      </c>
      <c r="BC338" s="9">
        <v>1680</v>
      </c>
    </row>
    <row r="339" spans="1:55" x14ac:dyDescent="0.25">
      <c r="A339" s="9" t="s">
        <v>2916</v>
      </c>
      <c r="B339" s="9">
        <v>1880</v>
      </c>
      <c r="C339" s="9" t="s">
        <v>2557</v>
      </c>
      <c r="D339" s="9">
        <v>1538</v>
      </c>
      <c r="E339" s="9">
        <v>2026</v>
      </c>
      <c r="F339" s="9" t="s">
        <v>3023</v>
      </c>
      <c r="G339" s="9">
        <v>62052000</v>
      </c>
      <c r="H339" s="9">
        <v>2016</v>
      </c>
      <c r="I339" s="9">
        <v>1</v>
      </c>
      <c r="J339" s="9" t="s">
        <v>2558</v>
      </c>
      <c r="K339" s="9">
        <v>0</v>
      </c>
      <c r="L339" s="10">
        <v>24920.55</v>
      </c>
      <c r="M339" s="10">
        <v>24920.55</v>
      </c>
      <c r="N339" s="9">
        <v>0</v>
      </c>
      <c r="O339" s="9">
        <v>0</v>
      </c>
      <c r="P339" s="9">
        <v>0</v>
      </c>
      <c r="R339" s="10">
        <v>24920.55</v>
      </c>
      <c r="S339" s="11">
        <v>46286</v>
      </c>
      <c r="T339" s="10">
        <v>24451.13</v>
      </c>
      <c r="U339" s="9">
        <v>1</v>
      </c>
      <c r="V339" s="11">
        <v>46251</v>
      </c>
      <c r="W339" s="9">
        <v>260326210686920</v>
      </c>
      <c r="X339" s="9" t="s">
        <v>2559</v>
      </c>
      <c r="Y339" s="9" t="s">
        <v>2560</v>
      </c>
      <c r="Z339" s="9" t="s">
        <v>2918</v>
      </c>
      <c r="AA339" s="9" t="s">
        <v>2919</v>
      </c>
      <c r="AB339" s="9" t="s">
        <v>2570</v>
      </c>
      <c r="AC339" s="11">
        <v>46284</v>
      </c>
      <c r="AD339" s="9">
        <v>1880</v>
      </c>
      <c r="AE339" s="9" t="s">
        <v>2570</v>
      </c>
      <c r="AF339" s="9">
        <v>10</v>
      </c>
      <c r="AG339" s="9" t="s">
        <v>2563</v>
      </c>
      <c r="AH339" s="9">
        <v>6309</v>
      </c>
      <c r="AJ339" s="9" t="s">
        <v>2985</v>
      </c>
      <c r="AK339" s="11">
        <v>46285</v>
      </c>
      <c r="AL339" s="9">
        <v>2609168</v>
      </c>
      <c r="AM339" s="11">
        <v>46247</v>
      </c>
      <c r="AP339" s="11">
        <v>46247</v>
      </c>
      <c r="AQ339" s="9" t="s">
        <v>2564</v>
      </c>
      <c r="AR339" s="9">
        <v>4</v>
      </c>
      <c r="AS339" s="9" t="s">
        <v>2565</v>
      </c>
      <c r="AT339" s="9">
        <v>1</v>
      </c>
      <c r="AU339" s="9" t="s">
        <v>2566</v>
      </c>
      <c r="AV339" s="9" t="s">
        <v>183</v>
      </c>
      <c r="AW339" s="9" t="s">
        <v>3024</v>
      </c>
      <c r="AX339" s="9">
        <v>2609168</v>
      </c>
      <c r="AY339" s="11">
        <v>46251</v>
      </c>
      <c r="AZ339" s="9">
        <v>306</v>
      </c>
      <c r="BA339" s="9">
        <v>303642</v>
      </c>
      <c r="BB339" s="11">
        <v>46247</v>
      </c>
      <c r="BC339" s="9">
        <v>1680</v>
      </c>
    </row>
    <row r="340" spans="1:55" x14ac:dyDescent="0.25">
      <c r="A340" s="9" t="s">
        <v>2916</v>
      </c>
      <c r="B340" s="9">
        <v>1880</v>
      </c>
      <c r="C340" s="9" t="s">
        <v>2557</v>
      </c>
      <c r="D340" s="9">
        <v>1539</v>
      </c>
      <c r="E340" s="9">
        <v>2026</v>
      </c>
      <c r="F340" s="9" t="s">
        <v>3025</v>
      </c>
      <c r="G340" s="9">
        <v>62052000</v>
      </c>
      <c r="H340" s="9">
        <v>2016</v>
      </c>
      <c r="I340" s="9">
        <v>1</v>
      </c>
      <c r="J340" s="9" t="s">
        <v>2558</v>
      </c>
      <c r="K340" s="9">
        <v>0</v>
      </c>
      <c r="L340" s="10">
        <v>31690.45</v>
      </c>
      <c r="M340" s="10">
        <v>31690.45</v>
      </c>
      <c r="N340" s="9">
        <v>0</v>
      </c>
      <c r="O340" s="9">
        <v>0</v>
      </c>
      <c r="P340" s="9">
        <v>0</v>
      </c>
      <c r="R340" s="10">
        <v>31690.45</v>
      </c>
      <c r="S340" s="11">
        <v>46286</v>
      </c>
      <c r="T340" s="10">
        <v>31093.51</v>
      </c>
      <c r="U340" s="9">
        <v>1</v>
      </c>
      <c r="V340" s="11">
        <v>46251</v>
      </c>
      <c r="W340" s="9">
        <v>260326210686920</v>
      </c>
      <c r="X340" s="9" t="s">
        <v>2559</v>
      </c>
      <c r="Y340" s="9" t="s">
        <v>2560</v>
      </c>
      <c r="Z340" s="9" t="s">
        <v>2918</v>
      </c>
      <c r="AA340" s="9" t="s">
        <v>2919</v>
      </c>
      <c r="AB340" s="9" t="s">
        <v>2570</v>
      </c>
      <c r="AC340" s="11">
        <v>46284</v>
      </c>
      <c r="AD340" s="9">
        <v>1880</v>
      </c>
      <c r="AE340" s="9" t="s">
        <v>2570</v>
      </c>
      <c r="AF340" s="9">
        <v>10</v>
      </c>
      <c r="AG340" s="9" t="s">
        <v>2563</v>
      </c>
      <c r="AH340" s="9">
        <v>4037</v>
      </c>
      <c r="AJ340" s="9" t="s">
        <v>2985</v>
      </c>
      <c r="AK340" s="11">
        <v>46285</v>
      </c>
      <c r="AL340" s="9">
        <v>2609169</v>
      </c>
      <c r="AM340" s="11">
        <v>46247</v>
      </c>
      <c r="AP340" s="11">
        <v>46247</v>
      </c>
      <c r="AQ340" s="9" t="s">
        <v>2564</v>
      </c>
      <c r="AR340" s="9">
        <v>4</v>
      </c>
      <c r="AS340" s="9" t="s">
        <v>2565</v>
      </c>
      <c r="AT340" s="9">
        <v>1</v>
      </c>
      <c r="AU340" s="9" t="s">
        <v>2566</v>
      </c>
      <c r="AV340" s="9" t="s">
        <v>183</v>
      </c>
      <c r="AW340" s="9" t="s">
        <v>3026</v>
      </c>
      <c r="AX340" s="9">
        <v>2609169</v>
      </c>
      <c r="AY340" s="11">
        <v>46251</v>
      </c>
      <c r="AZ340" s="9">
        <v>306</v>
      </c>
      <c r="BA340" s="9">
        <v>303638</v>
      </c>
      <c r="BB340" s="11">
        <v>46247</v>
      </c>
      <c r="BC340" s="9">
        <v>1680</v>
      </c>
    </row>
    <row r="341" spans="1:55" ht="45" x14ac:dyDescent="0.25">
      <c r="A341" s="9" t="s">
        <v>2916</v>
      </c>
      <c r="B341" s="9">
        <v>1880</v>
      </c>
      <c r="C341" s="9" t="s">
        <v>2557</v>
      </c>
      <c r="D341" s="9">
        <v>1631</v>
      </c>
      <c r="E341" s="9">
        <v>2026</v>
      </c>
      <c r="F341" s="9" t="s">
        <v>3027</v>
      </c>
      <c r="G341" s="9">
        <v>62052000</v>
      </c>
      <c r="H341" s="9">
        <v>2016</v>
      </c>
      <c r="I341" s="9">
        <v>86</v>
      </c>
      <c r="J341" s="9" t="s">
        <v>2574</v>
      </c>
      <c r="L341" s="10">
        <v>94747.33</v>
      </c>
      <c r="M341" s="10">
        <v>94747.33</v>
      </c>
      <c r="N341" s="9">
        <v>0</v>
      </c>
      <c r="O341" s="9">
        <v>0</v>
      </c>
      <c r="P341" s="9">
        <v>0</v>
      </c>
      <c r="R341" s="10">
        <v>94747.33</v>
      </c>
      <c r="U341" s="9">
        <v>1</v>
      </c>
      <c r="V341" s="11">
        <v>46271</v>
      </c>
      <c r="W341" s="9">
        <v>260326210686920</v>
      </c>
      <c r="X341" s="9" t="s">
        <v>2559</v>
      </c>
      <c r="Y341" s="9" t="s">
        <v>2560</v>
      </c>
      <c r="Z341" s="9" t="s">
        <v>2922</v>
      </c>
      <c r="AA341" s="12" t="s">
        <v>2938</v>
      </c>
      <c r="AB341" s="9" t="s">
        <v>2570</v>
      </c>
      <c r="AC341" s="11">
        <v>46284</v>
      </c>
      <c r="AD341" s="9">
        <v>1880</v>
      </c>
      <c r="AF341" s="9">
        <v>10</v>
      </c>
      <c r="AG341" s="9" t="s">
        <v>2563</v>
      </c>
      <c r="AH341" s="9">
        <v>18773</v>
      </c>
      <c r="AL341" s="9">
        <v>2609740</v>
      </c>
      <c r="AM341" s="11">
        <v>46259</v>
      </c>
      <c r="AP341" s="11">
        <v>46259</v>
      </c>
      <c r="AQ341" s="9" t="s">
        <v>2564</v>
      </c>
      <c r="AR341" s="9">
        <v>4</v>
      </c>
      <c r="AT341" s="9">
        <v>6</v>
      </c>
      <c r="AU341" s="9" t="s">
        <v>2566</v>
      </c>
      <c r="AW341" s="9" t="s">
        <v>3028</v>
      </c>
      <c r="AY341" s="11">
        <v>46271</v>
      </c>
      <c r="AZ341" s="9">
        <v>306</v>
      </c>
      <c r="BA341" s="9">
        <v>362911</v>
      </c>
      <c r="BB341" s="11">
        <v>46259</v>
      </c>
      <c r="BC341" s="9">
        <v>1680</v>
      </c>
    </row>
    <row r="342" spans="1:55" x14ac:dyDescent="0.25">
      <c r="A342" s="9" t="s">
        <v>2916</v>
      </c>
      <c r="B342" s="9">
        <v>1880</v>
      </c>
      <c r="C342" s="9" t="s">
        <v>2557</v>
      </c>
      <c r="D342" s="9">
        <v>1495</v>
      </c>
      <c r="E342" s="9">
        <v>2026</v>
      </c>
      <c r="F342" s="9" t="s">
        <v>3029</v>
      </c>
      <c r="G342" s="9">
        <v>62052000</v>
      </c>
      <c r="H342" s="9">
        <v>110</v>
      </c>
      <c r="I342" s="9">
        <v>1</v>
      </c>
      <c r="J342" s="9" t="s">
        <v>2558</v>
      </c>
      <c r="L342" s="10">
        <v>6710</v>
      </c>
      <c r="M342" s="10">
        <v>6710</v>
      </c>
      <c r="N342" s="9">
        <v>0</v>
      </c>
      <c r="O342" s="9">
        <v>0</v>
      </c>
      <c r="P342" s="9">
        <v>0</v>
      </c>
      <c r="R342" s="10">
        <v>6710</v>
      </c>
      <c r="S342" s="11">
        <v>46279</v>
      </c>
      <c r="T342" s="10">
        <v>6565.61</v>
      </c>
      <c r="U342" s="9">
        <v>1</v>
      </c>
      <c r="V342" s="11">
        <v>46251</v>
      </c>
      <c r="W342" s="9">
        <v>260326210686920</v>
      </c>
      <c r="X342" s="9" t="s">
        <v>2559</v>
      </c>
      <c r="Y342" s="9" t="s">
        <v>2560</v>
      </c>
      <c r="Z342" s="9" t="s">
        <v>2918</v>
      </c>
      <c r="AA342" s="9" t="s">
        <v>2919</v>
      </c>
      <c r="AB342" s="9" t="s">
        <v>2570</v>
      </c>
      <c r="AC342" s="11">
        <v>46273</v>
      </c>
      <c r="AD342" s="9">
        <v>1880</v>
      </c>
      <c r="AE342" s="9" t="s">
        <v>2570</v>
      </c>
      <c r="AF342" s="9">
        <v>10</v>
      </c>
      <c r="AG342" s="9" t="s">
        <v>2563</v>
      </c>
      <c r="AH342" s="9">
        <v>1100</v>
      </c>
      <c r="AJ342" s="9" t="s">
        <v>2982</v>
      </c>
      <c r="AK342" s="11">
        <v>46278</v>
      </c>
      <c r="AL342" s="9">
        <v>2609040</v>
      </c>
      <c r="AM342" s="11">
        <v>46242</v>
      </c>
      <c r="AO342" s="9" t="s">
        <v>2577</v>
      </c>
      <c r="AP342" s="11">
        <v>46243</v>
      </c>
      <c r="AQ342" s="9" t="s">
        <v>2564</v>
      </c>
      <c r="AR342" s="9">
        <v>4</v>
      </c>
      <c r="AT342" s="9">
        <v>1</v>
      </c>
      <c r="AU342" s="9" t="s">
        <v>2566</v>
      </c>
      <c r="AW342" s="9" t="s">
        <v>3030</v>
      </c>
      <c r="AY342" s="11">
        <v>46251</v>
      </c>
      <c r="AZ342" s="9">
        <v>306</v>
      </c>
      <c r="BA342" s="9">
        <v>282874</v>
      </c>
      <c r="BB342" s="11">
        <v>46243</v>
      </c>
      <c r="BC342" s="9">
        <v>1680</v>
      </c>
    </row>
    <row r="343" spans="1:55" x14ac:dyDescent="0.25">
      <c r="A343" s="9" t="s">
        <v>2916</v>
      </c>
      <c r="B343" s="9">
        <v>1880</v>
      </c>
      <c r="C343" s="9" t="s">
        <v>2557</v>
      </c>
      <c r="D343" s="9">
        <v>1461</v>
      </c>
      <c r="E343" s="9">
        <v>2026</v>
      </c>
      <c r="F343" s="9" t="s">
        <v>3031</v>
      </c>
      <c r="G343" s="9">
        <v>62052000</v>
      </c>
      <c r="H343" s="9">
        <v>2016</v>
      </c>
      <c r="I343" s="9">
        <v>1</v>
      </c>
      <c r="J343" s="9" t="s">
        <v>2558</v>
      </c>
      <c r="L343" s="10">
        <v>4561.75</v>
      </c>
      <c r="M343" s="10">
        <v>4561.75</v>
      </c>
      <c r="N343" s="9">
        <v>0</v>
      </c>
      <c r="O343" s="9">
        <v>0</v>
      </c>
      <c r="P343" s="9">
        <v>0</v>
      </c>
      <c r="R343" s="10">
        <v>4561.75</v>
      </c>
      <c r="S343" s="11">
        <v>46279</v>
      </c>
      <c r="T343" s="10">
        <v>4463.59</v>
      </c>
      <c r="U343" s="9">
        <v>1</v>
      </c>
      <c r="V343" s="11">
        <v>46246</v>
      </c>
      <c r="W343" s="9">
        <v>260326210686920</v>
      </c>
      <c r="X343" s="9" t="s">
        <v>2559</v>
      </c>
      <c r="Y343" s="9" t="s">
        <v>2560</v>
      </c>
      <c r="Z343" s="9" t="s">
        <v>2918</v>
      </c>
      <c r="AA343" s="9" t="s">
        <v>2919</v>
      </c>
      <c r="AB343" s="9" t="s">
        <v>2570</v>
      </c>
      <c r="AC343" s="11">
        <v>46273</v>
      </c>
      <c r="AD343" s="9">
        <v>1880</v>
      </c>
      <c r="AE343" s="9" t="s">
        <v>2570</v>
      </c>
      <c r="AF343" s="9">
        <v>10</v>
      </c>
      <c r="AG343" s="9" t="s">
        <v>2563</v>
      </c>
      <c r="AH343" s="9">
        <v>1285</v>
      </c>
      <c r="AJ343" s="9" t="s">
        <v>2982</v>
      </c>
      <c r="AK343" s="11">
        <v>46278</v>
      </c>
      <c r="AL343" s="9">
        <v>2608945</v>
      </c>
      <c r="AM343" s="11">
        <v>46237</v>
      </c>
      <c r="AP343" s="11">
        <v>46238</v>
      </c>
      <c r="AQ343" s="9" t="s">
        <v>2564</v>
      </c>
      <c r="AR343" s="9">
        <v>4</v>
      </c>
      <c r="AT343" s="9">
        <v>1</v>
      </c>
      <c r="AU343" s="9" t="s">
        <v>2566</v>
      </c>
      <c r="AW343" s="9" t="s">
        <v>3032</v>
      </c>
      <c r="AY343" s="11">
        <v>46246</v>
      </c>
      <c r="AZ343" s="9">
        <v>306</v>
      </c>
      <c r="BA343" s="9">
        <v>261144</v>
      </c>
      <c r="BB343" s="11">
        <v>46238</v>
      </c>
      <c r="BC343" s="9">
        <v>1680</v>
      </c>
    </row>
    <row r="344" spans="1:55" x14ac:dyDescent="0.25">
      <c r="A344" s="9" t="s">
        <v>2916</v>
      </c>
      <c r="B344" s="9">
        <v>1880</v>
      </c>
      <c r="C344" s="9" t="s">
        <v>2557</v>
      </c>
      <c r="D344" s="9">
        <v>1605</v>
      </c>
      <c r="E344" s="9">
        <v>2026</v>
      </c>
      <c r="F344" s="9" t="s">
        <v>3033</v>
      </c>
      <c r="G344" s="9">
        <v>62072100</v>
      </c>
      <c r="H344" s="9">
        <v>2016</v>
      </c>
      <c r="I344" s="9">
        <v>1</v>
      </c>
      <c r="J344" s="9" t="s">
        <v>2558</v>
      </c>
      <c r="L344" s="10">
        <v>2469.6</v>
      </c>
      <c r="M344" s="10">
        <v>2646</v>
      </c>
      <c r="N344" s="9">
        <v>0</v>
      </c>
      <c r="O344" s="9">
        <v>0</v>
      </c>
      <c r="P344" s="9">
        <v>0</v>
      </c>
      <c r="R344" s="10">
        <v>2646</v>
      </c>
      <c r="S344" s="11">
        <v>46287</v>
      </c>
      <c r="T344" s="10">
        <v>2580.73</v>
      </c>
      <c r="U344" s="9">
        <v>1</v>
      </c>
      <c r="V344" s="11">
        <v>46262</v>
      </c>
      <c r="W344" s="9">
        <v>260326210686920</v>
      </c>
      <c r="X344" s="9" t="s">
        <v>2559</v>
      </c>
      <c r="Y344" s="9" t="s">
        <v>2560</v>
      </c>
      <c r="Z344" s="9" t="s">
        <v>2918</v>
      </c>
      <c r="AA344" s="9" t="s">
        <v>2919</v>
      </c>
      <c r="AB344" s="9" t="s">
        <v>2570</v>
      </c>
      <c r="AC344" s="11">
        <v>46272</v>
      </c>
      <c r="AD344" s="9">
        <v>1880</v>
      </c>
      <c r="AE344" s="9" t="s">
        <v>2570</v>
      </c>
      <c r="AF344" s="9">
        <v>10</v>
      </c>
      <c r="AG344" s="9" t="s">
        <v>2563</v>
      </c>
      <c r="AH344" s="9">
        <v>840</v>
      </c>
      <c r="AJ344" s="9" t="s">
        <v>2928</v>
      </c>
      <c r="AK344" s="11">
        <v>46286</v>
      </c>
      <c r="AL344" s="9">
        <v>2609475</v>
      </c>
      <c r="AM344" s="11">
        <v>46254</v>
      </c>
      <c r="AO344" s="9" t="s">
        <v>2592</v>
      </c>
      <c r="AP344" s="11">
        <v>46254</v>
      </c>
      <c r="AQ344" s="9" t="s">
        <v>2564</v>
      </c>
      <c r="AR344" s="9">
        <v>4</v>
      </c>
      <c r="AS344" s="9" t="s">
        <v>2632</v>
      </c>
      <c r="AT344" s="9">
        <v>1</v>
      </c>
      <c r="AU344" s="9" t="s">
        <v>2566</v>
      </c>
      <c r="AW344" s="9" t="s">
        <v>3034</v>
      </c>
      <c r="AY344" s="11">
        <v>46262</v>
      </c>
      <c r="AZ344" s="9">
        <v>306</v>
      </c>
      <c r="BA344" s="9">
        <v>338288</v>
      </c>
      <c r="BB344" s="11">
        <v>46254</v>
      </c>
      <c r="BC344" s="9">
        <v>1680</v>
      </c>
    </row>
    <row r="345" spans="1:55" x14ac:dyDescent="0.25">
      <c r="A345" s="9" t="s">
        <v>2916</v>
      </c>
      <c r="B345" s="9">
        <v>1880</v>
      </c>
      <c r="C345" s="9" t="s">
        <v>2557</v>
      </c>
      <c r="D345" s="9">
        <v>1618</v>
      </c>
      <c r="E345" s="9">
        <v>2026</v>
      </c>
      <c r="F345" s="9" t="s">
        <v>3035</v>
      </c>
      <c r="G345" s="9">
        <v>62072100</v>
      </c>
      <c r="H345" s="9">
        <v>2016</v>
      </c>
      <c r="I345" s="9">
        <v>1</v>
      </c>
      <c r="J345" s="9" t="s">
        <v>2558</v>
      </c>
      <c r="L345" s="10">
        <v>2724.4</v>
      </c>
      <c r="M345" s="10">
        <v>2724.4</v>
      </c>
      <c r="N345" s="9">
        <v>0</v>
      </c>
      <c r="O345" s="9">
        <v>0</v>
      </c>
      <c r="P345" s="9">
        <v>0</v>
      </c>
      <c r="R345" s="10">
        <v>2724.4</v>
      </c>
      <c r="S345" s="11">
        <v>46287</v>
      </c>
      <c r="T345" s="10">
        <v>2657.2</v>
      </c>
      <c r="U345" s="9">
        <v>1</v>
      </c>
      <c r="V345" s="11">
        <v>46268</v>
      </c>
      <c r="W345" s="9">
        <v>260326210686920</v>
      </c>
      <c r="X345" s="9" t="s">
        <v>2559</v>
      </c>
      <c r="Y345" s="9" t="s">
        <v>2560</v>
      </c>
      <c r="Z345" s="9" t="s">
        <v>2918</v>
      </c>
      <c r="AA345" s="9" t="s">
        <v>2919</v>
      </c>
      <c r="AB345" s="9" t="s">
        <v>2570</v>
      </c>
      <c r="AC345" s="11">
        <v>46273</v>
      </c>
      <c r="AD345" s="9">
        <v>1880</v>
      </c>
      <c r="AE345" s="9" t="s">
        <v>2570</v>
      </c>
      <c r="AF345" s="9">
        <v>10</v>
      </c>
      <c r="AG345" s="9" t="s">
        <v>2563</v>
      </c>
      <c r="AH345" s="9">
        <v>784</v>
      </c>
      <c r="AJ345" s="9" t="s">
        <v>2928</v>
      </c>
      <c r="AK345" s="11">
        <v>46286</v>
      </c>
      <c r="AL345" s="9">
        <v>2609633</v>
      </c>
      <c r="AM345" s="11">
        <v>46255</v>
      </c>
      <c r="AO345" s="9" t="s">
        <v>2614</v>
      </c>
      <c r="AP345" s="11">
        <v>46255</v>
      </c>
      <c r="AQ345" s="9" t="s">
        <v>2564</v>
      </c>
      <c r="AR345" s="9">
        <v>4</v>
      </c>
      <c r="AS345" s="9" t="s">
        <v>2947</v>
      </c>
      <c r="AT345" s="9">
        <v>1</v>
      </c>
      <c r="AU345" s="9" t="s">
        <v>2566</v>
      </c>
      <c r="AW345" s="9" t="s">
        <v>3036</v>
      </c>
      <c r="AY345" s="11">
        <v>46268</v>
      </c>
      <c r="AZ345" s="9">
        <v>306</v>
      </c>
      <c r="BA345" s="9">
        <v>348811</v>
      </c>
      <c r="BB345" s="11">
        <v>46256</v>
      </c>
      <c r="BC345" s="9">
        <v>1680</v>
      </c>
    </row>
    <row r="346" spans="1:55" x14ac:dyDescent="0.25">
      <c r="A346" s="9" t="s">
        <v>2916</v>
      </c>
      <c r="B346" s="9">
        <v>1880</v>
      </c>
      <c r="C346" s="9" t="s">
        <v>2557</v>
      </c>
      <c r="D346" s="9">
        <v>1592</v>
      </c>
      <c r="E346" s="9">
        <v>2026</v>
      </c>
      <c r="F346" s="9" t="s">
        <v>3037</v>
      </c>
      <c r="G346" s="9">
        <v>62063000</v>
      </c>
      <c r="H346" s="9">
        <v>2016</v>
      </c>
      <c r="I346" s="9">
        <v>1</v>
      </c>
      <c r="J346" s="9" t="s">
        <v>2558</v>
      </c>
      <c r="L346" s="10">
        <v>3679.2</v>
      </c>
      <c r="M346" s="10">
        <v>3679.2</v>
      </c>
      <c r="N346" s="9">
        <v>0</v>
      </c>
      <c r="O346" s="9">
        <v>0</v>
      </c>
      <c r="P346" s="9">
        <v>0</v>
      </c>
      <c r="R346" s="10">
        <v>3679.2</v>
      </c>
      <c r="U346" s="9">
        <v>1</v>
      </c>
      <c r="V346" s="11">
        <v>46262</v>
      </c>
      <c r="W346" s="9">
        <v>260326210686920</v>
      </c>
      <c r="X346" s="9" t="s">
        <v>2559</v>
      </c>
      <c r="Y346" s="9" t="s">
        <v>2560</v>
      </c>
      <c r="Z346" s="9" t="s">
        <v>2918</v>
      </c>
      <c r="AA346" s="9" t="s">
        <v>2919</v>
      </c>
      <c r="AB346" s="9" t="s">
        <v>2570</v>
      </c>
      <c r="AC346" s="11">
        <v>46272</v>
      </c>
      <c r="AD346" s="9">
        <v>1880</v>
      </c>
      <c r="AF346" s="9">
        <v>10</v>
      </c>
      <c r="AG346" s="9" t="s">
        <v>2563</v>
      </c>
      <c r="AH346" s="9">
        <v>840</v>
      </c>
      <c r="AL346" s="9">
        <v>2609463</v>
      </c>
      <c r="AM346" s="11">
        <v>46253</v>
      </c>
      <c r="AO346" s="9" t="s">
        <v>2571</v>
      </c>
      <c r="AP346" s="11">
        <v>46253</v>
      </c>
      <c r="AQ346" s="9" t="s">
        <v>2564</v>
      </c>
      <c r="AR346" s="9">
        <v>4</v>
      </c>
      <c r="AS346" s="9" t="s">
        <v>2632</v>
      </c>
      <c r="AT346" s="9">
        <v>1</v>
      </c>
      <c r="AU346" s="9" t="s">
        <v>2566</v>
      </c>
      <c r="AW346" s="9" t="s">
        <v>3038</v>
      </c>
      <c r="AY346" s="11">
        <v>46262</v>
      </c>
      <c r="AZ346" s="9">
        <v>306</v>
      </c>
      <c r="BA346" s="9">
        <v>338295</v>
      </c>
      <c r="BB346" s="11">
        <v>46254</v>
      </c>
      <c r="BC346" s="9">
        <v>1680</v>
      </c>
    </row>
    <row r="347" spans="1:55" x14ac:dyDescent="0.25">
      <c r="A347" s="9" t="s">
        <v>2916</v>
      </c>
      <c r="B347" s="9">
        <v>1880</v>
      </c>
      <c r="C347" s="9" t="s">
        <v>2557</v>
      </c>
      <c r="D347" s="9">
        <v>1614</v>
      </c>
      <c r="E347" s="9">
        <v>2026</v>
      </c>
      <c r="F347" s="9" t="s">
        <v>3039</v>
      </c>
      <c r="G347" s="9">
        <v>62072100</v>
      </c>
      <c r="H347" s="9">
        <v>2016</v>
      </c>
      <c r="I347" s="9">
        <v>1</v>
      </c>
      <c r="J347" s="9" t="s">
        <v>2558</v>
      </c>
      <c r="L347" s="10">
        <v>4421.5</v>
      </c>
      <c r="M347" s="10">
        <v>4421.5</v>
      </c>
      <c r="N347" s="9">
        <v>0</v>
      </c>
      <c r="O347" s="9">
        <v>0</v>
      </c>
      <c r="P347" s="9">
        <v>0</v>
      </c>
      <c r="R347" s="10">
        <v>4421.5</v>
      </c>
      <c r="S347" s="11">
        <v>46287</v>
      </c>
      <c r="T347" s="10">
        <v>4312.4399999999996</v>
      </c>
      <c r="U347" s="9">
        <v>1</v>
      </c>
      <c r="V347" s="11">
        <v>46268</v>
      </c>
      <c r="W347" s="9">
        <v>260326210686920</v>
      </c>
      <c r="X347" s="9" t="s">
        <v>2559</v>
      </c>
      <c r="Y347" s="9" t="s">
        <v>2560</v>
      </c>
      <c r="Z347" s="9" t="s">
        <v>2918</v>
      </c>
      <c r="AA347" s="9" t="s">
        <v>2919</v>
      </c>
      <c r="AB347" s="9" t="s">
        <v>2570</v>
      </c>
      <c r="AC347" s="11">
        <v>46273</v>
      </c>
      <c r="AD347" s="9">
        <v>1880</v>
      </c>
      <c r="AE347" s="9" t="s">
        <v>2570</v>
      </c>
      <c r="AF347" s="9">
        <v>10</v>
      </c>
      <c r="AG347" s="9" t="s">
        <v>2563</v>
      </c>
      <c r="AH347" s="9">
        <v>1398</v>
      </c>
      <c r="AJ347" s="9" t="s">
        <v>2928</v>
      </c>
      <c r="AK347" s="11">
        <v>46286</v>
      </c>
      <c r="AL347" s="9">
        <v>2609615</v>
      </c>
      <c r="AM347" s="11">
        <v>46255</v>
      </c>
      <c r="AO347" s="9" t="s">
        <v>2571</v>
      </c>
      <c r="AP347" s="11">
        <v>46255</v>
      </c>
      <c r="AQ347" s="9" t="s">
        <v>2564</v>
      </c>
      <c r="AR347" s="9">
        <v>4</v>
      </c>
      <c r="AS347" s="9" t="s">
        <v>2947</v>
      </c>
      <c r="AT347" s="9">
        <v>1</v>
      </c>
      <c r="AU347" s="9" t="s">
        <v>2566</v>
      </c>
      <c r="AW347" s="9" t="s">
        <v>3040</v>
      </c>
      <c r="AY347" s="11">
        <v>46268</v>
      </c>
      <c r="AZ347" s="9">
        <v>306</v>
      </c>
      <c r="BA347" s="9">
        <v>347871</v>
      </c>
      <c r="BB347" s="11">
        <v>46256</v>
      </c>
      <c r="BC347" s="9">
        <v>1680</v>
      </c>
    </row>
    <row r="348" spans="1:55" x14ac:dyDescent="0.25">
      <c r="A348" s="9" t="s">
        <v>2916</v>
      </c>
      <c r="B348" s="9">
        <v>1880</v>
      </c>
      <c r="C348" s="9" t="s">
        <v>2557</v>
      </c>
      <c r="D348" s="9">
        <v>1599</v>
      </c>
      <c r="E348" s="9">
        <v>2026</v>
      </c>
      <c r="F348" s="9" t="s">
        <v>3041</v>
      </c>
      <c r="G348" s="9">
        <v>62072100</v>
      </c>
      <c r="H348" s="9">
        <v>2016</v>
      </c>
      <c r="I348" s="9">
        <v>1</v>
      </c>
      <c r="J348" s="9" t="s">
        <v>2558</v>
      </c>
      <c r="L348" s="10">
        <v>6312.6</v>
      </c>
      <c r="M348" s="10">
        <v>6312.6</v>
      </c>
      <c r="N348" s="9">
        <v>0</v>
      </c>
      <c r="O348" s="9">
        <v>0</v>
      </c>
      <c r="P348" s="9">
        <v>0</v>
      </c>
      <c r="R348" s="10">
        <v>6312.6</v>
      </c>
      <c r="S348" s="11">
        <v>46287</v>
      </c>
      <c r="T348" s="10">
        <v>6156.89</v>
      </c>
      <c r="U348" s="9">
        <v>1</v>
      </c>
      <c r="V348" s="11">
        <v>46262</v>
      </c>
      <c r="W348" s="9">
        <v>260326210686920</v>
      </c>
      <c r="X348" s="9" t="s">
        <v>2559</v>
      </c>
      <c r="Y348" s="9" t="s">
        <v>2560</v>
      </c>
      <c r="Z348" s="9" t="s">
        <v>2918</v>
      </c>
      <c r="AA348" s="9" t="s">
        <v>2919</v>
      </c>
      <c r="AB348" s="9" t="s">
        <v>2570</v>
      </c>
      <c r="AC348" s="11">
        <v>46272</v>
      </c>
      <c r="AD348" s="9">
        <v>1880</v>
      </c>
      <c r="AE348" s="9" t="s">
        <v>2570</v>
      </c>
      <c r="AF348" s="9">
        <v>10</v>
      </c>
      <c r="AG348" s="9" t="s">
        <v>2563</v>
      </c>
      <c r="AH348" s="9">
        <v>2004</v>
      </c>
      <c r="AJ348" s="9" t="s">
        <v>2928</v>
      </c>
      <c r="AK348" s="11">
        <v>46286</v>
      </c>
      <c r="AL348" s="9">
        <v>2609466</v>
      </c>
      <c r="AM348" s="11">
        <v>46254</v>
      </c>
      <c r="AO348" s="9" t="s">
        <v>2571</v>
      </c>
      <c r="AP348" s="11">
        <v>46254</v>
      </c>
      <c r="AQ348" s="9" t="s">
        <v>2564</v>
      </c>
      <c r="AR348" s="9">
        <v>4</v>
      </c>
      <c r="AS348" s="9" t="s">
        <v>2632</v>
      </c>
      <c r="AT348" s="9">
        <v>1</v>
      </c>
      <c r="AU348" s="9" t="s">
        <v>2566</v>
      </c>
      <c r="AW348" s="9" t="s">
        <v>3042</v>
      </c>
      <c r="AY348" s="11">
        <v>46262</v>
      </c>
      <c r="AZ348" s="9">
        <v>306</v>
      </c>
      <c r="BA348" s="9">
        <v>338324</v>
      </c>
      <c r="BB348" s="11">
        <v>46254</v>
      </c>
      <c r="BC348" s="9">
        <v>1680</v>
      </c>
    </row>
    <row r="349" spans="1:55" x14ac:dyDescent="0.25">
      <c r="A349" s="9" t="s">
        <v>2916</v>
      </c>
      <c r="B349" s="9">
        <v>1880</v>
      </c>
      <c r="C349" s="9" t="s">
        <v>2557</v>
      </c>
      <c r="D349" s="9">
        <v>1559</v>
      </c>
      <c r="E349" s="9">
        <v>2026</v>
      </c>
      <c r="F349" s="9" t="s">
        <v>3043</v>
      </c>
      <c r="G349" s="9">
        <v>62044200</v>
      </c>
      <c r="H349" s="9">
        <v>2016</v>
      </c>
      <c r="I349" s="9">
        <v>1</v>
      </c>
      <c r="J349" s="9" t="s">
        <v>2558</v>
      </c>
      <c r="L349" s="10">
        <v>8368.7999999999993</v>
      </c>
      <c r="M349" s="10">
        <v>8368.7999999999993</v>
      </c>
      <c r="N349" s="9">
        <v>3030.52</v>
      </c>
      <c r="O349" s="9">
        <v>0</v>
      </c>
      <c r="P349" s="9">
        <v>0</v>
      </c>
      <c r="R349" s="10">
        <v>8368.7999999999993</v>
      </c>
      <c r="U349" s="9">
        <v>8</v>
      </c>
      <c r="V349" s="11">
        <v>46254</v>
      </c>
      <c r="W349" s="9">
        <v>260326210686920</v>
      </c>
      <c r="X349" s="9" t="s">
        <v>2559</v>
      </c>
      <c r="Y349" s="9" t="s">
        <v>2560</v>
      </c>
      <c r="Z349" s="9" t="s">
        <v>2918</v>
      </c>
      <c r="AA349" s="9" t="s">
        <v>2919</v>
      </c>
      <c r="AB349" s="9" t="s">
        <v>2570</v>
      </c>
      <c r="AC349" s="11">
        <v>46261</v>
      </c>
      <c r="AD349" s="9">
        <v>1880</v>
      </c>
      <c r="AF349" s="9">
        <v>10</v>
      </c>
      <c r="AG349" s="9" t="s">
        <v>2563</v>
      </c>
      <c r="AH349" s="9">
        <v>2112</v>
      </c>
      <c r="AL349" s="9">
        <v>2609151</v>
      </c>
      <c r="AM349" s="11">
        <v>46246</v>
      </c>
      <c r="AO349" s="9" t="s">
        <v>2577</v>
      </c>
      <c r="AP349" s="11">
        <v>46250</v>
      </c>
      <c r="AQ349" s="9" t="s">
        <v>2564</v>
      </c>
      <c r="AR349" s="9">
        <v>9</v>
      </c>
      <c r="AS349" s="9" t="s">
        <v>2967</v>
      </c>
      <c r="AT349" s="9">
        <v>7</v>
      </c>
      <c r="AU349" s="9" t="s">
        <v>2566</v>
      </c>
      <c r="AW349" s="9" t="s">
        <v>3044</v>
      </c>
      <c r="AY349" s="11">
        <v>46254</v>
      </c>
      <c r="AZ349" s="9">
        <v>101</v>
      </c>
      <c r="BA349" s="9">
        <v>847567</v>
      </c>
      <c r="BB349" s="11">
        <v>46253</v>
      </c>
      <c r="BC349" s="9">
        <v>1680</v>
      </c>
    </row>
    <row r="350" spans="1:55" x14ac:dyDescent="0.25">
      <c r="A350" s="9" t="s">
        <v>2916</v>
      </c>
      <c r="B350" s="9">
        <v>1880</v>
      </c>
      <c r="C350" s="9" t="s">
        <v>2557</v>
      </c>
      <c r="D350" s="9">
        <v>1617</v>
      </c>
      <c r="E350" s="9">
        <v>2026</v>
      </c>
      <c r="F350" s="9" t="s">
        <v>3045</v>
      </c>
      <c r="G350" s="9">
        <v>62072100</v>
      </c>
      <c r="H350" s="9">
        <v>2016</v>
      </c>
      <c r="I350" s="9">
        <v>1</v>
      </c>
      <c r="J350" s="9" t="s">
        <v>2558</v>
      </c>
      <c r="L350" s="10">
        <v>3315.15</v>
      </c>
      <c r="M350" s="10">
        <v>3315.15</v>
      </c>
      <c r="N350" s="9">
        <v>0</v>
      </c>
      <c r="O350" s="9">
        <v>0</v>
      </c>
      <c r="P350" s="9">
        <v>0</v>
      </c>
      <c r="R350" s="10">
        <v>3315.15</v>
      </c>
      <c r="S350" s="11">
        <v>46287</v>
      </c>
      <c r="T350" s="10">
        <v>3233.38</v>
      </c>
      <c r="U350" s="9">
        <v>1</v>
      </c>
      <c r="V350" s="11">
        <v>46268</v>
      </c>
      <c r="W350" s="9">
        <v>260326210686920</v>
      </c>
      <c r="X350" s="9" t="s">
        <v>2559</v>
      </c>
      <c r="Y350" s="9" t="s">
        <v>2560</v>
      </c>
      <c r="Z350" s="9" t="s">
        <v>2918</v>
      </c>
      <c r="AA350" s="9" t="s">
        <v>2919</v>
      </c>
      <c r="AB350" s="9" t="s">
        <v>2570</v>
      </c>
      <c r="AC350" s="11">
        <v>46273</v>
      </c>
      <c r="AD350" s="9">
        <v>1880</v>
      </c>
      <c r="AE350" s="9" t="s">
        <v>2570</v>
      </c>
      <c r="AF350" s="9">
        <v>10</v>
      </c>
      <c r="AG350" s="9" t="s">
        <v>2563</v>
      </c>
      <c r="AH350" s="9">
        <v>954</v>
      </c>
      <c r="AJ350" s="9" t="s">
        <v>2928</v>
      </c>
      <c r="AK350" s="11">
        <v>46286</v>
      </c>
      <c r="AL350" s="9">
        <v>2609619</v>
      </c>
      <c r="AM350" s="11">
        <v>46255</v>
      </c>
      <c r="AO350" s="9" t="s">
        <v>2571</v>
      </c>
      <c r="AP350" s="11">
        <v>46255</v>
      </c>
      <c r="AQ350" s="9" t="s">
        <v>2564</v>
      </c>
      <c r="AR350" s="9">
        <v>4</v>
      </c>
      <c r="AS350" s="9" t="s">
        <v>2947</v>
      </c>
      <c r="AT350" s="9">
        <v>1</v>
      </c>
      <c r="AU350" s="9" t="s">
        <v>2566</v>
      </c>
      <c r="AW350" s="9" t="s">
        <v>3046</v>
      </c>
      <c r="AY350" s="11">
        <v>46268</v>
      </c>
      <c r="AZ350" s="9">
        <v>306</v>
      </c>
      <c r="BA350" s="9">
        <v>347864</v>
      </c>
      <c r="BB350" s="11">
        <v>46256</v>
      </c>
      <c r="BC350" s="9">
        <v>1680</v>
      </c>
    </row>
    <row r="351" spans="1:55" x14ac:dyDescent="0.25">
      <c r="A351" s="9" t="s">
        <v>2916</v>
      </c>
      <c r="B351" s="9">
        <v>1880</v>
      </c>
      <c r="C351" s="9" t="s">
        <v>2557</v>
      </c>
      <c r="D351" s="9">
        <v>1611</v>
      </c>
      <c r="E351" s="9">
        <v>2026</v>
      </c>
      <c r="F351" s="9" t="s">
        <v>3047</v>
      </c>
      <c r="G351" s="9">
        <v>62063000</v>
      </c>
      <c r="H351" s="9">
        <v>2016</v>
      </c>
      <c r="I351" s="9">
        <v>1</v>
      </c>
      <c r="J351" s="9" t="s">
        <v>2558</v>
      </c>
      <c r="L351" s="10">
        <v>4593.75</v>
      </c>
      <c r="M351" s="10">
        <v>4593.75</v>
      </c>
      <c r="N351" s="9">
        <v>0</v>
      </c>
      <c r="O351" s="9">
        <v>0</v>
      </c>
      <c r="P351" s="9">
        <v>0</v>
      </c>
      <c r="R351" s="10">
        <v>4593.75</v>
      </c>
      <c r="S351" s="11">
        <v>46287</v>
      </c>
      <c r="T351" s="10">
        <v>4480.4399999999996</v>
      </c>
      <c r="U351" s="9">
        <v>1</v>
      </c>
      <c r="V351" s="11">
        <v>46263</v>
      </c>
      <c r="W351" s="9">
        <v>260326210686920</v>
      </c>
      <c r="X351" s="9" t="s">
        <v>2559</v>
      </c>
      <c r="Y351" s="9" t="s">
        <v>2560</v>
      </c>
      <c r="Z351" s="9" t="s">
        <v>2918</v>
      </c>
      <c r="AA351" s="9" t="s">
        <v>2919</v>
      </c>
      <c r="AB351" s="9" t="s">
        <v>2570</v>
      </c>
      <c r="AC351" s="11">
        <v>46272</v>
      </c>
      <c r="AD351" s="9">
        <v>1880</v>
      </c>
      <c r="AE351" s="9" t="s">
        <v>2570</v>
      </c>
      <c r="AF351" s="9">
        <v>10</v>
      </c>
      <c r="AG351" s="9" t="s">
        <v>2563</v>
      </c>
      <c r="AH351" s="9">
        <v>1050</v>
      </c>
      <c r="AJ351" s="9" t="s">
        <v>2928</v>
      </c>
      <c r="AK351" s="11">
        <v>46286</v>
      </c>
      <c r="AL351" s="9">
        <v>2609612</v>
      </c>
      <c r="AM351" s="11">
        <v>46255</v>
      </c>
      <c r="AO351" s="9" t="s">
        <v>2571</v>
      </c>
      <c r="AP351" s="11">
        <v>46255</v>
      </c>
      <c r="AQ351" s="9" t="s">
        <v>2564</v>
      </c>
      <c r="AR351" s="9">
        <v>4</v>
      </c>
      <c r="AS351" s="9" t="s">
        <v>2626</v>
      </c>
      <c r="AT351" s="9">
        <v>1</v>
      </c>
      <c r="AU351" s="9" t="s">
        <v>2566</v>
      </c>
      <c r="AW351" s="9" t="s">
        <v>3048</v>
      </c>
      <c r="AY351" s="11">
        <v>46263</v>
      </c>
      <c r="AZ351" s="9">
        <v>306</v>
      </c>
      <c r="BA351" s="9">
        <v>347883</v>
      </c>
      <c r="BB351" s="11">
        <v>46256</v>
      </c>
      <c r="BC351" s="9">
        <v>1680</v>
      </c>
    </row>
    <row r="352" spans="1:55" x14ac:dyDescent="0.25">
      <c r="A352" s="9" t="s">
        <v>2916</v>
      </c>
      <c r="B352" s="9">
        <v>1880</v>
      </c>
      <c r="C352" s="9" t="s">
        <v>2557</v>
      </c>
      <c r="D352" s="9">
        <v>1613</v>
      </c>
      <c r="E352" s="9">
        <v>2026</v>
      </c>
      <c r="F352" s="9" t="s">
        <v>3049</v>
      </c>
      <c r="G352" s="9">
        <v>62112000</v>
      </c>
      <c r="H352" s="9">
        <v>2016</v>
      </c>
      <c r="I352" s="9">
        <v>1</v>
      </c>
      <c r="J352" s="9" t="s">
        <v>2558</v>
      </c>
      <c r="L352" s="10">
        <v>11393.5</v>
      </c>
      <c r="M352" s="10">
        <v>11393.5</v>
      </c>
      <c r="N352" s="9">
        <v>0</v>
      </c>
      <c r="O352" s="9">
        <v>0</v>
      </c>
      <c r="P352" s="9">
        <v>0</v>
      </c>
      <c r="R352" s="10">
        <v>11393.5</v>
      </c>
      <c r="S352" s="11">
        <v>46287</v>
      </c>
      <c r="T352" s="10">
        <v>11112.47</v>
      </c>
      <c r="U352" s="9">
        <v>1</v>
      </c>
      <c r="V352" s="11">
        <v>46263</v>
      </c>
      <c r="W352" s="9">
        <v>260326210686920</v>
      </c>
      <c r="X352" s="9" t="s">
        <v>2559</v>
      </c>
      <c r="Y352" s="9" t="s">
        <v>2560</v>
      </c>
      <c r="Z352" s="9" t="s">
        <v>2918</v>
      </c>
      <c r="AA352" s="9" t="s">
        <v>2919</v>
      </c>
      <c r="AB352" s="9" t="s">
        <v>2570</v>
      </c>
      <c r="AC352" s="11">
        <v>46272</v>
      </c>
      <c r="AD352" s="9">
        <v>1880</v>
      </c>
      <c r="AE352" s="9" t="s">
        <v>2570</v>
      </c>
      <c r="AF352" s="9">
        <v>10</v>
      </c>
      <c r="AG352" s="9" t="s">
        <v>2563</v>
      </c>
      <c r="AH352" s="9">
        <v>1801</v>
      </c>
      <c r="AJ352" s="9" t="s">
        <v>2928</v>
      </c>
      <c r="AK352" s="11">
        <v>46286</v>
      </c>
      <c r="AL352" s="9">
        <v>2609614</v>
      </c>
      <c r="AM352" s="11">
        <v>46255</v>
      </c>
      <c r="AO352" s="9" t="s">
        <v>2571</v>
      </c>
      <c r="AP352" s="11">
        <v>46255</v>
      </c>
      <c r="AQ352" s="9" t="s">
        <v>2564</v>
      </c>
      <c r="AR352" s="9">
        <v>4</v>
      </c>
      <c r="AS352" s="9" t="s">
        <v>2626</v>
      </c>
      <c r="AT352" s="9">
        <v>1</v>
      </c>
      <c r="AU352" s="9" t="s">
        <v>2566</v>
      </c>
      <c r="AW352" s="9" t="s">
        <v>3050</v>
      </c>
      <c r="AY352" s="11">
        <v>46263</v>
      </c>
      <c r="AZ352" s="9">
        <v>306</v>
      </c>
      <c r="BA352" s="9">
        <v>347876</v>
      </c>
      <c r="BB352" s="11">
        <v>46256</v>
      </c>
      <c r="BC352" s="9">
        <v>1680</v>
      </c>
    </row>
    <row r="353" spans="1:55" x14ac:dyDescent="0.25">
      <c r="A353" s="9" t="s">
        <v>2916</v>
      </c>
      <c r="B353" s="9">
        <v>1880</v>
      </c>
      <c r="C353" s="9" t="s">
        <v>2557</v>
      </c>
      <c r="D353" s="9">
        <v>1634</v>
      </c>
      <c r="E353" s="9">
        <v>2026</v>
      </c>
      <c r="F353" s="9" t="s">
        <v>3051</v>
      </c>
      <c r="G353" s="9">
        <v>62112000</v>
      </c>
      <c r="H353" s="9">
        <v>2016</v>
      </c>
      <c r="I353" s="9">
        <v>1</v>
      </c>
      <c r="J353" s="9" t="s">
        <v>2558</v>
      </c>
      <c r="L353" s="10">
        <v>4149.8999999999996</v>
      </c>
      <c r="M353" s="10">
        <v>4149.8999999999996</v>
      </c>
      <c r="N353" s="9">
        <v>0</v>
      </c>
      <c r="O353" s="9">
        <v>0</v>
      </c>
      <c r="P353" s="9">
        <v>0</v>
      </c>
      <c r="R353" s="10">
        <v>4149.8999999999996</v>
      </c>
      <c r="S353" s="11">
        <v>46287</v>
      </c>
      <c r="T353" s="10">
        <v>4047.54</v>
      </c>
      <c r="U353" s="9">
        <v>1</v>
      </c>
      <c r="V353" s="11">
        <v>46268</v>
      </c>
      <c r="W353" s="9">
        <v>260326210686920</v>
      </c>
      <c r="X353" s="9" t="s">
        <v>2559</v>
      </c>
      <c r="Y353" s="9" t="s">
        <v>2560</v>
      </c>
      <c r="Z353" s="9" t="s">
        <v>2918</v>
      </c>
      <c r="AA353" s="9" t="s">
        <v>2919</v>
      </c>
      <c r="AB353" s="9" t="s">
        <v>2570</v>
      </c>
      <c r="AC353" s="11">
        <v>46273</v>
      </c>
      <c r="AD353" s="9">
        <v>1880</v>
      </c>
      <c r="AE353" s="9" t="s">
        <v>2570</v>
      </c>
      <c r="AF353" s="9">
        <v>10</v>
      </c>
      <c r="AG353" s="9" t="s">
        <v>2563</v>
      </c>
      <c r="AH353" s="9">
        <v>783</v>
      </c>
      <c r="AJ353" s="9" t="s">
        <v>2928</v>
      </c>
      <c r="AK353" s="11">
        <v>46286</v>
      </c>
      <c r="AL353" s="9">
        <v>2609745</v>
      </c>
      <c r="AM353" s="11">
        <v>46259</v>
      </c>
      <c r="AO353" s="9" t="s">
        <v>2571</v>
      </c>
      <c r="AP353" s="11">
        <v>46259</v>
      </c>
      <c r="AQ353" s="9" t="s">
        <v>2564</v>
      </c>
      <c r="AR353" s="9">
        <v>4</v>
      </c>
      <c r="AS353" s="9" t="s">
        <v>2947</v>
      </c>
      <c r="AT353" s="9">
        <v>1</v>
      </c>
      <c r="AU353" s="9" t="s">
        <v>2566</v>
      </c>
      <c r="AW353" s="9" t="s">
        <v>3052</v>
      </c>
      <c r="AY353" s="11">
        <v>46268</v>
      </c>
      <c r="AZ353" s="9">
        <v>306</v>
      </c>
      <c r="BA353" s="9">
        <v>362670</v>
      </c>
      <c r="BB353" s="11">
        <v>46259</v>
      </c>
      <c r="BC353" s="9">
        <v>1680</v>
      </c>
    </row>
    <row r="354" spans="1:55" x14ac:dyDescent="0.25">
      <c r="A354" s="9" t="s">
        <v>2916</v>
      </c>
      <c r="B354" s="9">
        <v>1880</v>
      </c>
      <c r="C354" s="9" t="s">
        <v>2557</v>
      </c>
      <c r="D354" s="9">
        <v>1596</v>
      </c>
      <c r="E354" s="9">
        <v>2026</v>
      </c>
      <c r="F354" s="9" t="s">
        <v>3053</v>
      </c>
      <c r="G354" s="9">
        <v>62052000</v>
      </c>
      <c r="H354" s="9">
        <v>2016</v>
      </c>
      <c r="I354" s="9">
        <v>1</v>
      </c>
      <c r="J354" s="9" t="s">
        <v>2558</v>
      </c>
      <c r="K354" s="9">
        <v>0</v>
      </c>
      <c r="L354" s="10">
        <v>2463.3000000000002</v>
      </c>
      <c r="M354" s="10">
        <v>2463.3000000000002</v>
      </c>
      <c r="N354" s="9">
        <v>0</v>
      </c>
      <c r="O354" s="9">
        <v>0</v>
      </c>
      <c r="P354" s="9">
        <v>0</v>
      </c>
      <c r="R354" s="10">
        <v>2463.3000000000002</v>
      </c>
      <c r="S354" s="11">
        <v>46287</v>
      </c>
      <c r="T354" s="10">
        <v>2402.54</v>
      </c>
      <c r="U354" s="9">
        <v>1</v>
      </c>
      <c r="V354" s="11">
        <v>46262</v>
      </c>
      <c r="W354" s="9">
        <v>260326210686920</v>
      </c>
      <c r="X354" s="9" t="s">
        <v>2559</v>
      </c>
      <c r="Y354" s="9" t="s">
        <v>2560</v>
      </c>
      <c r="Z354" s="9" t="s">
        <v>2918</v>
      </c>
      <c r="AA354" s="9" t="s">
        <v>2919</v>
      </c>
      <c r="AB354" s="9" t="s">
        <v>2570</v>
      </c>
      <c r="AC354" s="11">
        <v>46272</v>
      </c>
      <c r="AD354" s="9">
        <v>1880</v>
      </c>
      <c r="AE354" s="9" t="s">
        <v>2570</v>
      </c>
      <c r="AF354" s="9">
        <v>10</v>
      </c>
      <c r="AG354" s="9" t="s">
        <v>2563</v>
      </c>
      <c r="AH354" s="9">
        <v>782</v>
      </c>
      <c r="AJ354" s="9" t="s">
        <v>2928</v>
      </c>
      <c r="AK354" s="11">
        <v>46286</v>
      </c>
      <c r="AL354" s="9">
        <v>2609473</v>
      </c>
      <c r="AM354" s="11">
        <v>46254</v>
      </c>
      <c r="AO354" s="9" t="s">
        <v>2571</v>
      </c>
      <c r="AP354" s="11">
        <v>46254</v>
      </c>
      <c r="AQ354" s="9" t="s">
        <v>2564</v>
      </c>
      <c r="AR354" s="9">
        <v>4</v>
      </c>
      <c r="AS354" s="9" t="s">
        <v>2632</v>
      </c>
      <c r="AT354" s="9">
        <v>1</v>
      </c>
      <c r="AU354" s="9" t="s">
        <v>2566</v>
      </c>
      <c r="AV354" s="9" t="s">
        <v>206</v>
      </c>
      <c r="AW354" s="9" t="s">
        <v>3054</v>
      </c>
      <c r="AX354" s="9">
        <v>2609473</v>
      </c>
      <c r="AY354" s="11">
        <v>46262</v>
      </c>
      <c r="AZ354" s="9">
        <v>306</v>
      </c>
      <c r="BA354" s="9">
        <v>338306</v>
      </c>
      <c r="BB354" s="11">
        <v>46254</v>
      </c>
      <c r="BC354" s="9">
        <v>1680</v>
      </c>
    </row>
    <row r="355" spans="1:55" x14ac:dyDescent="0.25">
      <c r="A355" s="9" t="s">
        <v>2916</v>
      </c>
      <c r="B355" s="9">
        <v>1880</v>
      </c>
      <c r="C355" s="9" t="s">
        <v>2557</v>
      </c>
      <c r="D355" s="9">
        <v>1597</v>
      </c>
      <c r="E355" s="9">
        <v>2026</v>
      </c>
      <c r="F355" s="9" t="s">
        <v>3055</v>
      </c>
      <c r="G355" s="9">
        <v>62072100</v>
      </c>
      <c r="H355" s="9">
        <v>2016</v>
      </c>
      <c r="I355" s="9">
        <v>1</v>
      </c>
      <c r="J355" s="9" t="s">
        <v>2558</v>
      </c>
      <c r="K355" s="9">
        <v>0</v>
      </c>
      <c r="L355" s="10">
        <v>6804</v>
      </c>
      <c r="M355" s="10">
        <v>6804</v>
      </c>
      <c r="N355" s="9">
        <v>0</v>
      </c>
      <c r="O355" s="9">
        <v>0</v>
      </c>
      <c r="P355" s="9">
        <v>0</v>
      </c>
      <c r="R355" s="10">
        <v>6804</v>
      </c>
      <c r="U355" s="9">
        <v>1</v>
      </c>
      <c r="V355" s="11">
        <v>46262</v>
      </c>
      <c r="W355" s="9">
        <v>260326210686920</v>
      </c>
      <c r="X355" s="9" t="s">
        <v>2559</v>
      </c>
      <c r="Y355" s="9" t="s">
        <v>2560</v>
      </c>
      <c r="Z355" s="9" t="s">
        <v>2918</v>
      </c>
      <c r="AA355" s="9" t="s">
        <v>2919</v>
      </c>
      <c r="AB355" s="9" t="s">
        <v>2570</v>
      </c>
      <c r="AC355" s="11">
        <v>46272</v>
      </c>
      <c r="AD355" s="9">
        <v>1880</v>
      </c>
      <c r="AF355" s="9">
        <v>10</v>
      </c>
      <c r="AG355" s="9" t="s">
        <v>2563</v>
      </c>
      <c r="AH355" s="9">
        <v>2160</v>
      </c>
      <c r="AL355" s="9">
        <v>2609474</v>
      </c>
      <c r="AM355" s="11">
        <v>46254</v>
      </c>
      <c r="AO355" s="9" t="s">
        <v>2571</v>
      </c>
      <c r="AP355" s="11">
        <v>46254</v>
      </c>
      <c r="AQ355" s="9" t="s">
        <v>2564</v>
      </c>
      <c r="AR355" s="9">
        <v>4</v>
      </c>
      <c r="AS355" s="9" t="s">
        <v>2632</v>
      </c>
      <c r="AT355" s="9">
        <v>1</v>
      </c>
      <c r="AU355" s="9" t="s">
        <v>2566</v>
      </c>
      <c r="AV355" s="9" t="s">
        <v>183</v>
      </c>
      <c r="AW355" s="9" t="s">
        <v>3056</v>
      </c>
      <c r="AX355" s="9">
        <v>2609474</v>
      </c>
      <c r="AY355" s="11">
        <v>46262</v>
      </c>
      <c r="AZ355" s="9">
        <v>306</v>
      </c>
      <c r="BA355" s="9">
        <v>338318</v>
      </c>
      <c r="BB355" s="11">
        <v>46254</v>
      </c>
      <c r="BC355" s="9">
        <v>1680</v>
      </c>
    </row>
    <row r="356" spans="1:55" x14ac:dyDescent="0.25">
      <c r="A356" s="9" t="s">
        <v>2916</v>
      </c>
      <c r="B356" s="9">
        <v>1880</v>
      </c>
      <c r="C356" s="9" t="s">
        <v>2557</v>
      </c>
      <c r="D356" s="9">
        <v>1545</v>
      </c>
      <c r="E356" s="9">
        <v>2026</v>
      </c>
      <c r="F356" s="9" t="s">
        <v>3057</v>
      </c>
      <c r="G356" s="9">
        <v>62052000</v>
      </c>
      <c r="H356" s="9">
        <v>110</v>
      </c>
      <c r="I356" s="9">
        <v>1</v>
      </c>
      <c r="J356" s="9" t="s">
        <v>2558</v>
      </c>
      <c r="L356" s="10">
        <v>3678.15</v>
      </c>
      <c r="M356" s="10">
        <v>3678.15</v>
      </c>
      <c r="N356" s="9">
        <v>0</v>
      </c>
      <c r="O356" s="9">
        <v>0</v>
      </c>
      <c r="P356" s="9">
        <v>0</v>
      </c>
      <c r="R356" s="10">
        <v>3678.15</v>
      </c>
      <c r="U356" s="9">
        <v>1</v>
      </c>
      <c r="V356" s="11">
        <v>46257</v>
      </c>
      <c r="W356" s="9">
        <v>260326210686920</v>
      </c>
      <c r="X356" s="9" t="s">
        <v>2559</v>
      </c>
      <c r="Y356" s="9" t="s">
        <v>2560</v>
      </c>
      <c r="Z356" s="9" t="s">
        <v>2918</v>
      </c>
      <c r="AA356" s="9" t="s">
        <v>2919</v>
      </c>
      <c r="AB356" s="9" t="s">
        <v>2570</v>
      </c>
      <c r="AC356" s="11">
        <v>46295</v>
      </c>
      <c r="AD356" s="9">
        <v>1880</v>
      </c>
      <c r="AF356" s="9">
        <v>10</v>
      </c>
      <c r="AG356" s="9" t="s">
        <v>2563</v>
      </c>
      <c r="AH356" s="9">
        <v>651</v>
      </c>
      <c r="AL356" s="9">
        <v>2609279</v>
      </c>
      <c r="AM356" s="11">
        <v>46248</v>
      </c>
      <c r="AO356" s="9" t="s">
        <v>2685</v>
      </c>
      <c r="AP356" s="11">
        <v>46248</v>
      </c>
      <c r="AQ356" s="9" t="s">
        <v>2564</v>
      </c>
      <c r="AR356" s="9">
        <v>4</v>
      </c>
      <c r="AT356" s="9">
        <v>1</v>
      </c>
      <c r="AU356" s="9" t="s">
        <v>2566</v>
      </c>
      <c r="AW356" s="9" t="s">
        <v>3058</v>
      </c>
      <c r="AY356" s="11">
        <v>46257</v>
      </c>
      <c r="AZ356" s="9">
        <v>306</v>
      </c>
      <c r="BA356" s="9">
        <v>312509</v>
      </c>
      <c r="BB356" s="11">
        <v>46248</v>
      </c>
      <c r="BC356" s="9">
        <v>1680</v>
      </c>
    </row>
    <row r="357" spans="1:55" x14ac:dyDescent="0.25">
      <c r="A357" s="9" t="s">
        <v>2916</v>
      </c>
      <c r="B357" s="9">
        <v>1880</v>
      </c>
      <c r="C357" s="9" t="s">
        <v>2557</v>
      </c>
      <c r="D357" s="9">
        <v>1544</v>
      </c>
      <c r="E357" s="9">
        <v>2026</v>
      </c>
      <c r="F357" s="9" t="s">
        <v>3059</v>
      </c>
      <c r="G357" s="9">
        <v>62052000</v>
      </c>
      <c r="H357" s="9">
        <v>2016</v>
      </c>
      <c r="I357" s="9">
        <v>1</v>
      </c>
      <c r="J357" s="9" t="s">
        <v>2558</v>
      </c>
      <c r="L357" s="10">
        <v>22425</v>
      </c>
      <c r="M357" s="10">
        <v>22425</v>
      </c>
      <c r="N357" s="9">
        <v>0</v>
      </c>
      <c r="O357" s="9">
        <v>0</v>
      </c>
      <c r="P357" s="9">
        <v>0</v>
      </c>
      <c r="R357" s="10">
        <v>22425</v>
      </c>
      <c r="S357" s="11">
        <v>46286</v>
      </c>
      <c r="T357" s="10">
        <v>22002.59</v>
      </c>
      <c r="U357" s="9">
        <v>1</v>
      </c>
      <c r="V357" s="11">
        <v>46255</v>
      </c>
      <c r="W357" s="9">
        <v>260326210686920</v>
      </c>
      <c r="X357" s="9" t="s">
        <v>2559</v>
      </c>
      <c r="Y357" s="9" t="s">
        <v>2560</v>
      </c>
      <c r="Z357" s="9" t="s">
        <v>2918</v>
      </c>
      <c r="AA357" s="9" t="s">
        <v>2919</v>
      </c>
      <c r="AB357" s="9" t="s">
        <v>2570</v>
      </c>
      <c r="AC357" s="11">
        <v>46284</v>
      </c>
      <c r="AD357" s="9">
        <v>1880</v>
      </c>
      <c r="AE357" s="9" t="s">
        <v>2570</v>
      </c>
      <c r="AF357" s="9">
        <v>10</v>
      </c>
      <c r="AG357" s="9" t="s">
        <v>2563</v>
      </c>
      <c r="AH357" s="9">
        <v>4600</v>
      </c>
      <c r="AJ357" s="9" t="s">
        <v>2985</v>
      </c>
      <c r="AK357" s="11">
        <v>46285</v>
      </c>
      <c r="AL357" s="9">
        <v>2609278</v>
      </c>
      <c r="AM357" s="11">
        <v>46248</v>
      </c>
      <c r="AO357" s="9" t="s">
        <v>2614</v>
      </c>
      <c r="AP357" s="11">
        <v>46248</v>
      </c>
      <c r="AQ357" s="9" t="s">
        <v>2564</v>
      </c>
      <c r="AR357" s="9">
        <v>4</v>
      </c>
      <c r="AT357" s="9">
        <v>1</v>
      </c>
      <c r="AU357" s="9" t="s">
        <v>2566</v>
      </c>
      <c r="AW357" s="9" t="s">
        <v>3060</v>
      </c>
      <c r="AY357" s="11">
        <v>46255</v>
      </c>
      <c r="AZ357" s="9">
        <v>306</v>
      </c>
      <c r="BA357" s="9">
        <v>310941</v>
      </c>
      <c r="BB357" s="11">
        <v>46248</v>
      </c>
      <c r="BC357" s="9">
        <v>1680</v>
      </c>
    </row>
    <row r="358" spans="1:55" x14ac:dyDescent="0.25">
      <c r="A358" s="9" t="s">
        <v>2916</v>
      </c>
      <c r="B358" s="9">
        <v>1880</v>
      </c>
      <c r="C358" s="9" t="s">
        <v>2557</v>
      </c>
      <c r="D358" s="9">
        <v>1615</v>
      </c>
      <c r="E358" s="9">
        <v>2026</v>
      </c>
      <c r="F358" s="9" t="s">
        <v>3061</v>
      </c>
      <c r="G358" s="9">
        <v>62072100</v>
      </c>
      <c r="H358" s="9">
        <v>2016</v>
      </c>
      <c r="I358" s="9">
        <v>1</v>
      </c>
      <c r="J358" s="9" t="s">
        <v>2558</v>
      </c>
      <c r="L358" s="10">
        <v>8499.85</v>
      </c>
      <c r="M358" s="10">
        <v>8499.85</v>
      </c>
      <c r="N358" s="9">
        <v>0</v>
      </c>
      <c r="O358" s="9">
        <v>0</v>
      </c>
      <c r="P358" s="9">
        <v>0</v>
      </c>
      <c r="R358" s="10">
        <v>8499.85</v>
      </c>
      <c r="S358" s="11">
        <v>46287</v>
      </c>
      <c r="T358" s="10">
        <v>8290.19</v>
      </c>
      <c r="U358" s="9">
        <v>1</v>
      </c>
      <c r="V358" s="11">
        <v>46263</v>
      </c>
      <c r="W358" s="9">
        <v>260326210686920</v>
      </c>
      <c r="X358" s="9" t="s">
        <v>2559</v>
      </c>
      <c r="Y358" s="9" t="s">
        <v>2560</v>
      </c>
      <c r="Z358" s="9" t="s">
        <v>2918</v>
      </c>
      <c r="AA358" s="9" t="s">
        <v>2919</v>
      </c>
      <c r="AB358" s="9" t="s">
        <v>2570</v>
      </c>
      <c r="AC358" s="11">
        <v>46272</v>
      </c>
      <c r="AD358" s="9">
        <v>1880</v>
      </c>
      <c r="AE358" s="9" t="s">
        <v>2570</v>
      </c>
      <c r="AF358" s="9">
        <v>10</v>
      </c>
      <c r="AG358" s="9" t="s">
        <v>2563</v>
      </c>
      <c r="AH358" s="9">
        <v>2446</v>
      </c>
      <c r="AJ358" s="9" t="s">
        <v>2928</v>
      </c>
      <c r="AK358" s="11">
        <v>46286</v>
      </c>
      <c r="AL358" s="9">
        <v>2609616</v>
      </c>
      <c r="AM358" s="11">
        <v>46255</v>
      </c>
      <c r="AO358" s="9" t="s">
        <v>2571</v>
      </c>
      <c r="AP358" s="11">
        <v>46255</v>
      </c>
      <c r="AQ358" s="9" t="s">
        <v>2564</v>
      </c>
      <c r="AR358" s="9">
        <v>4</v>
      </c>
      <c r="AS358" s="9" t="s">
        <v>2626</v>
      </c>
      <c r="AT358" s="9">
        <v>1</v>
      </c>
      <c r="AU358" s="9" t="s">
        <v>2566</v>
      </c>
      <c r="AW358" s="9" t="s">
        <v>3062</v>
      </c>
      <c r="AY358" s="11">
        <v>46263</v>
      </c>
      <c r="AZ358" s="9">
        <v>306</v>
      </c>
      <c r="BA358" s="9">
        <v>347901</v>
      </c>
      <c r="BB358" s="11">
        <v>46256</v>
      </c>
      <c r="BC358" s="9">
        <v>1680</v>
      </c>
    </row>
    <row r="359" spans="1:55" x14ac:dyDescent="0.25">
      <c r="A359" s="9" t="s">
        <v>2916</v>
      </c>
      <c r="B359" s="9">
        <v>1880</v>
      </c>
      <c r="C359" s="9" t="s">
        <v>2557</v>
      </c>
      <c r="D359" s="9">
        <v>1847</v>
      </c>
      <c r="E359" s="9">
        <v>2026</v>
      </c>
      <c r="F359" s="9" t="s">
        <v>1425</v>
      </c>
      <c r="G359" s="9">
        <v>62112000</v>
      </c>
      <c r="H359" s="9">
        <v>2016</v>
      </c>
      <c r="I359" s="9">
        <v>1</v>
      </c>
      <c r="J359" s="9" t="s">
        <v>2558</v>
      </c>
      <c r="L359" s="10">
        <v>5606.8</v>
      </c>
      <c r="M359" s="10">
        <v>5606.8</v>
      </c>
      <c r="N359" s="9">
        <v>2803</v>
      </c>
      <c r="O359" s="9">
        <v>0</v>
      </c>
      <c r="R359" s="10">
        <v>5606.8</v>
      </c>
      <c r="U359" s="9">
        <v>8</v>
      </c>
      <c r="W359" s="9">
        <v>260326210686920</v>
      </c>
      <c r="X359" s="9" t="s">
        <v>2559</v>
      </c>
      <c r="Y359" s="9" t="s">
        <v>2560</v>
      </c>
      <c r="Z359" s="9" t="s">
        <v>2918</v>
      </c>
      <c r="AA359" s="9" t="s">
        <v>2919</v>
      </c>
      <c r="AF359" s="9">
        <v>10</v>
      </c>
      <c r="AG359" s="9" t="s">
        <v>2563</v>
      </c>
      <c r="AH359" s="9">
        <v>1021</v>
      </c>
      <c r="AP359" s="11">
        <v>46280</v>
      </c>
      <c r="AQ359" s="9" t="s">
        <v>2564</v>
      </c>
      <c r="AR359" s="9">
        <v>9</v>
      </c>
      <c r="AU359" s="9" t="s">
        <v>2566</v>
      </c>
      <c r="AZ359" s="9">
        <v>101</v>
      </c>
      <c r="BA359" s="9">
        <v>967713</v>
      </c>
      <c r="BB359" s="11">
        <v>46283</v>
      </c>
      <c r="BC359" s="9">
        <v>1680</v>
      </c>
    </row>
    <row r="360" spans="1:55" x14ac:dyDescent="0.25">
      <c r="A360" s="9" t="s">
        <v>2916</v>
      </c>
      <c r="B360" s="9">
        <v>1880</v>
      </c>
      <c r="C360" s="9" t="s">
        <v>2557</v>
      </c>
      <c r="D360" s="9">
        <v>1578</v>
      </c>
      <c r="E360" s="9">
        <v>2026</v>
      </c>
      <c r="F360" s="9" t="s">
        <v>3063</v>
      </c>
      <c r="G360" s="9">
        <v>62044200</v>
      </c>
      <c r="H360" s="9">
        <v>2016</v>
      </c>
      <c r="I360" s="9">
        <v>1</v>
      </c>
      <c r="J360" s="9" t="s">
        <v>2558</v>
      </c>
      <c r="L360" s="10">
        <v>5490</v>
      </c>
      <c r="M360" s="10">
        <v>5490</v>
      </c>
      <c r="N360" s="9">
        <v>1889.4</v>
      </c>
      <c r="O360" s="9">
        <v>0</v>
      </c>
      <c r="R360" s="10">
        <v>5490</v>
      </c>
      <c r="U360" s="9">
        <v>8</v>
      </c>
      <c r="V360" s="11">
        <v>46260</v>
      </c>
      <c r="W360" s="9">
        <v>260326210686920</v>
      </c>
      <c r="X360" s="9" t="s">
        <v>2559</v>
      </c>
      <c r="Y360" s="9" t="s">
        <v>2560</v>
      </c>
      <c r="Z360" s="9" t="s">
        <v>2918</v>
      </c>
      <c r="AA360" s="9" t="s">
        <v>2919</v>
      </c>
      <c r="AB360" s="9" t="s">
        <v>2570</v>
      </c>
      <c r="AC360" s="11">
        <v>46271</v>
      </c>
      <c r="AD360" s="9">
        <v>1880</v>
      </c>
      <c r="AF360" s="9">
        <v>10</v>
      </c>
      <c r="AG360" s="9" t="s">
        <v>2563</v>
      </c>
      <c r="AH360" s="9">
        <v>1800</v>
      </c>
      <c r="AJ360" s="9" t="s">
        <v>2925</v>
      </c>
      <c r="AK360" s="11">
        <v>46274</v>
      </c>
      <c r="AL360" s="9">
        <v>2609449</v>
      </c>
      <c r="AM360" s="11">
        <v>46252</v>
      </c>
      <c r="AO360" s="9" t="s">
        <v>2571</v>
      </c>
      <c r="AP360" s="11">
        <v>46253</v>
      </c>
      <c r="AQ360" s="9" t="s">
        <v>2564</v>
      </c>
      <c r="AR360" s="9">
        <v>9</v>
      </c>
      <c r="AS360" s="9" t="s">
        <v>2572</v>
      </c>
      <c r="AT360" s="9">
        <v>7</v>
      </c>
      <c r="AU360" s="9" t="s">
        <v>2566</v>
      </c>
      <c r="AW360" s="9" t="s">
        <v>3064</v>
      </c>
      <c r="AY360" s="11">
        <v>46259</v>
      </c>
      <c r="AZ360" s="9">
        <v>101</v>
      </c>
      <c r="BA360" s="9">
        <v>871918</v>
      </c>
      <c r="BB360" s="11">
        <v>46259</v>
      </c>
      <c r="BC360" s="9">
        <v>1680</v>
      </c>
    </row>
    <row r="361" spans="1:55" x14ac:dyDescent="0.25">
      <c r="A361" s="9" t="s">
        <v>2916</v>
      </c>
      <c r="B361" s="9">
        <v>1880</v>
      </c>
      <c r="C361" s="9" t="s">
        <v>2557</v>
      </c>
      <c r="D361" s="9">
        <v>1573</v>
      </c>
      <c r="E361" s="9">
        <v>2026</v>
      </c>
      <c r="F361" s="9" t="s">
        <v>3065</v>
      </c>
      <c r="G361" s="9">
        <v>62052000</v>
      </c>
      <c r="H361" s="9">
        <v>2016</v>
      </c>
      <c r="I361" s="9">
        <v>1</v>
      </c>
      <c r="J361" s="9" t="s">
        <v>2558</v>
      </c>
      <c r="L361" s="10">
        <v>15338.4</v>
      </c>
      <c r="M361" s="10">
        <v>15338.4</v>
      </c>
      <c r="N361" s="9">
        <v>5118.3</v>
      </c>
      <c r="O361" s="9">
        <v>0</v>
      </c>
      <c r="P361" s="9">
        <v>0</v>
      </c>
      <c r="R361" s="10">
        <v>15338.4</v>
      </c>
      <c r="U361" s="9">
        <v>8</v>
      </c>
      <c r="V361" s="11">
        <v>46260</v>
      </c>
      <c r="W361" s="9">
        <v>260326210686920</v>
      </c>
      <c r="X361" s="9" t="s">
        <v>2559</v>
      </c>
      <c r="Y361" s="9" t="s">
        <v>2560</v>
      </c>
      <c r="Z361" s="9" t="s">
        <v>2918</v>
      </c>
      <c r="AA361" s="9" t="s">
        <v>2919</v>
      </c>
      <c r="AB361" s="9" t="s">
        <v>2570</v>
      </c>
      <c r="AC361" s="11">
        <v>46271</v>
      </c>
      <c r="AD361" s="9">
        <v>1880</v>
      </c>
      <c r="AF361" s="9">
        <v>10</v>
      </c>
      <c r="AG361" s="9" t="s">
        <v>2563</v>
      </c>
      <c r="AH361" s="9">
        <v>2324</v>
      </c>
      <c r="AJ361" s="9" t="s">
        <v>2925</v>
      </c>
      <c r="AK361" s="11">
        <v>46274</v>
      </c>
      <c r="AL361" s="9">
        <v>2609445</v>
      </c>
      <c r="AM361" s="11">
        <v>46252</v>
      </c>
      <c r="AO361" s="9" t="s">
        <v>2577</v>
      </c>
      <c r="AP361" s="11">
        <v>46253</v>
      </c>
      <c r="AQ361" s="9" t="s">
        <v>2564</v>
      </c>
      <c r="AR361" s="9">
        <v>9</v>
      </c>
      <c r="AS361" s="9" t="s">
        <v>2572</v>
      </c>
      <c r="AT361" s="9">
        <v>7</v>
      </c>
      <c r="AU361" s="9" t="s">
        <v>2566</v>
      </c>
      <c r="AW361" s="9" t="s">
        <v>3066</v>
      </c>
      <c r="AY361" s="11">
        <v>46260</v>
      </c>
      <c r="AZ361" s="9">
        <v>101</v>
      </c>
      <c r="BA361" s="9">
        <v>871987</v>
      </c>
      <c r="BB361" s="11">
        <v>46259</v>
      </c>
      <c r="BC361" s="9">
        <v>1680</v>
      </c>
    </row>
    <row r="362" spans="1:55" x14ac:dyDescent="0.25">
      <c r="A362" s="9" t="s">
        <v>2916</v>
      </c>
      <c r="B362" s="9">
        <v>1880</v>
      </c>
      <c r="C362" s="9" t="s">
        <v>2557</v>
      </c>
      <c r="D362" s="9">
        <v>1610</v>
      </c>
      <c r="E362" s="9">
        <v>2026</v>
      </c>
      <c r="F362" s="9" t="s">
        <v>3067</v>
      </c>
      <c r="G362" s="9">
        <v>62072100</v>
      </c>
      <c r="H362" s="9">
        <v>2016</v>
      </c>
      <c r="I362" s="9">
        <v>1</v>
      </c>
      <c r="J362" s="9" t="s">
        <v>2558</v>
      </c>
      <c r="L362" s="10">
        <v>7005.6</v>
      </c>
      <c r="M362" s="10">
        <v>7005.6</v>
      </c>
      <c r="N362" s="9">
        <v>0</v>
      </c>
      <c r="O362" s="9">
        <v>0</v>
      </c>
      <c r="P362" s="9">
        <v>0</v>
      </c>
      <c r="R362" s="10">
        <v>7005.6</v>
      </c>
      <c r="S362" s="11">
        <v>46287</v>
      </c>
      <c r="T362" s="10">
        <v>6832.8</v>
      </c>
      <c r="U362" s="9">
        <v>1</v>
      </c>
      <c r="V362" s="11">
        <v>46263</v>
      </c>
      <c r="W362" s="9">
        <v>260326210686920</v>
      </c>
      <c r="X362" s="9" t="s">
        <v>2559</v>
      </c>
      <c r="Y362" s="9" t="s">
        <v>2560</v>
      </c>
      <c r="Z362" s="9" t="s">
        <v>2918</v>
      </c>
      <c r="AA362" s="9" t="s">
        <v>2919</v>
      </c>
      <c r="AB362" s="9" t="s">
        <v>2570</v>
      </c>
      <c r="AC362" s="11">
        <v>46272</v>
      </c>
      <c r="AD362" s="9">
        <v>1880</v>
      </c>
      <c r="AE362" s="9" t="s">
        <v>2570</v>
      </c>
      <c r="AF362" s="9">
        <v>10</v>
      </c>
      <c r="AG362" s="9" t="s">
        <v>2563</v>
      </c>
      <c r="AH362" s="9">
        <v>2016</v>
      </c>
      <c r="AJ362" s="9" t="s">
        <v>2928</v>
      </c>
      <c r="AK362" s="11">
        <v>46286</v>
      </c>
      <c r="AL362" s="9">
        <v>2609611</v>
      </c>
      <c r="AM362" s="11">
        <v>46255</v>
      </c>
      <c r="AO362" s="9" t="s">
        <v>2571</v>
      </c>
      <c r="AP362" s="11">
        <v>46255</v>
      </c>
      <c r="AQ362" s="9" t="s">
        <v>2564</v>
      </c>
      <c r="AR362" s="9">
        <v>4</v>
      </c>
      <c r="AS362" s="9" t="s">
        <v>2626</v>
      </c>
      <c r="AT362" s="9">
        <v>1</v>
      </c>
      <c r="AU362" s="9" t="s">
        <v>2566</v>
      </c>
      <c r="AW362" s="9" t="s">
        <v>3068</v>
      </c>
      <c r="AY362" s="11">
        <v>46263</v>
      </c>
      <c r="AZ362" s="9">
        <v>306</v>
      </c>
      <c r="BA362" s="9">
        <v>347897</v>
      </c>
      <c r="BB362" s="11">
        <v>46256</v>
      </c>
      <c r="BC362" s="9">
        <v>1680</v>
      </c>
    </row>
    <row r="363" spans="1:55" ht="60" x14ac:dyDescent="0.25">
      <c r="A363" s="9" t="s">
        <v>2916</v>
      </c>
      <c r="B363" s="9">
        <v>1880</v>
      </c>
      <c r="C363" s="9" t="s">
        <v>2557</v>
      </c>
      <c r="D363" s="9">
        <v>1566</v>
      </c>
      <c r="E363" s="9">
        <v>2026</v>
      </c>
      <c r="F363" s="9" t="s">
        <v>3069</v>
      </c>
      <c r="G363" s="9">
        <v>62052000</v>
      </c>
      <c r="H363" s="9">
        <v>2016</v>
      </c>
      <c r="I363" s="9">
        <v>86</v>
      </c>
      <c r="J363" s="9" t="s">
        <v>2574</v>
      </c>
      <c r="K363" s="9">
        <v>0</v>
      </c>
      <c r="L363" s="10">
        <v>361426.94</v>
      </c>
      <c r="M363" s="10">
        <v>361426.94</v>
      </c>
      <c r="N363" s="9">
        <v>0</v>
      </c>
      <c r="O363" s="9">
        <v>0</v>
      </c>
      <c r="P363" s="9">
        <v>0</v>
      </c>
      <c r="R363" s="10">
        <v>361426.94</v>
      </c>
      <c r="S363" s="11">
        <v>46287</v>
      </c>
      <c r="T363" s="10">
        <v>344841.96</v>
      </c>
      <c r="U363" s="9">
        <v>1</v>
      </c>
      <c r="V363" s="11">
        <v>46263</v>
      </c>
      <c r="W363" s="9">
        <v>260326210686920</v>
      </c>
      <c r="X363" s="9" t="s">
        <v>2559</v>
      </c>
      <c r="Y363" s="9" t="s">
        <v>2560</v>
      </c>
      <c r="Z363" s="9" t="s">
        <v>2922</v>
      </c>
      <c r="AA363" s="12" t="s">
        <v>2578</v>
      </c>
      <c r="AB363" s="9" t="s">
        <v>2570</v>
      </c>
      <c r="AC363" s="11">
        <v>46284</v>
      </c>
      <c r="AD363" s="9">
        <v>1880</v>
      </c>
      <c r="AE363" s="9" t="s">
        <v>2570</v>
      </c>
      <c r="AF363" s="9">
        <v>10</v>
      </c>
      <c r="AG363" s="9" t="s">
        <v>2563</v>
      </c>
      <c r="AH363" s="9">
        <v>67082</v>
      </c>
      <c r="AJ363" s="9" t="s">
        <v>2990</v>
      </c>
      <c r="AK363" s="11">
        <v>46285</v>
      </c>
      <c r="AL363" s="9">
        <v>2609432</v>
      </c>
      <c r="AM363" s="11">
        <v>46252</v>
      </c>
      <c r="AO363" s="9" t="s">
        <v>2592</v>
      </c>
      <c r="AP363" s="11">
        <v>46252</v>
      </c>
      <c r="AQ363" s="9" t="s">
        <v>2564</v>
      </c>
      <c r="AR363" s="9">
        <v>4</v>
      </c>
      <c r="AS363" s="9" t="s">
        <v>2565</v>
      </c>
      <c r="AT363" s="9">
        <v>6</v>
      </c>
      <c r="AU363" s="9" t="s">
        <v>2566</v>
      </c>
      <c r="AV363" s="9" t="s">
        <v>183</v>
      </c>
      <c r="AW363" s="9" t="s">
        <v>3070</v>
      </c>
      <c r="AX363" s="9">
        <v>2609432</v>
      </c>
      <c r="AY363" s="11">
        <v>46263</v>
      </c>
      <c r="AZ363" s="9">
        <v>306</v>
      </c>
      <c r="BA363" s="9">
        <v>330884</v>
      </c>
      <c r="BB363" s="11">
        <v>46252</v>
      </c>
      <c r="BC363" s="9">
        <v>1680</v>
      </c>
    </row>
    <row r="364" spans="1:55" ht="60" x14ac:dyDescent="0.25">
      <c r="A364" s="9" t="s">
        <v>2916</v>
      </c>
      <c r="B364" s="9">
        <v>1880</v>
      </c>
      <c r="C364" s="9" t="s">
        <v>2557</v>
      </c>
      <c r="D364" s="9">
        <v>1567</v>
      </c>
      <c r="E364" s="9">
        <v>2026</v>
      </c>
      <c r="F364" s="9" t="s">
        <v>3071</v>
      </c>
      <c r="G364" s="9">
        <v>62052000</v>
      </c>
      <c r="H364" s="9">
        <v>2016</v>
      </c>
      <c r="I364" s="9">
        <v>86</v>
      </c>
      <c r="J364" s="9" t="s">
        <v>2574</v>
      </c>
      <c r="K364" s="9">
        <v>0</v>
      </c>
      <c r="L364" s="10">
        <v>1305.6500000000001</v>
      </c>
      <c r="M364" s="10">
        <v>1305.6500000000001</v>
      </c>
      <c r="N364" s="9">
        <v>0</v>
      </c>
      <c r="O364" s="9">
        <v>0</v>
      </c>
      <c r="P364" s="9">
        <v>0</v>
      </c>
      <c r="R364" s="10">
        <v>1305.6500000000001</v>
      </c>
      <c r="U364" s="9">
        <v>1</v>
      </c>
      <c r="V364" s="11">
        <v>46263</v>
      </c>
      <c r="W364" s="9">
        <v>260326210686920</v>
      </c>
      <c r="X364" s="9" t="s">
        <v>2559</v>
      </c>
      <c r="Y364" s="9" t="s">
        <v>2560</v>
      </c>
      <c r="Z364" s="9" t="s">
        <v>2922</v>
      </c>
      <c r="AA364" s="12" t="s">
        <v>2578</v>
      </c>
      <c r="AB364" s="9" t="s">
        <v>2570</v>
      </c>
      <c r="AC364" s="11">
        <v>46284</v>
      </c>
      <c r="AD364" s="9">
        <v>1880</v>
      </c>
      <c r="AF364" s="9">
        <v>10</v>
      </c>
      <c r="AG364" s="9" t="s">
        <v>2563</v>
      </c>
      <c r="AH364" s="9">
        <v>240</v>
      </c>
      <c r="AL364" s="9">
        <v>2609433</v>
      </c>
      <c r="AM364" s="11">
        <v>46252</v>
      </c>
      <c r="AO364" s="9" t="s">
        <v>2592</v>
      </c>
      <c r="AP364" s="11">
        <v>46252</v>
      </c>
      <c r="AQ364" s="9" t="s">
        <v>2564</v>
      </c>
      <c r="AR364" s="9">
        <v>4</v>
      </c>
      <c r="AS364" s="9" t="s">
        <v>2565</v>
      </c>
      <c r="AT364" s="9">
        <v>6</v>
      </c>
      <c r="AU364" s="9" t="s">
        <v>2566</v>
      </c>
      <c r="AV364" s="9" t="s">
        <v>183</v>
      </c>
      <c r="AW364" s="9" t="s">
        <v>3072</v>
      </c>
      <c r="AX364" s="9">
        <v>2609433</v>
      </c>
      <c r="AY364" s="11">
        <v>46263</v>
      </c>
      <c r="AZ364" s="9">
        <v>306</v>
      </c>
      <c r="BA364" s="9">
        <v>330867</v>
      </c>
      <c r="BB364" s="11">
        <v>46252</v>
      </c>
      <c r="BC364" s="9">
        <v>1680</v>
      </c>
    </row>
    <row r="365" spans="1:55" ht="75" x14ac:dyDescent="0.25">
      <c r="A365" s="9" t="s">
        <v>2916</v>
      </c>
      <c r="B365" s="9">
        <v>1880</v>
      </c>
      <c r="C365" s="9" t="s">
        <v>2557</v>
      </c>
      <c r="D365" s="9">
        <v>1568</v>
      </c>
      <c r="E365" s="9">
        <v>2026</v>
      </c>
      <c r="F365" s="9" t="s">
        <v>3073</v>
      </c>
      <c r="G365" s="9">
        <v>62052000</v>
      </c>
      <c r="H365" s="9">
        <v>1204</v>
      </c>
      <c r="I365" s="9">
        <v>86</v>
      </c>
      <c r="J365" s="9" t="s">
        <v>2574</v>
      </c>
      <c r="K365" s="9">
        <v>0</v>
      </c>
      <c r="L365" s="9">
        <v>388.62</v>
      </c>
      <c r="M365" s="9">
        <v>388.62</v>
      </c>
      <c r="N365" s="9">
        <v>0</v>
      </c>
      <c r="O365" s="9">
        <v>0</v>
      </c>
      <c r="P365" s="9">
        <v>0</v>
      </c>
      <c r="R365" s="9">
        <v>388.62</v>
      </c>
      <c r="S365" s="11">
        <v>46287</v>
      </c>
      <c r="T365" s="9">
        <v>370.79</v>
      </c>
      <c r="U365" s="9">
        <v>1</v>
      </c>
      <c r="V365" s="11">
        <v>46258</v>
      </c>
      <c r="W365" s="9">
        <v>260326210686920</v>
      </c>
      <c r="X365" s="9" t="s">
        <v>2559</v>
      </c>
      <c r="Y365" s="9" t="s">
        <v>2560</v>
      </c>
      <c r="Z365" s="9" t="s">
        <v>2922</v>
      </c>
      <c r="AA365" s="12" t="s">
        <v>2952</v>
      </c>
      <c r="AB365" s="9" t="s">
        <v>2570</v>
      </c>
      <c r="AC365" s="11">
        <v>46284</v>
      </c>
      <c r="AD365" s="9">
        <v>1880</v>
      </c>
      <c r="AE365" s="9" t="s">
        <v>2570</v>
      </c>
      <c r="AF365" s="9">
        <v>10</v>
      </c>
      <c r="AG365" s="9" t="s">
        <v>2563</v>
      </c>
      <c r="AH365" s="9">
        <v>77</v>
      </c>
      <c r="AJ365" s="9" t="s">
        <v>2990</v>
      </c>
      <c r="AK365" s="11">
        <v>46285</v>
      </c>
      <c r="AL365" s="9">
        <v>2609434</v>
      </c>
      <c r="AM365" s="11">
        <v>46252</v>
      </c>
      <c r="AO365" s="9" t="s">
        <v>2592</v>
      </c>
      <c r="AP365" s="11">
        <v>46252</v>
      </c>
      <c r="AQ365" s="9" t="s">
        <v>2564</v>
      </c>
      <c r="AR365" s="9">
        <v>4</v>
      </c>
      <c r="AS365" s="9" t="s">
        <v>2565</v>
      </c>
      <c r="AT365" s="9">
        <v>6</v>
      </c>
      <c r="AU365" s="9" t="s">
        <v>2566</v>
      </c>
      <c r="AV365" s="9" t="s">
        <v>195</v>
      </c>
      <c r="AW365" s="9" t="s">
        <v>3074</v>
      </c>
      <c r="AX365" s="9">
        <v>2609434</v>
      </c>
      <c r="AY365" s="11">
        <v>46258</v>
      </c>
      <c r="AZ365" s="9">
        <v>306</v>
      </c>
      <c r="BA365" s="9">
        <v>330886</v>
      </c>
      <c r="BB365" s="11">
        <v>46252</v>
      </c>
      <c r="BC365" s="9">
        <v>1680</v>
      </c>
    </row>
    <row r="366" spans="1:55" ht="75" x14ac:dyDescent="0.25">
      <c r="A366" s="9" t="s">
        <v>2916</v>
      </c>
      <c r="B366" s="9">
        <v>1880</v>
      </c>
      <c r="C366" s="9" t="s">
        <v>2557</v>
      </c>
      <c r="D366" s="9">
        <v>1569</v>
      </c>
      <c r="E366" s="9">
        <v>2026</v>
      </c>
      <c r="F366" s="9" t="s">
        <v>3075</v>
      </c>
      <c r="G366" s="9">
        <v>62052000</v>
      </c>
      <c r="H366" s="9">
        <v>110</v>
      </c>
      <c r="I366" s="9">
        <v>86</v>
      </c>
      <c r="J366" s="9" t="s">
        <v>2574</v>
      </c>
      <c r="K366" s="9">
        <v>0</v>
      </c>
      <c r="L366" s="10">
        <v>21600.77</v>
      </c>
      <c r="M366" s="10">
        <v>21600.77</v>
      </c>
      <c r="N366" s="9">
        <v>0</v>
      </c>
      <c r="O366" s="9">
        <v>0</v>
      </c>
      <c r="P366" s="9">
        <v>0</v>
      </c>
      <c r="R366" s="10">
        <v>21600.77</v>
      </c>
      <c r="S366" s="11">
        <v>46287</v>
      </c>
      <c r="T366" s="10">
        <v>20609.560000000001</v>
      </c>
      <c r="U366" s="9">
        <v>1</v>
      </c>
      <c r="V366" s="11">
        <v>46259</v>
      </c>
      <c r="W366" s="9">
        <v>260326210686920</v>
      </c>
      <c r="X366" s="9" t="s">
        <v>2559</v>
      </c>
      <c r="Y366" s="9" t="s">
        <v>2560</v>
      </c>
      <c r="Z366" s="9" t="s">
        <v>2922</v>
      </c>
      <c r="AA366" s="12" t="s">
        <v>2576</v>
      </c>
      <c r="AB366" s="9" t="s">
        <v>2570</v>
      </c>
      <c r="AC366" s="11">
        <v>46284</v>
      </c>
      <c r="AD366" s="9">
        <v>1880</v>
      </c>
      <c r="AE366" s="9" t="s">
        <v>2570</v>
      </c>
      <c r="AF366" s="9">
        <v>10</v>
      </c>
      <c r="AG366" s="9" t="s">
        <v>2563</v>
      </c>
      <c r="AH366" s="9">
        <v>3936</v>
      </c>
      <c r="AJ366" s="9" t="s">
        <v>2990</v>
      </c>
      <c r="AK366" s="11">
        <v>46285</v>
      </c>
      <c r="AL366" s="9">
        <v>2609435</v>
      </c>
      <c r="AM366" s="11">
        <v>46252</v>
      </c>
      <c r="AO366" s="9" t="s">
        <v>2592</v>
      </c>
      <c r="AP366" s="11">
        <v>46252</v>
      </c>
      <c r="AQ366" s="9" t="s">
        <v>2564</v>
      </c>
      <c r="AR366" s="9">
        <v>4</v>
      </c>
      <c r="AS366" s="9" t="s">
        <v>2565</v>
      </c>
      <c r="AT366" s="9">
        <v>6</v>
      </c>
      <c r="AU366" s="9" t="s">
        <v>2566</v>
      </c>
      <c r="AV366" s="9" t="s">
        <v>190</v>
      </c>
      <c r="AW366" s="9" t="s">
        <v>3076</v>
      </c>
      <c r="AX366" s="9">
        <v>2609435</v>
      </c>
      <c r="AY366" s="11">
        <v>46259</v>
      </c>
      <c r="AZ366" s="9">
        <v>306</v>
      </c>
      <c r="BA366" s="9">
        <v>330869</v>
      </c>
      <c r="BB366" s="11">
        <v>46252</v>
      </c>
      <c r="BC366" s="9">
        <v>1680</v>
      </c>
    </row>
    <row r="367" spans="1:55" ht="75" x14ac:dyDescent="0.25">
      <c r="A367" s="9" t="s">
        <v>2916</v>
      </c>
      <c r="B367" s="9">
        <v>1880</v>
      </c>
      <c r="C367" s="9" t="s">
        <v>2557</v>
      </c>
      <c r="D367" s="9">
        <v>1570</v>
      </c>
      <c r="E367" s="9">
        <v>2026</v>
      </c>
      <c r="F367" s="9" t="s">
        <v>3077</v>
      </c>
      <c r="G367" s="9">
        <v>62052000</v>
      </c>
      <c r="H367" s="9">
        <v>1204</v>
      </c>
      <c r="I367" s="9">
        <v>86</v>
      </c>
      <c r="J367" s="9" t="s">
        <v>2574</v>
      </c>
      <c r="K367" s="9">
        <v>0</v>
      </c>
      <c r="L367" s="10">
        <v>1260.97</v>
      </c>
      <c r="M367" s="10">
        <v>1260.97</v>
      </c>
      <c r="N367" s="9">
        <v>0</v>
      </c>
      <c r="O367" s="9">
        <v>0</v>
      </c>
      <c r="P367" s="9">
        <v>0</v>
      </c>
      <c r="R367" s="10">
        <v>1260.97</v>
      </c>
      <c r="U367" s="9">
        <v>1</v>
      </c>
      <c r="V367" s="11">
        <v>46258</v>
      </c>
      <c r="W367" s="9">
        <v>260326210686920</v>
      </c>
      <c r="X367" s="9" t="s">
        <v>2559</v>
      </c>
      <c r="Y367" s="9" t="s">
        <v>2560</v>
      </c>
      <c r="Z367" s="9" t="s">
        <v>2922</v>
      </c>
      <c r="AA367" s="12" t="s">
        <v>2952</v>
      </c>
      <c r="AB367" s="9" t="s">
        <v>2570</v>
      </c>
      <c r="AC367" s="11">
        <v>46284</v>
      </c>
      <c r="AD367" s="9">
        <v>1880</v>
      </c>
      <c r="AF367" s="9">
        <v>10</v>
      </c>
      <c r="AG367" s="9" t="s">
        <v>2563</v>
      </c>
      <c r="AH367" s="9">
        <v>237</v>
      </c>
      <c r="AL367" s="9">
        <v>2609436</v>
      </c>
      <c r="AM367" s="11">
        <v>46252</v>
      </c>
      <c r="AO367" s="9" t="s">
        <v>2592</v>
      </c>
      <c r="AP367" s="11">
        <v>46252</v>
      </c>
      <c r="AQ367" s="9" t="s">
        <v>2564</v>
      </c>
      <c r="AR367" s="9">
        <v>4</v>
      </c>
      <c r="AS367" s="9" t="s">
        <v>2565</v>
      </c>
      <c r="AT367" s="9">
        <v>6</v>
      </c>
      <c r="AU367" s="9" t="s">
        <v>2566</v>
      </c>
      <c r="AV367" s="9" t="s">
        <v>195</v>
      </c>
      <c r="AW367" s="9" t="s">
        <v>3078</v>
      </c>
      <c r="AX367" s="9">
        <v>2609436</v>
      </c>
      <c r="AY367" s="11">
        <v>46258</v>
      </c>
      <c r="AZ367" s="9">
        <v>306</v>
      </c>
      <c r="BA367" s="9">
        <v>330891</v>
      </c>
      <c r="BB367" s="11">
        <v>46252</v>
      </c>
      <c r="BC367" s="9">
        <v>1680</v>
      </c>
    </row>
    <row r="368" spans="1:55" x14ac:dyDescent="0.25">
      <c r="A368" s="9" t="s">
        <v>2916</v>
      </c>
      <c r="B368" s="9">
        <v>1880</v>
      </c>
      <c r="C368" s="9" t="s">
        <v>2557</v>
      </c>
      <c r="D368" s="9">
        <v>1577</v>
      </c>
      <c r="E368" s="9">
        <v>2026</v>
      </c>
      <c r="F368" s="9" t="s">
        <v>3079</v>
      </c>
      <c r="G368" s="9">
        <v>62044200</v>
      </c>
      <c r="H368" s="9">
        <v>2016</v>
      </c>
      <c r="I368" s="9">
        <v>1</v>
      </c>
      <c r="J368" s="9" t="s">
        <v>2558</v>
      </c>
      <c r="L368" s="10">
        <v>2453.1</v>
      </c>
      <c r="M368" s="10">
        <v>2453.1</v>
      </c>
      <c r="N368" s="9">
        <v>794.3</v>
      </c>
      <c r="O368" s="9">
        <v>0</v>
      </c>
      <c r="R368" s="10">
        <v>2453.1</v>
      </c>
      <c r="U368" s="9">
        <v>8</v>
      </c>
      <c r="V368" s="11">
        <v>46260</v>
      </c>
      <c r="W368" s="9">
        <v>260326210686920</v>
      </c>
      <c r="X368" s="9" t="s">
        <v>2559</v>
      </c>
      <c r="Y368" s="9" t="s">
        <v>2560</v>
      </c>
      <c r="Z368" s="9" t="s">
        <v>2918</v>
      </c>
      <c r="AA368" s="9" t="s">
        <v>2919</v>
      </c>
      <c r="AB368" s="9" t="s">
        <v>2570</v>
      </c>
      <c r="AC368" s="11">
        <v>46271</v>
      </c>
      <c r="AD368" s="9">
        <v>1880</v>
      </c>
      <c r="AF368" s="9">
        <v>10</v>
      </c>
      <c r="AG368" s="9" t="s">
        <v>2563</v>
      </c>
      <c r="AH368" s="9">
        <v>663</v>
      </c>
      <c r="AJ368" s="9" t="s">
        <v>2925</v>
      </c>
      <c r="AK368" s="11">
        <v>46274</v>
      </c>
      <c r="AL368" s="9">
        <v>2609448</v>
      </c>
      <c r="AM368" s="11">
        <v>46252</v>
      </c>
      <c r="AO368" s="9" t="s">
        <v>3080</v>
      </c>
      <c r="AP368" s="11">
        <v>46253</v>
      </c>
      <c r="AQ368" s="9" t="s">
        <v>2564</v>
      </c>
      <c r="AR368" s="9">
        <v>9</v>
      </c>
      <c r="AS368" s="9" t="s">
        <v>2572</v>
      </c>
      <c r="AT368" s="9">
        <v>7</v>
      </c>
      <c r="AU368" s="9" t="s">
        <v>2566</v>
      </c>
      <c r="AW368" s="9" t="s">
        <v>3081</v>
      </c>
      <c r="AY368" s="11">
        <v>46259</v>
      </c>
      <c r="AZ368" s="9">
        <v>101</v>
      </c>
      <c r="BA368" s="9">
        <v>871901</v>
      </c>
      <c r="BB368" s="11">
        <v>46259</v>
      </c>
      <c r="BC368" s="9">
        <v>1680</v>
      </c>
    </row>
    <row r="369" spans="1:55" x14ac:dyDescent="0.25">
      <c r="A369" s="9" t="s">
        <v>2916</v>
      </c>
      <c r="B369" s="9">
        <v>1880</v>
      </c>
      <c r="C369" s="9" t="s">
        <v>2557</v>
      </c>
      <c r="D369" s="9">
        <v>1754</v>
      </c>
      <c r="E369" s="9">
        <v>2026</v>
      </c>
      <c r="F369" s="9" t="s">
        <v>3082</v>
      </c>
      <c r="G369" s="9">
        <v>62052000</v>
      </c>
      <c r="H369" s="9">
        <v>2016</v>
      </c>
      <c r="I369" s="9">
        <v>1</v>
      </c>
      <c r="J369" s="9" t="s">
        <v>2558</v>
      </c>
      <c r="L369" s="10">
        <v>14692.86</v>
      </c>
      <c r="M369" s="10">
        <v>14692.86</v>
      </c>
      <c r="N369" s="9">
        <v>0</v>
      </c>
      <c r="O369" s="9">
        <v>0</v>
      </c>
      <c r="P369" s="9">
        <v>0</v>
      </c>
      <c r="R369" s="10">
        <v>14692.86</v>
      </c>
      <c r="U369" s="9">
        <v>1</v>
      </c>
      <c r="W369" s="9">
        <v>260326210686920</v>
      </c>
      <c r="X369" s="9" t="s">
        <v>2559</v>
      </c>
      <c r="Y369" s="9" t="s">
        <v>2560</v>
      </c>
      <c r="Z369" s="9" t="s">
        <v>2918</v>
      </c>
      <c r="AA369" s="9" t="s">
        <v>2919</v>
      </c>
      <c r="AF369" s="9">
        <v>10</v>
      </c>
      <c r="AG369" s="9" t="s">
        <v>2563</v>
      </c>
      <c r="AH369" s="9">
        <v>3276</v>
      </c>
      <c r="AO369" s="9" t="s">
        <v>2614</v>
      </c>
      <c r="AP369" s="11">
        <v>46269</v>
      </c>
      <c r="AQ369" s="9" t="s">
        <v>2564</v>
      </c>
      <c r="AR369" s="9">
        <v>4</v>
      </c>
      <c r="AU369" s="9" t="s">
        <v>2566</v>
      </c>
      <c r="AZ369" s="9">
        <v>306</v>
      </c>
      <c r="BA369" s="9">
        <v>411917</v>
      </c>
      <c r="BB369" s="11">
        <v>46270</v>
      </c>
      <c r="BC369" s="9">
        <v>1680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49BC-95E7-4871-80B4-5D21DF2D6254}">
  <dimension ref="A1:BI197"/>
  <sheetViews>
    <sheetView workbookViewId="0">
      <selection activeCell="O13" sqref="O13"/>
    </sheetView>
  </sheetViews>
  <sheetFormatPr defaultRowHeight="15" x14ac:dyDescent="0.25"/>
  <cols>
    <col min="1" max="16384" width="9.140625" style="9"/>
  </cols>
  <sheetData>
    <row r="1" spans="1:61" x14ac:dyDescent="0.25">
      <c r="A1" s="9" t="s">
        <v>2531</v>
      </c>
      <c r="B1" s="9" t="s">
        <v>2502</v>
      </c>
      <c r="C1" s="9" t="s">
        <v>2504</v>
      </c>
      <c r="D1" s="9" t="s">
        <v>3178</v>
      </c>
      <c r="E1" s="9" t="s">
        <v>2505</v>
      </c>
      <c r="F1" s="9" t="s">
        <v>2506</v>
      </c>
      <c r="G1" s="9" t="s">
        <v>2507</v>
      </c>
      <c r="H1" s="9" t="s">
        <v>2508</v>
      </c>
      <c r="I1" s="9" t="s">
        <v>3177</v>
      </c>
      <c r="J1" s="9" t="s">
        <v>3176</v>
      </c>
      <c r="K1" s="9" t="s">
        <v>2511</v>
      </c>
      <c r="L1" s="9" t="s">
        <v>3175</v>
      </c>
      <c r="M1" s="9" t="s">
        <v>3174</v>
      </c>
      <c r="N1" s="9" t="s">
        <v>3173</v>
      </c>
      <c r="O1" s="9" t="s">
        <v>2513</v>
      </c>
      <c r="P1" s="9" t="s">
        <v>3172</v>
      </c>
      <c r="Q1" s="9" t="s">
        <v>2514</v>
      </c>
      <c r="R1" s="9" t="s">
        <v>2515</v>
      </c>
      <c r="S1" s="9" t="s">
        <v>2516</v>
      </c>
      <c r="T1" s="9" t="s">
        <v>2517</v>
      </c>
      <c r="U1" s="9" t="s">
        <v>2518</v>
      </c>
      <c r="V1" s="9" t="s">
        <v>2519</v>
      </c>
      <c r="W1" s="9" t="s">
        <v>2521</v>
      </c>
      <c r="X1" s="9" t="s">
        <v>3171</v>
      </c>
      <c r="Y1" s="9" t="s">
        <v>3170</v>
      </c>
      <c r="Z1" s="9" t="s">
        <v>2523</v>
      </c>
      <c r="AA1" s="9" t="s">
        <v>2520</v>
      </c>
      <c r="AB1" s="9" t="s">
        <v>2525</v>
      </c>
      <c r="AC1" s="9" t="s">
        <v>2524</v>
      </c>
      <c r="AD1" s="9" t="s">
        <v>2526</v>
      </c>
      <c r="AE1" s="9" t="s">
        <v>3169</v>
      </c>
      <c r="AF1" s="9" t="s">
        <v>2528</v>
      </c>
      <c r="AG1" s="9" t="s">
        <v>2529</v>
      </c>
      <c r="AH1" s="9" t="s">
        <v>2532</v>
      </c>
      <c r="AI1" s="9" t="s">
        <v>2533</v>
      </c>
      <c r="AJ1" s="9" t="s">
        <v>2534</v>
      </c>
      <c r="AK1" s="9" t="s">
        <v>2535</v>
      </c>
      <c r="AL1" s="9" t="s">
        <v>2536</v>
      </c>
      <c r="AM1" s="9" t="s">
        <v>2537</v>
      </c>
      <c r="AN1" s="9" t="s">
        <v>2538</v>
      </c>
      <c r="AO1" s="9" t="s">
        <v>1</v>
      </c>
      <c r="AP1" s="9" t="s">
        <v>26</v>
      </c>
      <c r="AQ1" s="9" t="s">
        <v>2539</v>
      </c>
      <c r="AR1" s="9" t="s">
        <v>2540</v>
      </c>
      <c r="AS1" s="9" t="s">
        <v>2544</v>
      </c>
      <c r="AT1" s="9" t="s">
        <v>2546</v>
      </c>
      <c r="AU1" s="9" t="s">
        <v>2547</v>
      </c>
      <c r="AV1" s="9" t="s">
        <v>3168</v>
      </c>
      <c r="AW1" s="9" t="s">
        <v>2549</v>
      </c>
      <c r="AX1" s="9" t="s">
        <v>3167</v>
      </c>
      <c r="AY1" s="9" t="s">
        <v>3166</v>
      </c>
      <c r="AZ1" s="9" t="s">
        <v>2548</v>
      </c>
      <c r="BA1" s="9" t="s">
        <v>2550</v>
      </c>
      <c r="BB1" s="9" t="s">
        <v>2551</v>
      </c>
      <c r="BC1" s="9" t="s">
        <v>3165</v>
      </c>
      <c r="BD1" s="9" t="s">
        <v>2552</v>
      </c>
      <c r="BE1" s="9" t="s">
        <v>2553</v>
      </c>
      <c r="BF1" s="9" t="s">
        <v>3164</v>
      </c>
      <c r="BG1" s="9" t="s">
        <v>3163</v>
      </c>
      <c r="BH1" s="9" t="s">
        <v>3162</v>
      </c>
      <c r="BI1" s="9" t="s">
        <v>3161</v>
      </c>
    </row>
    <row r="2" spans="1:61" x14ac:dyDescent="0.25">
      <c r="A2" s="9">
        <v>947</v>
      </c>
      <c r="B2" s="9" t="s">
        <v>2644</v>
      </c>
      <c r="C2" s="9" t="s">
        <v>2645</v>
      </c>
      <c r="D2" s="9">
        <v>947</v>
      </c>
      <c r="E2" s="9">
        <v>1299</v>
      </c>
      <c r="F2" s="9">
        <v>2026</v>
      </c>
      <c r="G2" s="9">
        <v>9470012992026</v>
      </c>
      <c r="H2" s="9">
        <v>62071100</v>
      </c>
      <c r="I2" s="9">
        <v>2020</v>
      </c>
      <c r="J2" s="9" t="s">
        <v>2848</v>
      </c>
      <c r="K2" s="9">
        <v>1</v>
      </c>
      <c r="L2" s="9" t="s">
        <v>2558</v>
      </c>
      <c r="M2" s="9">
        <v>4</v>
      </c>
      <c r="N2" s="9" t="s">
        <v>3087</v>
      </c>
      <c r="O2" s="10">
        <v>2960.5</v>
      </c>
      <c r="P2" s="9">
        <v>0</v>
      </c>
      <c r="Q2" s="10">
        <v>2960.5</v>
      </c>
      <c r="R2" s="9">
        <v>0</v>
      </c>
      <c r="S2" s="9">
        <v>0</v>
      </c>
      <c r="T2" s="9">
        <v>0</v>
      </c>
      <c r="V2" s="10">
        <v>2960.5</v>
      </c>
      <c r="W2" s="10">
        <v>2938.21</v>
      </c>
      <c r="X2" s="11">
        <v>46225</v>
      </c>
      <c r="Y2" s="9" t="s">
        <v>2564</v>
      </c>
      <c r="Z2" s="11">
        <v>46235</v>
      </c>
      <c r="AA2" s="11">
        <v>46275</v>
      </c>
      <c r="AB2" s="9" t="s">
        <v>2559</v>
      </c>
      <c r="AC2" s="9">
        <v>260326210686920</v>
      </c>
      <c r="AD2" s="9" t="s">
        <v>3086</v>
      </c>
      <c r="AE2" s="9" t="s">
        <v>3095</v>
      </c>
      <c r="AF2" s="9" t="s">
        <v>2653</v>
      </c>
      <c r="AG2" s="9" t="s">
        <v>2570</v>
      </c>
      <c r="AH2" s="9" t="s">
        <v>2570</v>
      </c>
      <c r="AI2" s="9">
        <v>10</v>
      </c>
      <c r="AJ2" s="9" t="s">
        <v>2563</v>
      </c>
      <c r="AK2" s="9">
        <v>10000</v>
      </c>
      <c r="AM2" s="9" t="s">
        <v>2654</v>
      </c>
      <c r="AN2" s="11">
        <v>46274</v>
      </c>
      <c r="AO2" s="9">
        <v>2608303</v>
      </c>
      <c r="AP2" s="11">
        <v>46225</v>
      </c>
      <c r="AR2" s="9" t="s">
        <v>2577</v>
      </c>
      <c r="AS2" s="9" t="s">
        <v>2565</v>
      </c>
      <c r="AT2" s="9" t="s">
        <v>2566</v>
      </c>
      <c r="AU2" s="9" t="s">
        <v>262</v>
      </c>
      <c r="AV2" s="14">
        <v>46272</v>
      </c>
      <c r="AW2" s="9">
        <v>2608303</v>
      </c>
      <c r="AX2" s="9" t="s">
        <v>3101</v>
      </c>
      <c r="AY2" s="9">
        <v>3</v>
      </c>
      <c r="AZ2" s="9" t="s">
        <v>3160</v>
      </c>
      <c r="BA2" s="11">
        <v>46235</v>
      </c>
      <c r="BB2" s="9">
        <v>101</v>
      </c>
      <c r="BC2" s="9" t="s">
        <v>3100</v>
      </c>
      <c r="BD2" s="9">
        <v>768919</v>
      </c>
      <c r="BE2" s="11">
        <v>46234</v>
      </c>
      <c r="BF2" s="9">
        <v>1680</v>
      </c>
      <c r="BG2" s="9">
        <v>8</v>
      </c>
      <c r="BH2" s="9" t="s">
        <v>3099</v>
      </c>
      <c r="BI2" s="9">
        <v>1</v>
      </c>
    </row>
    <row r="3" spans="1:61" x14ac:dyDescent="0.25">
      <c r="A3" s="9">
        <v>947</v>
      </c>
      <c r="B3" s="9" t="s">
        <v>2644</v>
      </c>
      <c r="C3" s="9" t="s">
        <v>2645</v>
      </c>
      <c r="D3" s="9">
        <v>947</v>
      </c>
      <c r="E3" s="9">
        <v>1353</v>
      </c>
      <c r="F3" s="9">
        <v>2026</v>
      </c>
      <c r="G3" s="9">
        <v>9470013532026</v>
      </c>
      <c r="H3" s="9">
        <v>62052000</v>
      </c>
      <c r="I3" s="9">
        <v>1100</v>
      </c>
      <c r="J3" s="9" t="s">
        <v>3091</v>
      </c>
      <c r="K3" s="9">
        <v>1</v>
      </c>
      <c r="L3" s="9" t="s">
        <v>2558</v>
      </c>
      <c r="M3" s="9">
        <v>4</v>
      </c>
      <c r="N3" s="9" t="s">
        <v>3087</v>
      </c>
      <c r="O3" s="10">
        <v>96099.42</v>
      </c>
      <c r="Q3" s="10">
        <v>96099.42</v>
      </c>
      <c r="R3" s="9">
        <v>0</v>
      </c>
      <c r="S3" s="9">
        <v>0</v>
      </c>
      <c r="T3" s="9">
        <v>0</v>
      </c>
      <c r="V3" s="10">
        <v>96099.42</v>
      </c>
      <c r="X3" s="11">
        <v>46231</v>
      </c>
      <c r="Y3" s="9" t="s">
        <v>2564</v>
      </c>
      <c r="Z3" s="11">
        <v>46235</v>
      </c>
      <c r="AB3" s="9" t="s">
        <v>2559</v>
      </c>
      <c r="AC3" s="9">
        <v>260326210686920</v>
      </c>
      <c r="AD3" s="9" t="s">
        <v>3086</v>
      </c>
      <c r="AE3" s="9" t="s">
        <v>1042</v>
      </c>
      <c r="AF3" s="9" t="s">
        <v>2716</v>
      </c>
      <c r="AG3" s="9" t="s">
        <v>2570</v>
      </c>
      <c r="AI3" s="9">
        <v>10</v>
      </c>
      <c r="AJ3" s="9" t="s">
        <v>2563</v>
      </c>
      <c r="AK3" s="9">
        <v>14208</v>
      </c>
      <c r="AO3" s="9">
        <v>2608673</v>
      </c>
      <c r="AP3" s="11">
        <v>46231</v>
      </c>
      <c r="AR3" s="9" t="s">
        <v>2571</v>
      </c>
      <c r="AS3" s="9" t="s">
        <v>3159</v>
      </c>
      <c r="AT3" s="9" t="s">
        <v>2566</v>
      </c>
      <c r="AV3" s="14">
        <v>46240</v>
      </c>
      <c r="AX3" s="9" t="s">
        <v>3085</v>
      </c>
      <c r="AY3" s="9">
        <v>1</v>
      </c>
      <c r="AZ3" s="9" t="s">
        <v>3158</v>
      </c>
      <c r="BA3" s="11">
        <v>46235</v>
      </c>
      <c r="BB3" s="9">
        <v>301</v>
      </c>
      <c r="BC3" s="9" t="s">
        <v>3127</v>
      </c>
      <c r="BD3" s="9">
        <v>224438</v>
      </c>
      <c r="BE3" s="11">
        <v>46231</v>
      </c>
      <c r="BF3" s="9">
        <v>1680</v>
      </c>
      <c r="BG3" s="9">
        <v>1</v>
      </c>
      <c r="BH3" s="9" t="s">
        <v>3083</v>
      </c>
    </row>
    <row r="4" spans="1:61" x14ac:dyDescent="0.25">
      <c r="A4" s="9">
        <v>1880</v>
      </c>
      <c r="B4" s="9" t="s">
        <v>2916</v>
      </c>
      <c r="C4" s="9" t="s">
        <v>2557</v>
      </c>
      <c r="D4" s="9">
        <v>1880</v>
      </c>
      <c r="E4" s="9">
        <v>1401</v>
      </c>
      <c r="F4" s="9">
        <v>2026</v>
      </c>
      <c r="G4" s="9">
        <v>18800014012026</v>
      </c>
      <c r="H4" s="9">
        <v>62112000</v>
      </c>
      <c r="I4" s="9">
        <v>2016</v>
      </c>
      <c r="J4" s="9" t="s">
        <v>2851</v>
      </c>
      <c r="K4" s="9">
        <v>1</v>
      </c>
      <c r="L4" s="9" t="s">
        <v>2558</v>
      </c>
      <c r="M4" s="9">
        <v>4</v>
      </c>
      <c r="N4" s="9" t="s">
        <v>3087</v>
      </c>
      <c r="O4" s="10">
        <v>5686.9</v>
      </c>
      <c r="P4" s="9">
        <v>0</v>
      </c>
      <c r="Q4" s="10">
        <v>5686.9</v>
      </c>
      <c r="R4" s="9">
        <v>0</v>
      </c>
      <c r="S4" s="9">
        <v>0</v>
      </c>
      <c r="T4" s="9">
        <v>0</v>
      </c>
      <c r="V4" s="10">
        <v>5686.9</v>
      </c>
      <c r="W4" s="10">
        <v>5564.52</v>
      </c>
      <c r="X4" s="11">
        <v>46229</v>
      </c>
      <c r="Y4" s="9" t="s">
        <v>2564</v>
      </c>
      <c r="Z4" s="11">
        <v>46236</v>
      </c>
      <c r="AA4" s="11">
        <v>46279</v>
      </c>
      <c r="AB4" s="9" t="s">
        <v>2559</v>
      </c>
      <c r="AC4" s="9">
        <v>260326210686920</v>
      </c>
      <c r="AD4" s="9" t="s">
        <v>3086</v>
      </c>
      <c r="AE4" s="9" t="s">
        <v>200</v>
      </c>
      <c r="AF4" s="9" t="s">
        <v>2919</v>
      </c>
      <c r="AG4" s="9" t="s">
        <v>2570</v>
      </c>
      <c r="AH4" s="9" t="s">
        <v>2570</v>
      </c>
      <c r="AI4" s="9">
        <v>10</v>
      </c>
      <c r="AJ4" s="9" t="s">
        <v>2563</v>
      </c>
      <c r="AK4" s="9">
        <v>1537</v>
      </c>
      <c r="AM4" s="9" t="s">
        <v>2982</v>
      </c>
      <c r="AN4" s="11">
        <v>46278</v>
      </c>
      <c r="AO4" s="9">
        <v>2607728</v>
      </c>
      <c r="AP4" s="11">
        <v>46212</v>
      </c>
      <c r="AR4" s="9" t="s">
        <v>2571</v>
      </c>
      <c r="AS4" s="9" t="s">
        <v>2565</v>
      </c>
      <c r="AT4" s="9" t="s">
        <v>2566</v>
      </c>
      <c r="AU4" s="9" t="s">
        <v>183</v>
      </c>
      <c r="AV4" s="14">
        <v>46273</v>
      </c>
      <c r="AW4" s="9">
        <v>2607728</v>
      </c>
      <c r="AX4" s="9" t="s">
        <v>3085</v>
      </c>
      <c r="AY4" s="9">
        <v>1</v>
      </c>
      <c r="AZ4" s="9" t="s">
        <v>3157</v>
      </c>
      <c r="BA4" s="11">
        <v>46236</v>
      </c>
      <c r="BB4" s="9">
        <v>306</v>
      </c>
      <c r="BC4" s="9" t="s">
        <v>3084</v>
      </c>
      <c r="BD4" s="9">
        <v>209369</v>
      </c>
      <c r="BE4" s="11">
        <v>46229</v>
      </c>
      <c r="BF4" s="9">
        <v>1680</v>
      </c>
      <c r="BG4" s="9">
        <v>1</v>
      </c>
      <c r="BH4" s="9" t="s">
        <v>3083</v>
      </c>
    </row>
    <row r="5" spans="1:61" x14ac:dyDescent="0.25">
      <c r="A5" s="9">
        <v>1949</v>
      </c>
      <c r="B5" s="9" t="s">
        <v>2556</v>
      </c>
      <c r="C5" s="9" t="s">
        <v>2557</v>
      </c>
      <c r="D5" s="9">
        <v>1949</v>
      </c>
      <c r="E5" s="9">
        <v>1645</v>
      </c>
      <c r="F5" s="9">
        <v>2026</v>
      </c>
      <c r="G5" s="9">
        <v>19490016452026</v>
      </c>
      <c r="H5" s="9">
        <v>62052000</v>
      </c>
      <c r="I5" s="9">
        <v>2016</v>
      </c>
      <c r="J5" s="9" t="s">
        <v>2851</v>
      </c>
      <c r="K5" s="9">
        <v>1</v>
      </c>
      <c r="L5" s="9" t="s">
        <v>2558</v>
      </c>
      <c r="M5" s="9">
        <v>4</v>
      </c>
      <c r="N5" s="9" t="s">
        <v>3087</v>
      </c>
      <c r="O5" s="10">
        <v>25355.5</v>
      </c>
      <c r="P5" s="9">
        <v>0</v>
      </c>
      <c r="Q5" s="10">
        <v>25355.5</v>
      </c>
      <c r="R5" s="9">
        <v>0</v>
      </c>
      <c r="S5" s="9">
        <v>0</v>
      </c>
      <c r="T5" s="9">
        <v>0</v>
      </c>
      <c r="V5" s="10">
        <v>25355.5</v>
      </c>
      <c r="W5" s="10">
        <v>24818.52</v>
      </c>
      <c r="X5" s="11">
        <v>46229</v>
      </c>
      <c r="Y5" s="9" t="s">
        <v>2564</v>
      </c>
      <c r="Z5" s="11">
        <v>46236</v>
      </c>
      <c r="AA5" s="11">
        <v>46265</v>
      </c>
      <c r="AB5" s="9" t="s">
        <v>2559</v>
      </c>
      <c r="AC5" s="9">
        <v>260326210686920</v>
      </c>
      <c r="AD5" s="9" t="s">
        <v>3086</v>
      </c>
      <c r="AE5" s="9" t="s">
        <v>3097</v>
      </c>
      <c r="AF5" s="9" t="s">
        <v>2569</v>
      </c>
      <c r="AG5" s="9" t="s">
        <v>2570</v>
      </c>
      <c r="AH5" s="9" t="s">
        <v>2570</v>
      </c>
      <c r="AI5" s="9">
        <v>10</v>
      </c>
      <c r="AJ5" s="9" t="s">
        <v>2563</v>
      </c>
      <c r="AK5" s="9">
        <v>5338</v>
      </c>
      <c r="AM5" s="9" t="s">
        <v>3146</v>
      </c>
      <c r="AN5" s="11">
        <v>46252</v>
      </c>
      <c r="AO5" s="9">
        <v>2608527</v>
      </c>
      <c r="AP5" s="11">
        <v>46229</v>
      </c>
      <c r="AS5" s="9" t="s">
        <v>2565</v>
      </c>
      <c r="AT5" s="9" t="s">
        <v>2566</v>
      </c>
      <c r="AU5" s="9" t="s">
        <v>183</v>
      </c>
      <c r="AV5" s="14">
        <v>46263</v>
      </c>
      <c r="AW5" s="9">
        <v>2608527</v>
      </c>
      <c r="AX5" s="9" t="s">
        <v>3085</v>
      </c>
      <c r="AY5" s="9">
        <v>1</v>
      </c>
      <c r="AZ5" s="9" t="s">
        <v>3156</v>
      </c>
      <c r="BA5" s="11">
        <v>46236</v>
      </c>
      <c r="BB5" s="9">
        <v>306</v>
      </c>
      <c r="BC5" s="9" t="s">
        <v>3084</v>
      </c>
      <c r="BD5" s="9">
        <v>209364</v>
      </c>
      <c r="BE5" s="11">
        <v>46229</v>
      </c>
      <c r="BF5" s="9">
        <v>1680</v>
      </c>
      <c r="BG5" s="9">
        <v>1</v>
      </c>
      <c r="BH5" s="9" t="s">
        <v>3083</v>
      </c>
      <c r="BI5" s="9">
        <v>1</v>
      </c>
    </row>
    <row r="6" spans="1:61" x14ac:dyDescent="0.25">
      <c r="A6" s="9">
        <v>1949</v>
      </c>
      <c r="B6" s="9" t="s">
        <v>2556</v>
      </c>
      <c r="C6" s="9" t="s">
        <v>2557</v>
      </c>
      <c r="D6" s="9">
        <v>1949</v>
      </c>
      <c r="E6" s="9">
        <v>1646</v>
      </c>
      <c r="F6" s="9">
        <v>2026</v>
      </c>
      <c r="G6" s="9">
        <v>19490016462026</v>
      </c>
      <c r="H6" s="9">
        <v>62052000</v>
      </c>
      <c r="I6" s="9">
        <v>2016</v>
      </c>
      <c r="J6" s="9" t="s">
        <v>2851</v>
      </c>
      <c r="K6" s="9">
        <v>1</v>
      </c>
      <c r="L6" s="9" t="s">
        <v>2558</v>
      </c>
      <c r="M6" s="9">
        <v>4</v>
      </c>
      <c r="N6" s="9" t="s">
        <v>3087</v>
      </c>
      <c r="O6" s="10">
        <v>3616.8</v>
      </c>
      <c r="P6" s="9">
        <v>0</v>
      </c>
      <c r="Q6" s="10">
        <v>3616.8</v>
      </c>
      <c r="R6" s="9">
        <v>0</v>
      </c>
      <c r="S6" s="9">
        <v>0</v>
      </c>
      <c r="T6" s="9">
        <v>0</v>
      </c>
      <c r="V6" s="10">
        <v>3616.8</v>
      </c>
      <c r="W6" s="10">
        <v>3540.2</v>
      </c>
      <c r="X6" s="11">
        <v>46229</v>
      </c>
      <c r="Y6" s="9" t="s">
        <v>2564</v>
      </c>
      <c r="Z6" s="11">
        <v>46236</v>
      </c>
      <c r="AA6" s="11">
        <v>46265</v>
      </c>
      <c r="AB6" s="9" t="s">
        <v>2559</v>
      </c>
      <c r="AC6" s="9">
        <v>260326210686920</v>
      </c>
      <c r="AD6" s="9" t="s">
        <v>3086</v>
      </c>
      <c r="AE6" s="9" t="s">
        <v>3097</v>
      </c>
      <c r="AF6" s="9" t="s">
        <v>2569</v>
      </c>
      <c r="AG6" s="9" t="s">
        <v>2570</v>
      </c>
      <c r="AH6" s="9" t="s">
        <v>2570</v>
      </c>
      <c r="AI6" s="9">
        <v>10</v>
      </c>
      <c r="AJ6" s="9" t="s">
        <v>2563</v>
      </c>
      <c r="AK6" s="9">
        <v>1644</v>
      </c>
      <c r="AM6" s="9" t="s">
        <v>3146</v>
      </c>
      <c r="AN6" s="11">
        <v>46252</v>
      </c>
      <c r="AO6" s="9">
        <v>2608617</v>
      </c>
      <c r="AP6" s="11">
        <v>46229</v>
      </c>
      <c r="AS6" s="9" t="s">
        <v>2565</v>
      </c>
      <c r="AT6" s="9" t="s">
        <v>2566</v>
      </c>
      <c r="AU6" s="9" t="s">
        <v>183</v>
      </c>
      <c r="AV6" s="14">
        <v>46263</v>
      </c>
      <c r="AW6" s="9">
        <v>2608617</v>
      </c>
      <c r="AX6" s="9" t="s">
        <v>3085</v>
      </c>
      <c r="AY6" s="9">
        <v>1</v>
      </c>
      <c r="AZ6" s="9" t="s">
        <v>3155</v>
      </c>
      <c r="BA6" s="11">
        <v>46236</v>
      </c>
      <c r="BB6" s="9">
        <v>306</v>
      </c>
      <c r="BC6" s="9" t="s">
        <v>3084</v>
      </c>
      <c r="BD6" s="9">
        <v>209366</v>
      </c>
      <c r="BE6" s="11">
        <v>46229</v>
      </c>
      <c r="BF6" s="9">
        <v>1680</v>
      </c>
      <c r="BG6" s="9">
        <v>1</v>
      </c>
      <c r="BH6" s="9" t="s">
        <v>3083</v>
      </c>
      <c r="BI6" s="9">
        <v>1</v>
      </c>
    </row>
    <row r="7" spans="1:61" x14ac:dyDescent="0.25">
      <c r="A7" s="9">
        <v>1880</v>
      </c>
      <c r="B7" s="9" t="s">
        <v>2916</v>
      </c>
      <c r="C7" s="9" t="s">
        <v>2557</v>
      </c>
      <c r="D7" s="9">
        <v>1880</v>
      </c>
      <c r="E7" s="9">
        <v>1402</v>
      </c>
      <c r="F7" s="9">
        <v>2026</v>
      </c>
      <c r="G7" s="9">
        <v>18800014022026</v>
      </c>
      <c r="H7" s="9">
        <v>62052000</v>
      </c>
      <c r="I7" s="9">
        <v>2016</v>
      </c>
      <c r="J7" s="9" t="s">
        <v>2851</v>
      </c>
      <c r="K7" s="9">
        <v>1</v>
      </c>
      <c r="L7" s="9" t="s">
        <v>2558</v>
      </c>
      <c r="M7" s="9">
        <v>4</v>
      </c>
      <c r="N7" s="9" t="s">
        <v>3087</v>
      </c>
      <c r="O7" s="10">
        <v>38176.050000000003</v>
      </c>
      <c r="P7" s="9">
        <v>0</v>
      </c>
      <c r="Q7" s="10">
        <v>38176.050000000003</v>
      </c>
      <c r="R7" s="9">
        <v>0</v>
      </c>
      <c r="S7" s="9">
        <v>0</v>
      </c>
      <c r="T7" s="9">
        <v>0</v>
      </c>
      <c r="V7" s="10">
        <v>38176.050000000003</v>
      </c>
      <c r="W7" s="10">
        <v>37396.46</v>
      </c>
      <c r="X7" s="11">
        <v>46229</v>
      </c>
      <c r="Y7" s="9" t="s">
        <v>2564</v>
      </c>
      <c r="Z7" s="11">
        <v>46236</v>
      </c>
      <c r="AA7" s="11">
        <v>46265</v>
      </c>
      <c r="AB7" s="9" t="s">
        <v>2559</v>
      </c>
      <c r="AC7" s="9">
        <v>260326210686920</v>
      </c>
      <c r="AD7" s="9" t="s">
        <v>3086</v>
      </c>
      <c r="AE7" s="9" t="s">
        <v>200</v>
      </c>
      <c r="AF7" s="9" t="s">
        <v>2919</v>
      </c>
      <c r="AG7" s="9" t="s">
        <v>2570</v>
      </c>
      <c r="AH7" s="9" t="s">
        <v>2570</v>
      </c>
      <c r="AI7" s="9">
        <v>10</v>
      </c>
      <c r="AJ7" s="9" t="s">
        <v>2563</v>
      </c>
      <c r="AK7" s="9">
        <v>9618</v>
      </c>
      <c r="AM7" s="9" t="s">
        <v>3135</v>
      </c>
      <c r="AN7" s="11">
        <v>46264</v>
      </c>
      <c r="AO7" s="9">
        <v>2608618</v>
      </c>
      <c r="AP7" s="11">
        <v>46229</v>
      </c>
      <c r="AS7" s="9" t="s">
        <v>2565</v>
      </c>
      <c r="AT7" s="9" t="s">
        <v>2566</v>
      </c>
      <c r="AU7" s="9" t="s">
        <v>183</v>
      </c>
      <c r="AV7" s="14">
        <v>46263</v>
      </c>
      <c r="AW7" s="9">
        <v>2608618</v>
      </c>
      <c r="AX7" s="9" t="s">
        <v>3085</v>
      </c>
      <c r="AY7" s="9">
        <v>1</v>
      </c>
      <c r="AZ7" s="9" t="s">
        <v>3154</v>
      </c>
      <c r="BA7" s="11">
        <v>46236</v>
      </c>
      <c r="BB7" s="9">
        <v>306</v>
      </c>
      <c r="BC7" s="9" t="s">
        <v>3084</v>
      </c>
      <c r="BD7" s="9">
        <v>209371</v>
      </c>
      <c r="BE7" s="11">
        <v>46229</v>
      </c>
      <c r="BF7" s="9">
        <v>1680</v>
      </c>
      <c r="BG7" s="9">
        <v>1</v>
      </c>
      <c r="BH7" s="9" t="s">
        <v>3083</v>
      </c>
      <c r="BI7" s="9">
        <v>1</v>
      </c>
    </row>
    <row r="8" spans="1:61" x14ac:dyDescent="0.25">
      <c r="A8" s="9">
        <v>947</v>
      </c>
      <c r="B8" s="9" t="s">
        <v>2644</v>
      </c>
      <c r="C8" s="9" t="s">
        <v>2645</v>
      </c>
      <c r="D8" s="9">
        <v>947</v>
      </c>
      <c r="E8" s="9">
        <v>1297</v>
      </c>
      <c r="F8" s="9">
        <v>2026</v>
      </c>
      <c r="G8" s="9">
        <v>9470012972026</v>
      </c>
      <c r="H8" s="9">
        <v>62071100</v>
      </c>
      <c r="I8" s="9">
        <v>2016</v>
      </c>
      <c r="J8" s="9" t="s">
        <v>2851</v>
      </c>
      <c r="K8" s="9">
        <v>1</v>
      </c>
      <c r="L8" s="9" t="s">
        <v>2558</v>
      </c>
      <c r="M8" s="9">
        <v>4</v>
      </c>
      <c r="N8" s="9" t="s">
        <v>3087</v>
      </c>
      <c r="O8" s="10">
        <v>29605</v>
      </c>
      <c r="P8" s="9">
        <v>0</v>
      </c>
      <c r="Q8" s="10">
        <v>29605</v>
      </c>
      <c r="R8" s="9">
        <v>0</v>
      </c>
      <c r="S8" s="9">
        <v>0</v>
      </c>
      <c r="T8" s="9">
        <v>0</v>
      </c>
      <c r="V8" s="10">
        <v>29605</v>
      </c>
      <c r="W8" s="10">
        <v>29382.14</v>
      </c>
      <c r="X8" s="11">
        <v>46225</v>
      </c>
      <c r="Y8" s="9" t="s">
        <v>2564</v>
      </c>
      <c r="Z8" s="11">
        <v>46236</v>
      </c>
      <c r="AA8" s="11">
        <v>46275</v>
      </c>
      <c r="AB8" s="9" t="s">
        <v>2559</v>
      </c>
      <c r="AC8" s="9">
        <v>260326210686920</v>
      </c>
      <c r="AD8" s="9" t="s">
        <v>3086</v>
      </c>
      <c r="AE8" s="9" t="s">
        <v>3095</v>
      </c>
      <c r="AF8" s="9" t="s">
        <v>2653</v>
      </c>
      <c r="AG8" s="9" t="s">
        <v>2570</v>
      </c>
      <c r="AH8" s="9" t="s">
        <v>2570</v>
      </c>
      <c r="AI8" s="9">
        <v>10</v>
      </c>
      <c r="AJ8" s="9" t="s">
        <v>2563</v>
      </c>
      <c r="AK8" s="9">
        <v>100000</v>
      </c>
      <c r="AM8" s="9" t="s">
        <v>2654</v>
      </c>
      <c r="AN8" s="11">
        <v>46274</v>
      </c>
      <c r="AO8" s="9">
        <v>2608301</v>
      </c>
      <c r="AP8" s="11">
        <v>46225</v>
      </c>
      <c r="AR8" s="9" t="s">
        <v>2577</v>
      </c>
      <c r="AS8" s="9" t="s">
        <v>2565</v>
      </c>
      <c r="AT8" s="9" t="s">
        <v>2566</v>
      </c>
      <c r="AU8" s="9" t="s">
        <v>183</v>
      </c>
      <c r="AV8" s="14">
        <v>46272</v>
      </c>
      <c r="AW8" s="9">
        <v>2608301</v>
      </c>
      <c r="AX8" s="9" t="s">
        <v>3101</v>
      </c>
      <c r="AY8" s="9">
        <v>3</v>
      </c>
      <c r="AZ8" s="9" t="s">
        <v>3153</v>
      </c>
      <c r="BA8" s="11">
        <v>46236</v>
      </c>
      <c r="BB8" s="9">
        <v>101</v>
      </c>
      <c r="BC8" s="9" t="s">
        <v>3100</v>
      </c>
      <c r="BD8" s="9">
        <v>768290</v>
      </c>
      <c r="BE8" s="11">
        <v>46233</v>
      </c>
      <c r="BF8" s="9">
        <v>1680</v>
      </c>
      <c r="BG8" s="9">
        <v>8</v>
      </c>
      <c r="BH8" s="9" t="s">
        <v>3099</v>
      </c>
      <c r="BI8" s="9">
        <v>1</v>
      </c>
    </row>
    <row r="9" spans="1:61" x14ac:dyDescent="0.25">
      <c r="A9" s="9">
        <v>947</v>
      </c>
      <c r="B9" s="9" t="s">
        <v>2644</v>
      </c>
      <c r="C9" s="9" t="s">
        <v>2645</v>
      </c>
      <c r="D9" s="9">
        <v>947</v>
      </c>
      <c r="E9" s="9">
        <v>1298</v>
      </c>
      <c r="F9" s="9">
        <v>2026</v>
      </c>
      <c r="G9" s="9">
        <v>9470012982026</v>
      </c>
      <c r="H9" s="9">
        <v>62071100</v>
      </c>
      <c r="I9" s="9">
        <v>0</v>
      </c>
      <c r="J9" s="9" t="s">
        <v>3098</v>
      </c>
      <c r="K9" s="9">
        <v>1</v>
      </c>
      <c r="L9" s="9" t="s">
        <v>2558</v>
      </c>
      <c r="M9" s="9">
        <v>4</v>
      </c>
      <c r="N9" s="9" t="s">
        <v>3087</v>
      </c>
      <c r="O9" s="10">
        <v>1776.3</v>
      </c>
      <c r="P9" s="9">
        <v>0</v>
      </c>
      <c r="Q9" s="10">
        <v>1776.3</v>
      </c>
      <c r="R9" s="9">
        <v>0</v>
      </c>
      <c r="S9" s="9">
        <v>0</v>
      </c>
      <c r="T9" s="9">
        <v>0</v>
      </c>
      <c r="V9" s="10">
        <v>1776.3</v>
      </c>
      <c r="W9" s="10">
        <v>1762.93</v>
      </c>
      <c r="X9" s="11">
        <v>46225</v>
      </c>
      <c r="Y9" s="9" t="s">
        <v>2564</v>
      </c>
      <c r="Z9" s="11">
        <v>46236</v>
      </c>
      <c r="AA9" s="11">
        <v>46275</v>
      </c>
      <c r="AB9" s="9" t="s">
        <v>2559</v>
      </c>
      <c r="AC9" s="9">
        <v>260326210686920</v>
      </c>
      <c r="AD9" s="9" t="s">
        <v>3086</v>
      </c>
      <c r="AE9" s="9" t="s">
        <v>3095</v>
      </c>
      <c r="AF9" s="9" t="s">
        <v>2653</v>
      </c>
      <c r="AG9" s="9" t="s">
        <v>2570</v>
      </c>
      <c r="AH9" s="9" t="s">
        <v>2570</v>
      </c>
      <c r="AI9" s="9">
        <v>10</v>
      </c>
      <c r="AJ9" s="9" t="s">
        <v>2563</v>
      </c>
      <c r="AK9" s="9">
        <v>6000</v>
      </c>
      <c r="AM9" s="9" t="s">
        <v>2654</v>
      </c>
      <c r="AN9" s="11">
        <v>46274</v>
      </c>
      <c r="AO9" s="9">
        <v>2608302</v>
      </c>
      <c r="AP9" s="11">
        <v>46225</v>
      </c>
      <c r="AR9" s="9" t="s">
        <v>2577</v>
      </c>
      <c r="AS9" s="9" t="s">
        <v>2565</v>
      </c>
      <c r="AT9" s="9" t="s">
        <v>2566</v>
      </c>
      <c r="AU9" s="9" t="s">
        <v>269</v>
      </c>
      <c r="AV9" s="14">
        <v>46272</v>
      </c>
      <c r="AW9" s="9">
        <v>2608302</v>
      </c>
      <c r="AX9" s="9" t="s">
        <v>3117</v>
      </c>
      <c r="AY9" s="9">
        <v>7</v>
      </c>
      <c r="AZ9" s="9">
        <v>52026208822</v>
      </c>
      <c r="BA9" s="11">
        <v>46236</v>
      </c>
      <c r="BB9" s="9">
        <v>101</v>
      </c>
      <c r="BC9" s="9" t="s">
        <v>3100</v>
      </c>
      <c r="BD9" s="9">
        <v>775159</v>
      </c>
      <c r="BE9" s="11">
        <v>46236</v>
      </c>
      <c r="BF9" s="9">
        <v>1680</v>
      </c>
      <c r="BG9" s="9">
        <v>8</v>
      </c>
      <c r="BH9" s="9" t="s">
        <v>3099</v>
      </c>
      <c r="BI9" s="9">
        <v>1</v>
      </c>
    </row>
    <row r="10" spans="1:61" x14ac:dyDescent="0.25">
      <c r="A10" s="9">
        <v>947</v>
      </c>
      <c r="B10" s="9" t="s">
        <v>2644</v>
      </c>
      <c r="C10" s="9" t="s">
        <v>2645</v>
      </c>
      <c r="D10" s="9">
        <v>947</v>
      </c>
      <c r="E10" s="9">
        <v>1281</v>
      </c>
      <c r="F10" s="9">
        <v>2026</v>
      </c>
      <c r="G10" s="9">
        <v>9470012812026</v>
      </c>
      <c r="H10" s="9">
        <v>62071100</v>
      </c>
      <c r="I10" s="9">
        <v>2020</v>
      </c>
      <c r="J10" s="9" t="s">
        <v>2848</v>
      </c>
      <c r="K10" s="9">
        <v>1</v>
      </c>
      <c r="L10" s="9" t="s">
        <v>2558</v>
      </c>
      <c r="M10" s="9">
        <v>4</v>
      </c>
      <c r="N10" s="9" t="s">
        <v>3087</v>
      </c>
      <c r="O10" s="10">
        <v>3078.92</v>
      </c>
      <c r="P10" s="9">
        <v>0</v>
      </c>
      <c r="Q10" s="10">
        <v>3078.92</v>
      </c>
      <c r="R10" s="9">
        <v>0</v>
      </c>
      <c r="S10" s="9">
        <v>0</v>
      </c>
      <c r="T10" s="9">
        <v>0</v>
      </c>
      <c r="V10" s="10">
        <v>3078.92</v>
      </c>
      <c r="W10" s="10">
        <v>3055.81</v>
      </c>
      <c r="X10" s="11">
        <v>46223</v>
      </c>
      <c r="Y10" s="9" t="s">
        <v>2564</v>
      </c>
      <c r="Z10" s="11">
        <v>46236</v>
      </c>
      <c r="AA10" s="11">
        <v>46253</v>
      </c>
      <c r="AB10" s="9" t="s">
        <v>2559</v>
      </c>
      <c r="AC10" s="9">
        <v>260326210686920</v>
      </c>
      <c r="AD10" s="9" t="s">
        <v>3086</v>
      </c>
      <c r="AE10" s="9" t="s">
        <v>3095</v>
      </c>
      <c r="AF10" s="9" t="s">
        <v>2653</v>
      </c>
      <c r="AG10" s="9" t="s">
        <v>2570</v>
      </c>
      <c r="AH10" s="9" t="s">
        <v>2570</v>
      </c>
      <c r="AI10" s="9">
        <v>10</v>
      </c>
      <c r="AJ10" s="9" t="s">
        <v>2563</v>
      </c>
      <c r="AK10" s="9">
        <v>10400</v>
      </c>
      <c r="AM10" s="9" t="s">
        <v>3125</v>
      </c>
      <c r="AN10" s="11">
        <v>46251</v>
      </c>
      <c r="AO10" s="9">
        <v>2608256</v>
      </c>
      <c r="AP10" s="11">
        <v>46223</v>
      </c>
      <c r="AR10" s="9" t="s">
        <v>2592</v>
      </c>
      <c r="AS10" s="9" t="s">
        <v>2565</v>
      </c>
      <c r="AT10" s="9" t="s">
        <v>2566</v>
      </c>
      <c r="AV10" s="14">
        <v>46250</v>
      </c>
      <c r="AW10" s="9">
        <v>2608256</v>
      </c>
      <c r="AX10" s="9" t="s">
        <v>3094</v>
      </c>
      <c r="AY10" s="9">
        <v>6</v>
      </c>
      <c r="AZ10" s="9" t="s">
        <v>3152</v>
      </c>
      <c r="BA10" s="11">
        <v>46236</v>
      </c>
      <c r="BB10" s="9">
        <v>306</v>
      </c>
      <c r="BC10" s="9" t="s">
        <v>3084</v>
      </c>
      <c r="BD10" s="9">
        <v>192336</v>
      </c>
      <c r="BE10" s="11">
        <v>46226</v>
      </c>
      <c r="BF10" s="9">
        <v>1680</v>
      </c>
      <c r="BG10" s="9">
        <v>1</v>
      </c>
      <c r="BH10" s="9" t="s">
        <v>3083</v>
      </c>
      <c r="BI10" s="9">
        <v>1</v>
      </c>
    </row>
    <row r="11" spans="1:61" x14ac:dyDescent="0.25">
      <c r="A11" s="9">
        <v>947</v>
      </c>
      <c r="B11" s="9" t="s">
        <v>2644</v>
      </c>
      <c r="C11" s="9" t="s">
        <v>2645</v>
      </c>
      <c r="D11" s="9">
        <v>947</v>
      </c>
      <c r="E11" s="9">
        <v>1282</v>
      </c>
      <c r="F11" s="9">
        <v>2026</v>
      </c>
      <c r="G11" s="9">
        <v>9470012822026</v>
      </c>
      <c r="H11" s="9">
        <v>62071100</v>
      </c>
      <c r="I11" s="9">
        <v>2020</v>
      </c>
      <c r="J11" s="9" t="s">
        <v>2848</v>
      </c>
      <c r="K11" s="9">
        <v>1</v>
      </c>
      <c r="L11" s="9" t="s">
        <v>2558</v>
      </c>
      <c r="M11" s="9">
        <v>4</v>
      </c>
      <c r="N11" s="9" t="s">
        <v>3087</v>
      </c>
      <c r="O11" s="10">
        <v>2960.5</v>
      </c>
      <c r="P11" s="9">
        <v>0</v>
      </c>
      <c r="Q11" s="10">
        <v>2960.5</v>
      </c>
      <c r="R11" s="9">
        <v>0</v>
      </c>
      <c r="S11" s="9">
        <v>0</v>
      </c>
      <c r="T11" s="9">
        <v>0</v>
      </c>
      <c r="V11" s="10">
        <v>2960.5</v>
      </c>
      <c r="W11" s="10">
        <v>2938.28</v>
      </c>
      <c r="X11" s="11">
        <v>46223</v>
      </c>
      <c r="Y11" s="9" t="s">
        <v>2564</v>
      </c>
      <c r="Z11" s="11">
        <v>46236</v>
      </c>
      <c r="AA11" s="11">
        <v>46253</v>
      </c>
      <c r="AB11" s="9" t="s">
        <v>2559</v>
      </c>
      <c r="AC11" s="9">
        <v>260326210686920</v>
      </c>
      <c r="AD11" s="9" t="s">
        <v>3086</v>
      </c>
      <c r="AE11" s="9" t="s">
        <v>3095</v>
      </c>
      <c r="AF11" s="9" t="s">
        <v>2653</v>
      </c>
      <c r="AG11" s="9" t="s">
        <v>2570</v>
      </c>
      <c r="AH11" s="9" t="s">
        <v>2570</v>
      </c>
      <c r="AI11" s="9">
        <v>10</v>
      </c>
      <c r="AJ11" s="9" t="s">
        <v>2563</v>
      </c>
      <c r="AK11" s="9">
        <v>10000</v>
      </c>
      <c r="AM11" s="9" t="s">
        <v>3125</v>
      </c>
      <c r="AN11" s="11">
        <v>46251</v>
      </c>
      <c r="AO11" s="9">
        <v>2608257</v>
      </c>
      <c r="AP11" s="11">
        <v>46223</v>
      </c>
      <c r="AS11" s="9" t="s">
        <v>2565</v>
      </c>
      <c r="AT11" s="9" t="s">
        <v>2566</v>
      </c>
      <c r="AU11" s="9" t="s">
        <v>262</v>
      </c>
      <c r="AV11" s="14">
        <v>46250</v>
      </c>
      <c r="AW11" s="9">
        <v>2608257</v>
      </c>
      <c r="AX11" s="9" t="s">
        <v>3094</v>
      </c>
      <c r="AY11" s="9">
        <v>6</v>
      </c>
      <c r="AZ11" s="9" t="s">
        <v>3151</v>
      </c>
      <c r="BA11" s="11">
        <v>46236</v>
      </c>
      <c r="BB11" s="9">
        <v>306</v>
      </c>
      <c r="BC11" s="9" t="s">
        <v>3084</v>
      </c>
      <c r="BD11" s="9">
        <v>192321</v>
      </c>
      <c r="BE11" s="11">
        <v>46226</v>
      </c>
      <c r="BF11" s="9">
        <v>1680</v>
      </c>
      <c r="BG11" s="9">
        <v>1</v>
      </c>
      <c r="BH11" s="9" t="s">
        <v>3083</v>
      </c>
      <c r="BI11" s="9">
        <v>1</v>
      </c>
    </row>
    <row r="12" spans="1:61" x14ac:dyDescent="0.25">
      <c r="A12" s="9">
        <v>947</v>
      </c>
      <c r="B12" s="9" t="s">
        <v>2644</v>
      </c>
      <c r="C12" s="9" t="s">
        <v>2645</v>
      </c>
      <c r="D12" s="9">
        <v>947</v>
      </c>
      <c r="E12" s="9">
        <v>1283</v>
      </c>
      <c r="F12" s="9">
        <v>2026</v>
      </c>
      <c r="G12" s="9">
        <v>9470012832026</v>
      </c>
      <c r="H12" s="9">
        <v>62071100</v>
      </c>
      <c r="I12" s="9">
        <v>2000</v>
      </c>
      <c r="J12" s="9" t="s">
        <v>3092</v>
      </c>
      <c r="K12" s="9">
        <v>1</v>
      </c>
      <c r="L12" s="9" t="s">
        <v>2558</v>
      </c>
      <c r="M12" s="9">
        <v>4</v>
      </c>
      <c r="N12" s="9" t="s">
        <v>3087</v>
      </c>
      <c r="O12" s="10">
        <v>26644.5</v>
      </c>
      <c r="P12" s="9">
        <v>0</v>
      </c>
      <c r="Q12" s="10">
        <v>26644.5</v>
      </c>
      <c r="R12" s="9">
        <v>0</v>
      </c>
      <c r="S12" s="9">
        <v>0</v>
      </c>
      <c r="T12" s="9">
        <v>0</v>
      </c>
      <c r="V12" s="10">
        <v>26644.5</v>
      </c>
      <c r="W12" s="10">
        <v>26444.49</v>
      </c>
      <c r="X12" s="11">
        <v>46223</v>
      </c>
      <c r="Y12" s="9" t="s">
        <v>2564</v>
      </c>
      <c r="Z12" s="11">
        <v>46236</v>
      </c>
      <c r="AA12" s="11">
        <v>46253</v>
      </c>
      <c r="AB12" s="9" t="s">
        <v>2559</v>
      </c>
      <c r="AC12" s="9">
        <v>260326210686920</v>
      </c>
      <c r="AD12" s="9" t="s">
        <v>3086</v>
      </c>
      <c r="AE12" s="9" t="s">
        <v>3095</v>
      </c>
      <c r="AF12" s="9" t="s">
        <v>2653</v>
      </c>
      <c r="AG12" s="9" t="s">
        <v>2570</v>
      </c>
      <c r="AH12" s="9" t="s">
        <v>2570</v>
      </c>
      <c r="AI12" s="9">
        <v>10</v>
      </c>
      <c r="AJ12" s="9" t="s">
        <v>2563</v>
      </c>
      <c r="AK12" s="9">
        <v>90000</v>
      </c>
      <c r="AM12" s="9" t="s">
        <v>3125</v>
      </c>
      <c r="AN12" s="11">
        <v>46251</v>
      </c>
      <c r="AO12" s="9">
        <v>2608258</v>
      </c>
      <c r="AP12" s="11">
        <v>46223</v>
      </c>
      <c r="AS12" s="9" t="s">
        <v>2565</v>
      </c>
      <c r="AT12" s="9" t="s">
        <v>2566</v>
      </c>
      <c r="AU12" s="9" t="s">
        <v>258</v>
      </c>
      <c r="AV12" s="14">
        <v>46250</v>
      </c>
      <c r="AW12" s="9">
        <v>2608258</v>
      </c>
      <c r="AX12" s="9" t="s">
        <v>3094</v>
      </c>
      <c r="AY12" s="9">
        <v>6</v>
      </c>
      <c r="AZ12" s="9" t="s">
        <v>3150</v>
      </c>
      <c r="BA12" s="11">
        <v>46236</v>
      </c>
      <c r="BB12" s="9">
        <v>306</v>
      </c>
      <c r="BC12" s="9" t="s">
        <v>3084</v>
      </c>
      <c r="BD12" s="9">
        <v>192300</v>
      </c>
      <c r="BE12" s="11">
        <v>46226</v>
      </c>
      <c r="BF12" s="9">
        <v>1680</v>
      </c>
      <c r="BG12" s="9">
        <v>1</v>
      </c>
      <c r="BH12" s="9" t="s">
        <v>3083</v>
      </c>
      <c r="BI12" s="9">
        <v>1</v>
      </c>
    </row>
    <row r="13" spans="1:61" ht="135" x14ac:dyDescent="0.25">
      <c r="A13" s="9">
        <v>947</v>
      </c>
      <c r="B13" s="9" t="s">
        <v>2644</v>
      </c>
      <c r="C13" s="9" t="s">
        <v>2645</v>
      </c>
      <c r="D13" s="9">
        <v>947</v>
      </c>
      <c r="E13" s="9">
        <v>1284</v>
      </c>
      <c r="F13" s="9">
        <v>2026</v>
      </c>
      <c r="G13" s="9">
        <v>9470012842026</v>
      </c>
      <c r="H13" s="9">
        <v>62071100</v>
      </c>
      <c r="I13" s="9">
        <v>2020</v>
      </c>
      <c r="J13" s="9" t="s">
        <v>2848</v>
      </c>
      <c r="K13" s="9">
        <v>1</v>
      </c>
      <c r="L13" s="9" t="s">
        <v>2558</v>
      </c>
      <c r="M13" s="9">
        <v>4</v>
      </c>
      <c r="N13" s="9" t="s">
        <v>3087</v>
      </c>
      <c r="O13" s="9">
        <v>726</v>
      </c>
      <c r="P13" s="9">
        <v>0</v>
      </c>
      <c r="Q13" s="9">
        <v>726</v>
      </c>
      <c r="R13" s="9">
        <v>0</v>
      </c>
      <c r="S13" s="9">
        <v>0</v>
      </c>
      <c r="T13" s="9">
        <v>0</v>
      </c>
      <c r="V13" s="9">
        <v>726</v>
      </c>
      <c r="W13" s="9">
        <v>725.89</v>
      </c>
      <c r="X13" s="11">
        <v>46223</v>
      </c>
      <c r="Y13" s="9" t="s">
        <v>2564</v>
      </c>
      <c r="Z13" s="11">
        <v>46236</v>
      </c>
      <c r="AA13" s="11">
        <v>46294</v>
      </c>
      <c r="AB13" s="9" t="s">
        <v>2559</v>
      </c>
      <c r="AC13" s="9">
        <v>260326210686920</v>
      </c>
      <c r="AD13" s="9" t="s">
        <v>3086</v>
      </c>
      <c r="AE13" s="9" t="s">
        <v>3114</v>
      </c>
      <c r="AF13" s="12" t="s">
        <v>2658</v>
      </c>
      <c r="AG13" s="9" t="s">
        <v>2570</v>
      </c>
      <c r="AH13" s="9" t="s">
        <v>2570</v>
      </c>
      <c r="AI13" s="9">
        <v>10</v>
      </c>
      <c r="AJ13" s="9" t="s">
        <v>2563</v>
      </c>
      <c r="AK13" s="9">
        <v>660</v>
      </c>
      <c r="AM13" s="9">
        <v>591</v>
      </c>
      <c r="AN13" s="11">
        <v>46294</v>
      </c>
      <c r="AO13" s="9">
        <v>2608259</v>
      </c>
      <c r="AP13" s="11">
        <v>46223</v>
      </c>
      <c r="AR13" s="9" t="s">
        <v>2592</v>
      </c>
      <c r="AS13" s="9" t="s">
        <v>2565</v>
      </c>
      <c r="AT13" s="9" t="s">
        <v>2566</v>
      </c>
      <c r="AV13" s="14">
        <v>46294</v>
      </c>
      <c r="AW13" s="9">
        <v>2608259</v>
      </c>
      <c r="AX13" s="9" t="s">
        <v>3094</v>
      </c>
      <c r="AY13" s="9">
        <v>6</v>
      </c>
      <c r="AZ13" s="9" t="s">
        <v>3149</v>
      </c>
      <c r="BA13" s="11">
        <v>46236</v>
      </c>
      <c r="BB13" s="9">
        <v>306</v>
      </c>
      <c r="BC13" s="9" t="s">
        <v>3084</v>
      </c>
      <c r="BD13" s="9">
        <v>192332</v>
      </c>
      <c r="BE13" s="11">
        <v>46226</v>
      </c>
      <c r="BF13" s="9">
        <v>1680</v>
      </c>
      <c r="BG13" s="9">
        <v>1</v>
      </c>
      <c r="BH13" s="9" t="s">
        <v>3083</v>
      </c>
      <c r="BI13" s="9">
        <v>1</v>
      </c>
    </row>
    <row r="14" spans="1:61" x14ac:dyDescent="0.25">
      <c r="A14" s="9">
        <v>1880</v>
      </c>
      <c r="B14" s="9" t="s">
        <v>2916</v>
      </c>
      <c r="C14" s="9" t="s">
        <v>2557</v>
      </c>
      <c r="D14" s="9">
        <v>1880</v>
      </c>
      <c r="E14" s="9">
        <v>1425</v>
      </c>
      <c r="F14" s="9">
        <v>2026</v>
      </c>
      <c r="G14" s="9">
        <v>18800014252026</v>
      </c>
      <c r="H14" s="9">
        <v>62063000</v>
      </c>
      <c r="I14" s="9">
        <v>2016</v>
      </c>
      <c r="J14" s="9" t="s">
        <v>2851</v>
      </c>
      <c r="K14" s="9">
        <v>1</v>
      </c>
      <c r="L14" s="9" t="s">
        <v>2558</v>
      </c>
      <c r="M14" s="9">
        <v>4</v>
      </c>
      <c r="N14" s="9" t="s">
        <v>3087</v>
      </c>
      <c r="O14" s="10">
        <v>38281.699999999997</v>
      </c>
      <c r="Q14" s="10">
        <v>38281.699999999997</v>
      </c>
      <c r="R14" s="9">
        <v>0</v>
      </c>
      <c r="S14" s="9">
        <v>0</v>
      </c>
      <c r="T14" s="9">
        <v>0</v>
      </c>
      <c r="V14" s="10">
        <v>38281.699999999997</v>
      </c>
      <c r="W14" s="10">
        <v>37499.949999999997</v>
      </c>
      <c r="X14" s="11">
        <v>46231</v>
      </c>
      <c r="Y14" s="9" t="s">
        <v>2564</v>
      </c>
      <c r="Z14" s="11">
        <v>46237</v>
      </c>
      <c r="AA14" s="11">
        <v>46265</v>
      </c>
      <c r="AB14" s="9" t="s">
        <v>2559</v>
      </c>
      <c r="AC14" s="9">
        <v>260326210686920</v>
      </c>
      <c r="AD14" s="9" t="s">
        <v>3086</v>
      </c>
      <c r="AE14" s="9" t="s">
        <v>200</v>
      </c>
      <c r="AF14" s="9" t="s">
        <v>2919</v>
      </c>
      <c r="AG14" s="9" t="s">
        <v>2570</v>
      </c>
      <c r="AH14" s="9" t="s">
        <v>2570</v>
      </c>
      <c r="AI14" s="9">
        <v>10</v>
      </c>
      <c r="AJ14" s="9" t="s">
        <v>2563</v>
      </c>
      <c r="AK14" s="9">
        <v>12854</v>
      </c>
      <c r="AM14" s="9" t="s">
        <v>3135</v>
      </c>
      <c r="AN14" s="11">
        <v>46264</v>
      </c>
      <c r="AO14" s="9">
        <v>2608675</v>
      </c>
      <c r="AP14" s="11">
        <v>46231</v>
      </c>
      <c r="AT14" s="9" t="s">
        <v>2566</v>
      </c>
      <c r="AV14" s="14">
        <v>46263</v>
      </c>
      <c r="AX14" s="9" t="s">
        <v>3085</v>
      </c>
      <c r="AY14" s="9">
        <v>1</v>
      </c>
      <c r="AZ14" s="9" t="s">
        <v>3148</v>
      </c>
      <c r="BA14" s="11">
        <v>46237</v>
      </c>
      <c r="BB14" s="9">
        <v>306</v>
      </c>
      <c r="BC14" s="9" t="s">
        <v>3084</v>
      </c>
      <c r="BD14" s="9">
        <v>227378</v>
      </c>
      <c r="BE14" s="11">
        <v>46232</v>
      </c>
      <c r="BF14" s="9">
        <v>1680</v>
      </c>
      <c r="BG14" s="9">
        <v>1</v>
      </c>
      <c r="BH14" s="9" t="s">
        <v>3083</v>
      </c>
      <c r="BI14" s="9">
        <v>1</v>
      </c>
    </row>
    <row r="15" spans="1:61" ht="90" x14ac:dyDescent="0.25">
      <c r="A15" s="9">
        <v>947</v>
      </c>
      <c r="B15" s="9" t="s">
        <v>2644</v>
      </c>
      <c r="C15" s="9" t="s">
        <v>2645</v>
      </c>
      <c r="D15" s="9">
        <v>947</v>
      </c>
      <c r="E15" s="9">
        <v>1336</v>
      </c>
      <c r="F15" s="9">
        <v>2026</v>
      </c>
      <c r="G15" s="9">
        <v>9470013362026</v>
      </c>
      <c r="H15" s="9">
        <v>61083100</v>
      </c>
      <c r="I15" s="9">
        <v>2000</v>
      </c>
      <c r="J15" s="9" t="s">
        <v>3092</v>
      </c>
      <c r="K15" s="9">
        <v>1</v>
      </c>
      <c r="L15" s="9" t="s">
        <v>2558</v>
      </c>
      <c r="M15" s="9">
        <v>4</v>
      </c>
      <c r="N15" s="9" t="s">
        <v>3087</v>
      </c>
      <c r="O15" s="10">
        <v>33988.53</v>
      </c>
      <c r="Q15" s="10">
        <v>33988.53</v>
      </c>
      <c r="R15" s="9">
        <v>0</v>
      </c>
      <c r="S15" s="9">
        <v>0</v>
      </c>
      <c r="T15" s="9">
        <v>0</v>
      </c>
      <c r="V15" s="10">
        <v>33988.53</v>
      </c>
      <c r="W15" s="10">
        <v>33988.53</v>
      </c>
      <c r="X15" s="11">
        <v>46230</v>
      </c>
      <c r="Y15" s="9" t="s">
        <v>2564</v>
      </c>
      <c r="Z15" s="11">
        <v>46237</v>
      </c>
      <c r="AA15" s="11">
        <v>46294</v>
      </c>
      <c r="AB15" s="9" t="s">
        <v>2559</v>
      </c>
      <c r="AC15" s="9">
        <v>260326210686920</v>
      </c>
      <c r="AD15" s="9" t="s">
        <v>3086</v>
      </c>
      <c r="AE15" s="9" t="s">
        <v>139</v>
      </c>
      <c r="AF15" s="12" t="s">
        <v>2662</v>
      </c>
      <c r="AG15" s="9" t="s">
        <v>2570</v>
      </c>
      <c r="AH15" s="9" t="s">
        <v>2570</v>
      </c>
      <c r="AI15" s="9">
        <v>10</v>
      </c>
      <c r="AJ15" s="9" t="s">
        <v>2563</v>
      </c>
      <c r="AK15" s="9">
        <v>5093</v>
      </c>
      <c r="AM15" s="9">
        <v>592</v>
      </c>
      <c r="AN15" s="11">
        <v>46294</v>
      </c>
      <c r="AO15" s="9">
        <v>2608645</v>
      </c>
      <c r="AP15" s="11">
        <v>46230</v>
      </c>
      <c r="AR15" s="9" t="s">
        <v>2571</v>
      </c>
      <c r="AT15" s="9" t="s">
        <v>2566</v>
      </c>
      <c r="AV15" s="14">
        <v>46286</v>
      </c>
      <c r="AX15" s="9" t="s">
        <v>3085</v>
      </c>
      <c r="AY15" s="9">
        <v>1</v>
      </c>
      <c r="AZ15" s="9" t="s">
        <v>3147</v>
      </c>
      <c r="BA15" s="11">
        <v>46237</v>
      </c>
      <c r="BB15" s="9">
        <v>306</v>
      </c>
      <c r="BC15" s="9" t="s">
        <v>3084</v>
      </c>
      <c r="BD15" s="9">
        <v>219704</v>
      </c>
      <c r="BE15" s="11">
        <v>46231</v>
      </c>
      <c r="BF15" s="9">
        <v>1680</v>
      </c>
      <c r="BG15" s="9">
        <v>1</v>
      </c>
      <c r="BH15" s="9" t="s">
        <v>3083</v>
      </c>
      <c r="BI15" s="9">
        <v>1</v>
      </c>
    </row>
    <row r="16" spans="1:61" x14ac:dyDescent="0.25">
      <c r="A16" s="9">
        <v>1949</v>
      </c>
      <c r="B16" s="9" t="s">
        <v>2556</v>
      </c>
      <c r="C16" s="9" t="s">
        <v>2557</v>
      </c>
      <c r="D16" s="9">
        <v>1949</v>
      </c>
      <c r="E16" s="9">
        <v>1655</v>
      </c>
      <c r="F16" s="9">
        <v>2026</v>
      </c>
      <c r="G16" s="9">
        <v>19490016552026</v>
      </c>
      <c r="H16" s="9">
        <v>62042000</v>
      </c>
      <c r="I16" s="9">
        <v>2016</v>
      </c>
      <c r="J16" s="9" t="s">
        <v>2851</v>
      </c>
      <c r="K16" s="9">
        <v>1</v>
      </c>
      <c r="L16" s="9" t="s">
        <v>2558</v>
      </c>
      <c r="M16" s="9">
        <v>4</v>
      </c>
      <c r="N16" s="9" t="s">
        <v>3087</v>
      </c>
      <c r="O16" s="10">
        <v>52385.49</v>
      </c>
      <c r="Q16" s="10">
        <v>52385.49</v>
      </c>
      <c r="R16" s="9">
        <v>0</v>
      </c>
      <c r="S16" s="9">
        <v>0</v>
      </c>
      <c r="T16" s="9">
        <v>0</v>
      </c>
      <c r="V16" s="10">
        <v>52385.49</v>
      </c>
      <c r="W16" s="10">
        <v>51276.07</v>
      </c>
      <c r="X16" s="11">
        <v>46231</v>
      </c>
      <c r="Y16" s="9" t="s">
        <v>2564</v>
      </c>
      <c r="Z16" s="11">
        <v>46237</v>
      </c>
      <c r="AA16" s="11">
        <v>46265</v>
      </c>
      <c r="AB16" s="9" t="s">
        <v>2559</v>
      </c>
      <c r="AC16" s="9">
        <v>260326210686920</v>
      </c>
      <c r="AD16" s="9" t="s">
        <v>3086</v>
      </c>
      <c r="AE16" s="9" t="s">
        <v>3097</v>
      </c>
      <c r="AF16" s="9" t="s">
        <v>2569</v>
      </c>
      <c r="AG16" s="9" t="s">
        <v>2570</v>
      </c>
      <c r="AH16" s="9" t="s">
        <v>2570</v>
      </c>
      <c r="AI16" s="9">
        <v>10</v>
      </c>
      <c r="AJ16" s="9" t="s">
        <v>2563</v>
      </c>
      <c r="AK16" s="9">
        <v>14572</v>
      </c>
      <c r="AM16" s="9" t="s">
        <v>3146</v>
      </c>
      <c r="AN16" s="11">
        <v>46252</v>
      </c>
      <c r="AO16" s="9">
        <v>2608676</v>
      </c>
      <c r="AP16" s="11">
        <v>46231</v>
      </c>
      <c r="AT16" s="9" t="s">
        <v>2566</v>
      </c>
      <c r="AV16" s="14">
        <v>46263</v>
      </c>
      <c r="AX16" s="9" t="s">
        <v>3085</v>
      </c>
      <c r="AY16" s="9">
        <v>1</v>
      </c>
      <c r="AZ16" s="9" t="s">
        <v>3145</v>
      </c>
      <c r="BA16" s="11">
        <v>46237</v>
      </c>
      <c r="BB16" s="9">
        <v>306</v>
      </c>
      <c r="BC16" s="9" t="s">
        <v>3084</v>
      </c>
      <c r="BD16" s="9">
        <v>227385</v>
      </c>
      <c r="BE16" s="11">
        <v>46232</v>
      </c>
      <c r="BF16" s="9">
        <v>1680</v>
      </c>
      <c r="BG16" s="9">
        <v>1</v>
      </c>
      <c r="BH16" s="9" t="s">
        <v>3083</v>
      </c>
      <c r="BI16" s="9">
        <v>1</v>
      </c>
    </row>
    <row r="17" spans="1:61" x14ac:dyDescent="0.25">
      <c r="A17" s="9">
        <v>947</v>
      </c>
      <c r="B17" s="9" t="s">
        <v>2644</v>
      </c>
      <c r="C17" s="9" t="s">
        <v>2645</v>
      </c>
      <c r="D17" s="9">
        <v>947</v>
      </c>
      <c r="E17" s="9">
        <v>1294</v>
      </c>
      <c r="F17" s="9">
        <v>2026</v>
      </c>
      <c r="G17" s="9">
        <v>9470012942026</v>
      </c>
      <c r="H17" s="9">
        <v>62071100</v>
      </c>
      <c r="I17" s="9">
        <v>0</v>
      </c>
      <c r="J17" s="9" t="s">
        <v>3098</v>
      </c>
      <c r="K17" s="9">
        <v>1</v>
      </c>
      <c r="L17" s="9" t="s">
        <v>2558</v>
      </c>
      <c r="M17" s="9">
        <v>4</v>
      </c>
      <c r="N17" s="9" t="s">
        <v>3087</v>
      </c>
      <c r="O17" s="9">
        <v>592.1</v>
      </c>
      <c r="P17" s="9">
        <v>0</v>
      </c>
      <c r="Q17" s="9">
        <v>592.1</v>
      </c>
      <c r="R17" s="9">
        <v>0</v>
      </c>
      <c r="S17" s="9">
        <v>0</v>
      </c>
      <c r="T17" s="9">
        <v>0</v>
      </c>
      <c r="V17" s="9">
        <v>592.1</v>
      </c>
      <c r="W17" s="9">
        <v>587.64</v>
      </c>
      <c r="X17" s="11">
        <v>46225</v>
      </c>
      <c r="Y17" s="9" t="s">
        <v>2564</v>
      </c>
      <c r="Z17" s="11">
        <v>46238</v>
      </c>
      <c r="AA17" s="11">
        <v>46275</v>
      </c>
      <c r="AB17" s="9" t="s">
        <v>2559</v>
      </c>
      <c r="AC17" s="9">
        <v>260326210686920</v>
      </c>
      <c r="AD17" s="9" t="s">
        <v>3086</v>
      </c>
      <c r="AE17" s="9" t="s">
        <v>3095</v>
      </c>
      <c r="AF17" s="9" t="s">
        <v>2653</v>
      </c>
      <c r="AG17" s="9" t="s">
        <v>2570</v>
      </c>
      <c r="AH17" s="9" t="s">
        <v>2570</v>
      </c>
      <c r="AI17" s="9">
        <v>10</v>
      </c>
      <c r="AJ17" s="9" t="s">
        <v>2563</v>
      </c>
      <c r="AK17" s="9">
        <v>2000</v>
      </c>
      <c r="AM17" s="9" t="s">
        <v>2654</v>
      </c>
      <c r="AN17" s="11">
        <v>46274</v>
      </c>
      <c r="AO17" s="9">
        <v>2608298</v>
      </c>
      <c r="AP17" s="11">
        <v>46225</v>
      </c>
      <c r="AR17" s="9" t="s">
        <v>2577</v>
      </c>
      <c r="AS17" s="9" t="s">
        <v>2565</v>
      </c>
      <c r="AT17" s="9" t="s">
        <v>2566</v>
      </c>
      <c r="AU17" s="9" t="s">
        <v>1994</v>
      </c>
      <c r="AV17" s="14">
        <v>46272</v>
      </c>
      <c r="AW17" s="9">
        <v>2608298</v>
      </c>
      <c r="AX17" s="9" t="s">
        <v>3117</v>
      </c>
      <c r="AY17" s="9">
        <v>7</v>
      </c>
      <c r="AZ17" s="9">
        <v>52026208843</v>
      </c>
      <c r="BA17" s="11">
        <v>46238</v>
      </c>
      <c r="BB17" s="9">
        <v>101</v>
      </c>
      <c r="BC17" s="9" t="s">
        <v>3100</v>
      </c>
      <c r="BD17" s="9">
        <v>784710</v>
      </c>
      <c r="BE17" s="11">
        <v>46237</v>
      </c>
      <c r="BF17" s="9">
        <v>1680</v>
      </c>
      <c r="BG17" s="9">
        <v>8</v>
      </c>
      <c r="BH17" s="9" t="s">
        <v>3099</v>
      </c>
      <c r="BI17" s="9">
        <v>1</v>
      </c>
    </row>
    <row r="18" spans="1:61" ht="195" x14ac:dyDescent="0.25">
      <c r="A18" s="9">
        <v>1880</v>
      </c>
      <c r="B18" s="9" t="s">
        <v>2916</v>
      </c>
      <c r="C18" s="9" t="s">
        <v>2557</v>
      </c>
      <c r="D18" s="9">
        <v>1880</v>
      </c>
      <c r="E18" s="9">
        <v>1420</v>
      </c>
      <c r="F18" s="9">
        <v>2026</v>
      </c>
      <c r="G18" s="9">
        <v>18800014202026</v>
      </c>
      <c r="H18" s="9">
        <v>62052000</v>
      </c>
      <c r="I18" s="9">
        <v>2016</v>
      </c>
      <c r="J18" s="9" t="s">
        <v>2851</v>
      </c>
      <c r="K18" s="9">
        <v>86</v>
      </c>
      <c r="L18" s="9" t="s">
        <v>2574</v>
      </c>
      <c r="M18" s="9">
        <v>4</v>
      </c>
      <c r="N18" s="9" t="s">
        <v>3087</v>
      </c>
      <c r="O18" s="9">
        <v>518.66999999999996</v>
      </c>
      <c r="P18" s="9">
        <v>0</v>
      </c>
      <c r="Q18" s="9">
        <v>518.66999999999996</v>
      </c>
      <c r="R18" s="9">
        <v>0</v>
      </c>
      <c r="S18" s="9">
        <v>0</v>
      </c>
      <c r="T18" s="9">
        <v>0</v>
      </c>
      <c r="V18" s="9">
        <v>518.66999999999996</v>
      </c>
      <c r="W18" s="9">
        <v>494.87</v>
      </c>
      <c r="X18" s="11">
        <v>46231</v>
      </c>
      <c r="Y18" s="9" t="s">
        <v>2564</v>
      </c>
      <c r="Z18" s="11">
        <v>46238</v>
      </c>
      <c r="AA18" s="11">
        <v>46287</v>
      </c>
      <c r="AB18" s="9" t="s">
        <v>2559</v>
      </c>
      <c r="AC18" s="9">
        <v>260326210686920</v>
      </c>
      <c r="AD18" s="9" t="s">
        <v>3086</v>
      </c>
      <c r="AE18" s="9" t="s">
        <v>181</v>
      </c>
      <c r="AF18" s="12" t="s">
        <v>2578</v>
      </c>
      <c r="AG18" s="9" t="s">
        <v>2570</v>
      </c>
      <c r="AH18" s="9" t="s">
        <v>2570</v>
      </c>
      <c r="AI18" s="9">
        <v>10</v>
      </c>
      <c r="AJ18" s="9" t="s">
        <v>2563</v>
      </c>
      <c r="AK18" s="9">
        <v>145</v>
      </c>
      <c r="AM18" s="9" t="s">
        <v>2990</v>
      </c>
      <c r="AN18" s="11">
        <v>46285</v>
      </c>
      <c r="AO18" s="9">
        <v>2608660</v>
      </c>
      <c r="AP18" s="11">
        <v>46231</v>
      </c>
      <c r="AR18" s="9" t="s">
        <v>2592</v>
      </c>
      <c r="AS18" s="9" t="s">
        <v>2565</v>
      </c>
      <c r="AT18" s="9" t="s">
        <v>2566</v>
      </c>
      <c r="AU18" s="9" t="s">
        <v>183</v>
      </c>
      <c r="AV18" s="14">
        <v>46246</v>
      </c>
      <c r="AW18" s="9">
        <v>2608660</v>
      </c>
      <c r="AX18" s="9" t="s">
        <v>3094</v>
      </c>
      <c r="AY18" s="9">
        <v>6</v>
      </c>
      <c r="AZ18" s="9" t="s">
        <v>3144</v>
      </c>
      <c r="BA18" s="11">
        <v>46238</v>
      </c>
      <c r="BB18" s="9">
        <v>301</v>
      </c>
      <c r="BC18" s="9" t="s">
        <v>3127</v>
      </c>
      <c r="BD18" s="9">
        <v>224024</v>
      </c>
      <c r="BE18" s="11">
        <v>46231</v>
      </c>
      <c r="BF18" s="9">
        <v>1680</v>
      </c>
      <c r="BG18" s="9">
        <v>1</v>
      </c>
      <c r="BH18" s="9" t="s">
        <v>3083</v>
      </c>
    </row>
    <row r="19" spans="1:61" x14ac:dyDescent="0.25">
      <c r="A19" s="9">
        <v>1880</v>
      </c>
      <c r="B19" s="9" t="s">
        <v>2916</v>
      </c>
      <c r="C19" s="9" t="s">
        <v>2557</v>
      </c>
      <c r="D19" s="9">
        <v>1880</v>
      </c>
      <c r="E19" s="9">
        <v>1431</v>
      </c>
      <c r="F19" s="9">
        <v>2026</v>
      </c>
      <c r="G19" s="9">
        <v>18800014312026</v>
      </c>
      <c r="H19" s="9">
        <v>62052000</v>
      </c>
      <c r="I19" s="9">
        <v>2016</v>
      </c>
      <c r="J19" s="9" t="s">
        <v>2851</v>
      </c>
      <c r="K19" s="9">
        <v>1</v>
      </c>
      <c r="L19" s="9" t="s">
        <v>2558</v>
      </c>
      <c r="M19" s="9">
        <v>4</v>
      </c>
      <c r="N19" s="9" t="s">
        <v>3087</v>
      </c>
      <c r="O19" s="10">
        <v>24538.799999999999</v>
      </c>
      <c r="P19" s="9">
        <v>0</v>
      </c>
      <c r="Q19" s="10">
        <v>24538.799999999999</v>
      </c>
      <c r="R19" s="9">
        <v>0</v>
      </c>
      <c r="S19" s="9">
        <v>0</v>
      </c>
      <c r="T19" s="9">
        <v>0</v>
      </c>
      <c r="V19" s="10">
        <v>24538.799999999999</v>
      </c>
      <c r="W19" s="10">
        <v>24037.69</v>
      </c>
      <c r="X19" s="11">
        <v>46232</v>
      </c>
      <c r="Y19" s="9" t="s">
        <v>2564</v>
      </c>
      <c r="Z19" s="11">
        <v>46240</v>
      </c>
      <c r="AA19" s="11">
        <v>46265</v>
      </c>
      <c r="AB19" s="9" t="s">
        <v>2559</v>
      </c>
      <c r="AC19" s="9">
        <v>260326210686920</v>
      </c>
      <c r="AD19" s="9" t="s">
        <v>3086</v>
      </c>
      <c r="AE19" s="9" t="s">
        <v>200</v>
      </c>
      <c r="AF19" s="9" t="s">
        <v>2919</v>
      </c>
      <c r="AG19" s="9" t="s">
        <v>2570</v>
      </c>
      <c r="AH19" s="9" t="s">
        <v>2570</v>
      </c>
      <c r="AI19" s="9">
        <v>10</v>
      </c>
      <c r="AJ19" s="9" t="s">
        <v>2563</v>
      </c>
      <c r="AK19" s="9">
        <v>3718</v>
      </c>
      <c r="AM19" s="9" t="s">
        <v>3135</v>
      </c>
      <c r="AN19" s="11">
        <v>46264</v>
      </c>
      <c r="AO19" s="9">
        <v>2608681</v>
      </c>
      <c r="AP19" s="11">
        <v>46231</v>
      </c>
      <c r="AS19" s="9" t="s">
        <v>2565</v>
      </c>
      <c r="AT19" s="9" t="s">
        <v>2566</v>
      </c>
      <c r="AU19" s="9" t="s">
        <v>803</v>
      </c>
      <c r="AV19" s="14">
        <v>46263</v>
      </c>
      <c r="AW19" s="9">
        <v>2608681</v>
      </c>
      <c r="AX19" s="9" t="s">
        <v>3085</v>
      </c>
      <c r="AY19" s="9">
        <v>1</v>
      </c>
      <c r="AZ19" s="9" t="s">
        <v>3143</v>
      </c>
      <c r="BA19" s="11">
        <v>46240</v>
      </c>
      <c r="BB19" s="9">
        <v>306</v>
      </c>
      <c r="BC19" s="9" t="s">
        <v>3084</v>
      </c>
      <c r="BD19" s="9">
        <v>228129</v>
      </c>
      <c r="BE19" s="11">
        <v>46232</v>
      </c>
      <c r="BF19" s="9">
        <v>1680</v>
      </c>
      <c r="BG19" s="9">
        <v>1</v>
      </c>
      <c r="BH19" s="9" t="s">
        <v>3083</v>
      </c>
      <c r="BI19" s="9">
        <v>1</v>
      </c>
    </row>
    <row r="20" spans="1:61" x14ac:dyDescent="0.25">
      <c r="A20" s="9">
        <v>1880</v>
      </c>
      <c r="B20" s="9" t="s">
        <v>2916</v>
      </c>
      <c r="C20" s="9" t="s">
        <v>2557</v>
      </c>
      <c r="D20" s="9">
        <v>1880</v>
      </c>
      <c r="E20" s="9">
        <v>1432</v>
      </c>
      <c r="F20" s="9">
        <v>2026</v>
      </c>
      <c r="G20" s="9">
        <v>18800014322026</v>
      </c>
      <c r="H20" s="9">
        <v>62052000</v>
      </c>
      <c r="I20" s="9">
        <v>2016</v>
      </c>
      <c r="J20" s="9" t="s">
        <v>2851</v>
      </c>
      <c r="K20" s="9">
        <v>1</v>
      </c>
      <c r="L20" s="9" t="s">
        <v>2558</v>
      </c>
      <c r="M20" s="9">
        <v>4</v>
      </c>
      <c r="N20" s="9" t="s">
        <v>3087</v>
      </c>
      <c r="O20" s="10">
        <v>15396.4</v>
      </c>
      <c r="P20" s="9">
        <v>0</v>
      </c>
      <c r="Q20" s="10">
        <v>15396.4</v>
      </c>
      <c r="R20" s="9">
        <v>0</v>
      </c>
      <c r="S20" s="9">
        <v>0</v>
      </c>
      <c r="T20" s="9">
        <v>0</v>
      </c>
      <c r="V20" s="10">
        <v>15396.4</v>
      </c>
      <c r="W20" s="10">
        <v>15081.99</v>
      </c>
      <c r="X20" s="11">
        <v>46232</v>
      </c>
      <c r="Y20" s="9" t="s">
        <v>2564</v>
      </c>
      <c r="Z20" s="11">
        <v>46240</v>
      </c>
      <c r="AA20" s="11">
        <v>46265</v>
      </c>
      <c r="AB20" s="9" t="s">
        <v>2559</v>
      </c>
      <c r="AC20" s="9">
        <v>260326210686920</v>
      </c>
      <c r="AD20" s="9" t="s">
        <v>3086</v>
      </c>
      <c r="AE20" s="9" t="s">
        <v>200</v>
      </c>
      <c r="AF20" s="9" t="s">
        <v>2919</v>
      </c>
      <c r="AG20" s="9" t="s">
        <v>2570</v>
      </c>
      <c r="AH20" s="9" t="s">
        <v>2570</v>
      </c>
      <c r="AI20" s="9">
        <v>10</v>
      </c>
      <c r="AJ20" s="9" t="s">
        <v>2563</v>
      </c>
      <c r="AK20" s="9">
        <v>2524</v>
      </c>
      <c r="AM20" s="9" t="s">
        <v>3135</v>
      </c>
      <c r="AN20" s="11">
        <v>46264</v>
      </c>
      <c r="AO20" s="9">
        <v>2608688</v>
      </c>
      <c r="AP20" s="11">
        <v>46232</v>
      </c>
      <c r="AS20" s="9" t="s">
        <v>2565</v>
      </c>
      <c r="AT20" s="9" t="s">
        <v>2566</v>
      </c>
      <c r="AU20" s="9" t="s">
        <v>183</v>
      </c>
      <c r="AV20" s="14">
        <v>46263</v>
      </c>
      <c r="AW20" s="9">
        <v>2608688</v>
      </c>
      <c r="AX20" s="9" t="s">
        <v>3085</v>
      </c>
      <c r="AY20" s="9">
        <v>1</v>
      </c>
      <c r="AZ20" s="9" t="s">
        <v>3142</v>
      </c>
      <c r="BA20" s="11">
        <v>46240</v>
      </c>
      <c r="BB20" s="9">
        <v>306</v>
      </c>
      <c r="BC20" s="9" t="s">
        <v>3084</v>
      </c>
      <c r="BD20" s="9">
        <v>228123</v>
      </c>
      <c r="BE20" s="11">
        <v>46232</v>
      </c>
      <c r="BF20" s="9">
        <v>1680</v>
      </c>
      <c r="BG20" s="9">
        <v>1</v>
      </c>
      <c r="BH20" s="9" t="s">
        <v>3083</v>
      </c>
      <c r="BI20" s="9">
        <v>1</v>
      </c>
    </row>
    <row r="21" spans="1:61" x14ac:dyDescent="0.25">
      <c r="A21" s="9">
        <v>1880</v>
      </c>
      <c r="B21" s="9" t="s">
        <v>2916</v>
      </c>
      <c r="C21" s="9" t="s">
        <v>2557</v>
      </c>
      <c r="D21" s="9">
        <v>1880</v>
      </c>
      <c r="E21" s="9">
        <v>1434</v>
      </c>
      <c r="F21" s="9">
        <v>2026</v>
      </c>
      <c r="G21" s="9">
        <v>18800014342026</v>
      </c>
      <c r="H21" s="9">
        <v>62052000</v>
      </c>
      <c r="I21" s="9">
        <v>2016</v>
      </c>
      <c r="J21" s="9" t="s">
        <v>2851</v>
      </c>
      <c r="K21" s="9">
        <v>1</v>
      </c>
      <c r="L21" s="9" t="s">
        <v>2558</v>
      </c>
      <c r="M21" s="9">
        <v>4</v>
      </c>
      <c r="N21" s="9" t="s">
        <v>3087</v>
      </c>
      <c r="O21" s="10">
        <v>16962.5</v>
      </c>
      <c r="P21" s="9">
        <v>0</v>
      </c>
      <c r="Q21" s="10">
        <v>16962.5</v>
      </c>
      <c r="R21" s="9">
        <v>0</v>
      </c>
      <c r="S21" s="9">
        <v>0</v>
      </c>
      <c r="T21" s="9">
        <v>0</v>
      </c>
      <c r="V21" s="10">
        <v>16962.5</v>
      </c>
      <c r="W21" s="10">
        <v>16616.11</v>
      </c>
      <c r="X21" s="11">
        <v>46232</v>
      </c>
      <c r="Y21" s="9" t="s">
        <v>2564</v>
      </c>
      <c r="Z21" s="11">
        <v>46240</v>
      </c>
      <c r="AA21" s="11">
        <v>46265</v>
      </c>
      <c r="AB21" s="9" t="s">
        <v>2559</v>
      </c>
      <c r="AC21" s="9">
        <v>260326210686920</v>
      </c>
      <c r="AD21" s="9" t="s">
        <v>3086</v>
      </c>
      <c r="AE21" s="9" t="s">
        <v>200</v>
      </c>
      <c r="AF21" s="9" t="s">
        <v>2919</v>
      </c>
      <c r="AG21" s="9" t="s">
        <v>2570</v>
      </c>
      <c r="AH21" s="9" t="s">
        <v>2570</v>
      </c>
      <c r="AI21" s="9">
        <v>10</v>
      </c>
      <c r="AJ21" s="9" t="s">
        <v>2563</v>
      </c>
      <c r="AK21" s="9">
        <v>2950</v>
      </c>
      <c r="AM21" s="9" t="s">
        <v>3135</v>
      </c>
      <c r="AN21" s="11">
        <v>46264</v>
      </c>
      <c r="AO21" s="9">
        <v>2608690</v>
      </c>
      <c r="AP21" s="11">
        <v>46232</v>
      </c>
      <c r="AS21" s="9" t="s">
        <v>2565</v>
      </c>
      <c r="AT21" s="9" t="s">
        <v>2566</v>
      </c>
      <c r="AU21" s="9" t="s">
        <v>183</v>
      </c>
      <c r="AV21" s="14">
        <v>46263</v>
      </c>
      <c r="AW21" s="9">
        <v>2608690</v>
      </c>
      <c r="AX21" s="9" t="s">
        <v>3085</v>
      </c>
      <c r="AY21" s="9">
        <v>1</v>
      </c>
      <c r="AZ21" s="9" t="s">
        <v>3141</v>
      </c>
      <c r="BA21" s="11">
        <v>46240</v>
      </c>
      <c r="BB21" s="9">
        <v>306</v>
      </c>
      <c r="BC21" s="9" t="s">
        <v>3084</v>
      </c>
      <c r="BD21" s="9">
        <v>228139</v>
      </c>
      <c r="BE21" s="11">
        <v>46232</v>
      </c>
      <c r="BF21" s="9">
        <v>1680</v>
      </c>
      <c r="BG21" s="9">
        <v>1</v>
      </c>
      <c r="BH21" s="9" t="s">
        <v>3083</v>
      </c>
      <c r="BI21" s="9">
        <v>1</v>
      </c>
    </row>
    <row r="22" spans="1:61" ht="105" x14ac:dyDescent="0.25">
      <c r="A22" s="9">
        <v>947</v>
      </c>
      <c r="B22" s="9" t="s">
        <v>2644</v>
      </c>
      <c r="C22" s="9" t="s">
        <v>2645</v>
      </c>
      <c r="D22" s="9">
        <v>947</v>
      </c>
      <c r="E22" s="9">
        <v>1326</v>
      </c>
      <c r="F22" s="9">
        <v>2026</v>
      </c>
      <c r="G22" s="9">
        <v>9470013262026</v>
      </c>
      <c r="H22" s="9">
        <v>61034900</v>
      </c>
      <c r="I22" s="9">
        <v>2109</v>
      </c>
      <c r="J22" s="9" t="s">
        <v>3088</v>
      </c>
      <c r="K22" s="9">
        <v>1</v>
      </c>
      <c r="L22" s="9" t="s">
        <v>2558</v>
      </c>
      <c r="M22" s="9">
        <v>4</v>
      </c>
      <c r="N22" s="9" t="s">
        <v>3087</v>
      </c>
      <c r="O22" s="10">
        <v>26532</v>
      </c>
      <c r="Q22" s="10">
        <v>26532</v>
      </c>
      <c r="R22" s="9">
        <v>0</v>
      </c>
      <c r="S22" s="9">
        <v>0</v>
      </c>
      <c r="T22" s="9">
        <v>0</v>
      </c>
      <c r="V22" s="10">
        <v>26532</v>
      </c>
      <c r="W22" s="10">
        <v>26490.34</v>
      </c>
      <c r="X22" s="11">
        <v>46228</v>
      </c>
      <c r="Y22" s="9" t="s">
        <v>2564</v>
      </c>
      <c r="Z22" s="11">
        <v>46240</v>
      </c>
      <c r="AA22" s="11">
        <v>46267</v>
      </c>
      <c r="AB22" s="9" t="s">
        <v>2559</v>
      </c>
      <c r="AC22" s="9">
        <v>260326210686920</v>
      </c>
      <c r="AD22" s="9" t="s">
        <v>3086</v>
      </c>
      <c r="AE22" s="9" t="s">
        <v>1780</v>
      </c>
      <c r="AF22" s="12" t="s">
        <v>3140</v>
      </c>
      <c r="AG22" s="9" t="s">
        <v>2570</v>
      </c>
      <c r="AH22" s="9" t="s">
        <v>2570</v>
      </c>
      <c r="AI22" s="9">
        <v>10</v>
      </c>
      <c r="AJ22" s="9" t="s">
        <v>2563</v>
      </c>
      <c r="AK22" s="9">
        <v>20100</v>
      </c>
      <c r="AM22" s="9" t="s">
        <v>3139</v>
      </c>
      <c r="AN22" s="11">
        <v>46244</v>
      </c>
      <c r="AO22" s="9">
        <v>2608523</v>
      </c>
      <c r="AP22" s="11">
        <v>46228</v>
      </c>
      <c r="AR22" s="9" t="s">
        <v>2571</v>
      </c>
      <c r="AS22" s="9" t="s">
        <v>3138</v>
      </c>
      <c r="AT22" s="9" t="s">
        <v>2566</v>
      </c>
      <c r="AV22" s="14">
        <v>46244</v>
      </c>
      <c r="AX22" s="9" t="s">
        <v>3085</v>
      </c>
      <c r="AY22" s="9">
        <v>1</v>
      </c>
      <c r="AZ22" s="9" t="s">
        <v>3137</v>
      </c>
      <c r="BA22" s="11">
        <v>46240</v>
      </c>
      <c r="BB22" s="9">
        <v>301</v>
      </c>
      <c r="BC22" s="9" t="s">
        <v>3127</v>
      </c>
      <c r="BD22" s="9">
        <v>208452</v>
      </c>
      <c r="BE22" s="11">
        <v>46229</v>
      </c>
      <c r="BF22" s="9">
        <v>1680</v>
      </c>
      <c r="BG22" s="9">
        <v>1</v>
      </c>
      <c r="BH22" s="9" t="s">
        <v>3083</v>
      </c>
      <c r="BI22" s="9">
        <v>1</v>
      </c>
    </row>
    <row r="23" spans="1:61" x14ac:dyDescent="0.25">
      <c r="A23" s="9">
        <v>1880</v>
      </c>
      <c r="B23" s="9" t="s">
        <v>2916</v>
      </c>
      <c r="C23" s="9" t="s">
        <v>2557</v>
      </c>
      <c r="D23" s="9">
        <v>1880</v>
      </c>
      <c r="E23" s="9">
        <v>1443</v>
      </c>
      <c r="F23" s="9">
        <v>2026</v>
      </c>
      <c r="G23" s="9">
        <v>18800014432026</v>
      </c>
      <c r="H23" s="9">
        <v>62052000</v>
      </c>
      <c r="I23" s="9">
        <v>2016</v>
      </c>
      <c r="J23" s="9" t="s">
        <v>2851</v>
      </c>
      <c r="K23" s="9">
        <v>1</v>
      </c>
      <c r="L23" s="9" t="s">
        <v>2558</v>
      </c>
      <c r="M23" s="9">
        <v>4</v>
      </c>
      <c r="N23" s="9" t="s">
        <v>3087</v>
      </c>
      <c r="O23" s="10">
        <v>12266.8</v>
      </c>
      <c r="P23" s="9">
        <v>0</v>
      </c>
      <c r="Q23" s="10">
        <v>12266.8</v>
      </c>
      <c r="R23" s="9">
        <v>0</v>
      </c>
      <c r="S23" s="9">
        <v>0</v>
      </c>
      <c r="T23" s="9">
        <v>0</v>
      </c>
      <c r="V23" s="10">
        <v>12266.8</v>
      </c>
      <c r="W23" s="10">
        <v>12016.3</v>
      </c>
      <c r="X23" s="11">
        <v>46233</v>
      </c>
      <c r="Y23" s="9" t="s">
        <v>2564</v>
      </c>
      <c r="Z23" s="11">
        <v>46240</v>
      </c>
      <c r="AA23" s="11">
        <v>46265</v>
      </c>
      <c r="AB23" s="9" t="s">
        <v>2559</v>
      </c>
      <c r="AC23" s="9">
        <v>260326210686920</v>
      </c>
      <c r="AD23" s="9" t="s">
        <v>3086</v>
      </c>
      <c r="AE23" s="9" t="s">
        <v>200</v>
      </c>
      <c r="AF23" s="9" t="s">
        <v>2919</v>
      </c>
      <c r="AG23" s="9" t="s">
        <v>2570</v>
      </c>
      <c r="AH23" s="9" t="s">
        <v>2570</v>
      </c>
      <c r="AI23" s="9">
        <v>10</v>
      </c>
      <c r="AJ23" s="9" t="s">
        <v>2563</v>
      </c>
      <c r="AK23" s="9">
        <v>2696</v>
      </c>
      <c r="AM23" s="9" t="s">
        <v>3135</v>
      </c>
      <c r="AN23" s="11">
        <v>46264</v>
      </c>
      <c r="AO23" s="9">
        <v>2608692</v>
      </c>
      <c r="AP23" s="11">
        <v>46232</v>
      </c>
      <c r="AR23" s="9" t="s">
        <v>2614</v>
      </c>
      <c r="AS23" s="9" t="s">
        <v>2565</v>
      </c>
      <c r="AT23" s="9" t="s">
        <v>2566</v>
      </c>
      <c r="AU23" s="9" t="s">
        <v>183</v>
      </c>
      <c r="AV23" s="14">
        <v>46263</v>
      </c>
      <c r="AW23" s="9">
        <v>2608692</v>
      </c>
      <c r="AX23" s="9" t="s">
        <v>3085</v>
      </c>
      <c r="AY23" s="9">
        <v>1</v>
      </c>
      <c r="AZ23" s="9" t="s">
        <v>3136</v>
      </c>
      <c r="BA23" s="11">
        <v>46240</v>
      </c>
      <c r="BB23" s="9">
        <v>306</v>
      </c>
      <c r="BC23" s="9" t="s">
        <v>3084</v>
      </c>
      <c r="BD23" s="9">
        <v>232382</v>
      </c>
      <c r="BE23" s="11">
        <v>46233</v>
      </c>
      <c r="BF23" s="9">
        <v>1680</v>
      </c>
      <c r="BG23" s="9">
        <v>1</v>
      </c>
      <c r="BH23" s="9" t="s">
        <v>3083</v>
      </c>
      <c r="BI23" s="9">
        <v>1</v>
      </c>
    </row>
    <row r="24" spans="1:61" x14ac:dyDescent="0.25">
      <c r="A24" s="9">
        <v>1880</v>
      </c>
      <c r="B24" s="9" t="s">
        <v>2916</v>
      </c>
      <c r="C24" s="9" t="s">
        <v>2557</v>
      </c>
      <c r="D24" s="9">
        <v>1880</v>
      </c>
      <c r="E24" s="9">
        <v>1444</v>
      </c>
      <c r="F24" s="9">
        <v>2026</v>
      </c>
      <c r="G24" s="9">
        <v>18800014442026</v>
      </c>
      <c r="H24" s="9">
        <v>62052000</v>
      </c>
      <c r="I24" s="9">
        <v>2016</v>
      </c>
      <c r="J24" s="9" t="s">
        <v>2851</v>
      </c>
      <c r="K24" s="9">
        <v>1</v>
      </c>
      <c r="L24" s="9" t="s">
        <v>2558</v>
      </c>
      <c r="M24" s="9">
        <v>4</v>
      </c>
      <c r="N24" s="9" t="s">
        <v>3087</v>
      </c>
      <c r="O24" s="10">
        <v>4252.8999999999996</v>
      </c>
      <c r="P24" s="9">
        <v>0</v>
      </c>
      <c r="Q24" s="10">
        <v>4252.8999999999996</v>
      </c>
      <c r="R24" s="9">
        <v>0</v>
      </c>
      <c r="S24" s="9">
        <v>0</v>
      </c>
      <c r="T24" s="9">
        <v>0</v>
      </c>
      <c r="V24" s="10">
        <v>4252.8999999999996</v>
      </c>
      <c r="W24" s="10">
        <v>4166.05</v>
      </c>
      <c r="X24" s="11">
        <v>46233</v>
      </c>
      <c r="Y24" s="9" t="s">
        <v>2564</v>
      </c>
      <c r="Z24" s="11">
        <v>46240</v>
      </c>
      <c r="AA24" s="11">
        <v>46265</v>
      </c>
      <c r="AB24" s="9" t="s">
        <v>2559</v>
      </c>
      <c r="AC24" s="9">
        <v>260326210686920</v>
      </c>
      <c r="AD24" s="9" t="s">
        <v>3086</v>
      </c>
      <c r="AE24" s="9" t="s">
        <v>200</v>
      </c>
      <c r="AF24" s="9" t="s">
        <v>2919</v>
      </c>
      <c r="AG24" s="9" t="s">
        <v>2570</v>
      </c>
      <c r="AH24" s="9" t="s">
        <v>2570</v>
      </c>
      <c r="AI24" s="9">
        <v>10</v>
      </c>
      <c r="AJ24" s="9" t="s">
        <v>2563</v>
      </c>
      <c r="AK24" s="9">
        <v>1198</v>
      </c>
      <c r="AM24" s="9" t="s">
        <v>3135</v>
      </c>
      <c r="AN24" s="11">
        <v>46264</v>
      </c>
      <c r="AO24" s="9">
        <v>2608693</v>
      </c>
      <c r="AP24" s="11">
        <v>46232</v>
      </c>
      <c r="AR24" s="9" t="s">
        <v>2614</v>
      </c>
      <c r="AS24" s="9" t="s">
        <v>2565</v>
      </c>
      <c r="AT24" s="9" t="s">
        <v>2566</v>
      </c>
      <c r="AU24" s="9" t="s">
        <v>183</v>
      </c>
      <c r="AV24" s="14">
        <v>46263</v>
      </c>
      <c r="AW24" s="9">
        <v>2608693</v>
      </c>
      <c r="AX24" s="9" t="s">
        <v>3085</v>
      </c>
      <c r="AY24" s="9">
        <v>1</v>
      </c>
      <c r="AZ24" s="9" t="s">
        <v>3134</v>
      </c>
      <c r="BA24" s="11">
        <v>46240</v>
      </c>
      <c r="BB24" s="9">
        <v>306</v>
      </c>
      <c r="BC24" s="9" t="s">
        <v>3084</v>
      </c>
      <c r="BD24" s="9">
        <v>232392</v>
      </c>
      <c r="BE24" s="11">
        <v>46233</v>
      </c>
      <c r="BF24" s="9">
        <v>1680</v>
      </c>
      <c r="BG24" s="9">
        <v>1</v>
      </c>
      <c r="BH24" s="9" t="s">
        <v>3083</v>
      </c>
      <c r="BI24" s="9">
        <v>1</v>
      </c>
    </row>
    <row r="25" spans="1:61" x14ac:dyDescent="0.25">
      <c r="A25" s="9">
        <v>947</v>
      </c>
      <c r="B25" s="9" t="s">
        <v>2644</v>
      </c>
      <c r="C25" s="9" t="s">
        <v>2645</v>
      </c>
      <c r="D25" s="9">
        <v>947</v>
      </c>
      <c r="E25" s="9">
        <v>1367</v>
      </c>
      <c r="F25" s="9">
        <v>2026</v>
      </c>
      <c r="G25" s="9">
        <v>9470013672026</v>
      </c>
      <c r="H25" s="9">
        <v>61033300</v>
      </c>
      <c r="I25" s="9">
        <v>2004</v>
      </c>
      <c r="J25" s="9" t="s">
        <v>3090</v>
      </c>
      <c r="K25" s="9">
        <v>1</v>
      </c>
      <c r="L25" s="9" t="s">
        <v>2558</v>
      </c>
      <c r="M25" s="9">
        <v>4</v>
      </c>
      <c r="N25" s="9" t="s">
        <v>3087</v>
      </c>
      <c r="O25" s="10">
        <v>62294.400000000001</v>
      </c>
      <c r="Q25" s="10">
        <v>62294.400000000001</v>
      </c>
      <c r="R25" s="9">
        <v>0</v>
      </c>
      <c r="S25" s="9">
        <v>0</v>
      </c>
      <c r="T25" s="9">
        <v>0</v>
      </c>
      <c r="V25" s="10">
        <v>62294.400000000001</v>
      </c>
      <c r="W25" s="10">
        <v>62036.14</v>
      </c>
      <c r="X25" s="11">
        <v>46233</v>
      </c>
      <c r="Y25" s="9" t="s">
        <v>2564</v>
      </c>
      <c r="Z25" s="11">
        <v>46241</v>
      </c>
      <c r="AA25" s="11">
        <v>46274</v>
      </c>
      <c r="AB25" s="9" t="s">
        <v>2559</v>
      </c>
      <c r="AC25" s="9">
        <v>260326210686920</v>
      </c>
      <c r="AD25" s="9" t="s">
        <v>3086</v>
      </c>
      <c r="AE25" s="9" t="s">
        <v>3133</v>
      </c>
      <c r="AF25" s="9" t="s">
        <v>3132</v>
      </c>
      <c r="AG25" s="9" t="s">
        <v>2570</v>
      </c>
      <c r="AH25" s="9" t="s">
        <v>2570</v>
      </c>
      <c r="AI25" s="9">
        <v>10</v>
      </c>
      <c r="AJ25" s="9" t="s">
        <v>2563</v>
      </c>
      <c r="AK25" s="9">
        <v>12096</v>
      </c>
      <c r="AM25" s="9" t="s">
        <v>3131</v>
      </c>
      <c r="AN25" s="11">
        <v>46246</v>
      </c>
      <c r="AO25" s="9">
        <v>2608800</v>
      </c>
      <c r="AP25" s="11">
        <v>46233</v>
      </c>
      <c r="AR25" s="9" t="s">
        <v>2614</v>
      </c>
      <c r="AT25" s="9" t="s">
        <v>2566</v>
      </c>
      <c r="AV25" s="14">
        <v>46245</v>
      </c>
      <c r="AX25" s="9" t="s">
        <v>3085</v>
      </c>
      <c r="AY25" s="9">
        <v>1</v>
      </c>
      <c r="AZ25" s="9" t="s">
        <v>3130</v>
      </c>
      <c r="BA25" s="11">
        <v>46241</v>
      </c>
      <c r="BB25" s="9">
        <v>306</v>
      </c>
      <c r="BC25" s="9" t="s">
        <v>3084</v>
      </c>
      <c r="BD25" s="9">
        <v>238507</v>
      </c>
      <c r="BE25" s="11">
        <v>46234</v>
      </c>
      <c r="BF25" s="9">
        <v>1680</v>
      </c>
      <c r="BG25" s="9">
        <v>1</v>
      </c>
      <c r="BH25" s="9" t="s">
        <v>3083</v>
      </c>
      <c r="BI25" s="9">
        <v>1</v>
      </c>
    </row>
    <row r="26" spans="1:61" x14ac:dyDescent="0.25">
      <c r="A26" s="9">
        <v>1949</v>
      </c>
      <c r="B26" s="9" t="s">
        <v>2556</v>
      </c>
      <c r="C26" s="9" t="s">
        <v>2557</v>
      </c>
      <c r="D26" s="9">
        <v>1949</v>
      </c>
      <c r="E26" s="9">
        <v>1665</v>
      </c>
      <c r="F26" s="9">
        <v>2026</v>
      </c>
      <c r="G26" s="9">
        <v>19490016652026</v>
      </c>
      <c r="H26" s="9">
        <v>62052000</v>
      </c>
      <c r="I26" s="9">
        <v>1232</v>
      </c>
      <c r="J26" s="9" t="s">
        <v>3110</v>
      </c>
      <c r="K26" s="9">
        <v>1</v>
      </c>
      <c r="L26" s="9" t="s">
        <v>2558</v>
      </c>
      <c r="M26" s="9">
        <v>4</v>
      </c>
      <c r="N26" s="9" t="s">
        <v>3087</v>
      </c>
      <c r="O26" s="10">
        <v>37524</v>
      </c>
      <c r="P26" s="10">
        <v>14557.6</v>
      </c>
      <c r="Q26" s="10">
        <v>37524</v>
      </c>
      <c r="R26" s="9">
        <v>0</v>
      </c>
      <c r="S26" s="9">
        <v>0</v>
      </c>
      <c r="T26" s="9">
        <v>0</v>
      </c>
      <c r="U26" s="9">
        <v>14557.6</v>
      </c>
      <c r="V26" s="10">
        <v>14557.6</v>
      </c>
      <c r="W26" s="10">
        <v>14537.6</v>
      </c>
      <c r="X26" s="11">
        <v>46236</v>
      </c>
      <c r="Y26" s="9" t="s">
        <v>2564</v>
      </c>
      <c r="Z26" s="11">
        <v>46241</v>
      </c>
      <c r="AA26" s="11">
        <v>46247</v>
      </c>
      <c r="AB26" s="9" t="s">
        <v>2559</v>
      </c>
      <c r="AC26" s="9">
        <v>260326210686920</v>
      </c>
      <c r="AD26" s="9" t="s">
        <v>3086</v>
      </c>
      <c r="AE26" s="9" t="s">
        <v>3109</v>
      </c>
      <c r="AF26" s="9" t="s">
        <v>2585</v>
      </c>
      <c r="AG26" s="9" t="s">
        <v>2570</v>
      </c>
      <c r="AH26" s="9" t="s">
        <v>2570</v>
      </c>
      <c r="AI26" s="9">
        <v>10</v>
      </c>
      <c r="AJ26" s="9" t="s">
        <v>2563</v>
      </c>
      <c r="AK26" s="9">
        <v>5534</v>
      </c>
      <c r="AM26" s="9" t="s">
        <v>2586</v>
      </c>
      <c r="AN26" s="11">
        <v>46247</v>
      </c>
      <c r="AO26" s="9">
        <v>2608810</v>
      </c>
      <c r="AP26" s="11">
        <v>46235</v>
      </c>
      <c r="AT26" s="9" t="s">
        <v>2566</v>
      </c>
      <c r="AV26" s="14">
        <v>46246</v>
      </c>
      <c r="AX26" s="9" t="s">
        <v>3085</v>
      </c>
      <c r="AY26" s="9">
        <v>1</v>
      </c>
      <c r="AZ26" s="9" t="s">
        <v>2587</v>
      </c>
      <c r="BA26" s="11">
        <v>46241</v>
      </c>
      <c r="BB26" s="9">
        <v>306</v>
      </c>
      <c r="BC26" s="9" t="s">
        <v>3084</v>
      </c>
      <c r="BD26" s="9">
        <v>251818</v>
      </c>
      <c r="BE26" s="11">
        <v>46237</v>
      </c>
      <c r="BF26" s="9">
        <v>1680</v>
      </c>
      <c r="BG26" s="9">
        <v>1</v>
      </c>
      <c r="BH26" s="9" t="s">
        <v>3083</v>
      </c>
      <c r="BI26" s="9">
        <v>1</v>
      </c>
    </row>
    <row r="27" spans="1:61" ht="90" x14ac:dyDescent="0.25">
      <c r="A27" s="9">
        <v>947</v>
      </c>
      <c r="B27" s="9" t="s">
        <v>2644</v>
      </c>
      <c r="C27" s="9" t="s">
        <v>2645</v>
      </c>
      <c r="D27" s="9">
        <v>947</v>
      </c>
      <c r="E27" s="9">
        <v>1390</v>
      </c>
      <c r="F27" s="9">
        <v>2026</v>
      </c>
      <c r="G27" s="9">
        <v>9470013902026</v>
      </c>
      <c r="H27" s="9">
        <v>61044900</v>
      </c>
      <c r="I27" s="9">
        <v>2000</v>
      </c>
      <c r="J27" s="9" t="s">
        <v>3092</v>
      </c>
      <c r="K27" s="9">
        <v>1</v>
      </c>
      <c r="L27" s="9" t="s">
        <v>2558</v>
      </c>
      <c r="M27" s="9">
        <v>4</v>
      </c>
      <c r="N27" s="9" t="s">
        <v>3087</v>
      </c>
      <c r="O27" s="10">
        <v>69982.02</v>
      </c>
      <c r="P27" s="9">
        <v>0</v>
      </c>
      <c r="Q27" s="10">
        <v>69982.02</v>
      </c>
      <c r="R27" s="9">
        <v>0</v>
      </c>
      <c r="S27" s="9">
        <v>0</v>
      </c>
      <c r="T27" s="9">
        <v>0</v>
      </c>
      <c r="V27" s="10">
        <v>69982.02</v>
      </c>
      <c r="X27" s="11">
        <v>46237</v>
      </c>
      <c r="Y27" s="9" t="s">
        <v>2564</v>
      </c>
      <c r="Z27" s="11">
        <v>46241</v>
      </c>
      <c r="AB27" s="9" t="s">
        <v>2559</v>
      </c>
      <c r="AC27" s="9">
        <v>260326210686920</v>
      </c>
      <c r="AD27" s="9" t="s">
        <v>3086</v>
      </c>
      <c r="AE27" s="9" t="s">
        <v>139</v>
      </c>
      <c r="AF27" s="12" t="s">
        <v>2662</v>
      </c>
      <c r="AG27" s="9" t="s">
        <v>2570</v>
      </c>
      <c r="AI27" s="9">
        <v>10</v>
      </c>
      <c r="AJ27" s="9" t="s">
        <v>2563</v>
      </c>
      <c r="AK27" s="9">
        <v>22257</v>
      </c>
      <c r="AO27" s="9">
        <v>2608925</v>
      </c>
      <c r="AP27" s="11">
        <v>46237</v>
      </c>
      <c r="AR27" s="9" t="s">
        <v>2571</v>
      </c>
      <c r="AS27" s="9" t="s">
        <v>2565</v>
      </c>
      <c r="AT27" s="9" t="s">
        <v>2566</v>
      </c>
      <c r="AU27" s="9" t="s">
        <v>124</v>
      </c>
      <c r="AV27" s="14">
        <v>46292</v>
      </c>
      <c r="AW27" s="9">
        <v>2608925</v>
      </c>
      <c r="AX27" s="9" t="s">
        <v>3085</v>
      </c>
      <c r="AY27" s="9">
        <v>1</v>
      </c>
      <c r="AZ27" s="9" t="s">
        <v>2727</v>
      </c>
      <c r="BA27" s="11">
        <v>46241</v>
      </c>
      <c r="BB27" s="9">
        <v>306</v>
      </c>
      <c r="BC27" s="9" t="s">
        <v>3084</v>
      </c>
      <c r="BD27" s="9">
        <v>261112</v>
      </c>
      <c r="BE27" s="11">
        <v>46238</v>
      </c>
      <c r="BF27" s="9">
        <v>1680</v>
      </c>
      <c r="BG27" s="9">
        <v>1</v>
      </c>
      <c r="BH27" s="9" t="s">
        <v>3083</v>
      </c>
    </row>
    <row r="28" spans="1:61" x14ac:dyDescent="0.25">
      <c r="A28" s="9">
        <v>947</v>
      </c>
      <c r="B28" s="9" t="s">
        <v>2644</v>
      </c>
      <c r="C28" s="9" t="s">
        <v>2645</v>
      </c>
      <c r="D28" s="9">
        <v>947</v>
      </c>
      <c r="E28" s="9">
        <v>1366</v>
      </c>
      <c r="F28" s="9">
        <v>2026</v>
      </c>
      <c r="G28" s="9">
        <v>9470013662026</v>
      </c>
      <c r="H28" s="9">
        <v>62052000</v>
      </c>
      <c r="I28" s="9">
        <v>2005</v>
      </c>
      <c r="J28" s="9" t="s">
        <v>3105</v>
      </c>
      <c r="K28" s="9">
        <v>1</v>
      </c>
      <c r="L28" s="9" t="s">
        <v>2558</v>
      </c>
      <c r="M28" s="9">
        <v>4</v>
      </c>
      <c r="N28" s="9" t="s">
        <v>3087</v>
      </c>
      <c r="O28" s="10">
        <v>25922.99</v>
      </c>
      <c r="P28" s="9">
        <v>0</v>
      </c>
      <c r="Q28" s="10">
        <v>25922.99</v>
      </c>
      <c r="R28" s="9">
        <v>0</v>
      </c>
      <c r="S28" s="9">
        <v>0</v>
      </c>
      <c r="T28" s="9">
        <v>0</v>
      </c>
      <c r="V28" s="10">
        <v>25922.99</v>
      </c>
      <c r="W28" s="10">
        <v>24633.06</v>
      </c>
      <c r="X28" s="11">
        <v>46233</v>
      </c>
      <c r="Y28" s="9" t="s">
        <v>2564</v>
      </c>
      <c r="Z28" s="11">
        <v>46242</v>
      </c>
      <c r="AA28" s="11">
        <v>46272</v>
      </c>
      <c r="AB28" s="9" t="s">
        <v>2559</v>
      </c>
      <c r="AC28" s="9">
        <v>260326210686920</v>
      </c>
      <c r="AD28" s="9" t="s">
        <v>3086</v>
      </c>
      <c r="AE28" s="9" t="s">
        <v>47</v>
      </c>
      <c r="AF28" s="9" t="s">
        <v>2772</v>
      </c>
      <c r="AG28" s="9" t="s">
        <v>2570</v>
      </c>
      <c r="AH28" s="9" t="s">
        <v>2570</v>
      </c>
      <c r="AI28" s="9">
        <v>10</v>
      </c>
      <c r="AJ28" s="9" t="s">
        <v>2563</v>
      </c>
      <c r="AK28" s="9">
        <v>7418</v>
      </c>
      <c r="AM28" s="9" t="s">
        <v>3129</v>
      </c>
      <c r="AN28" s="11">
        <v>46268</v>
      </c>
      <c r="AO28" s="9">
        <v>2608701</v>
      </c>
      <c r="AP28" s="11">
        <v>46232</v>
      </c>
      <c r="AR28" s="9" t="s">
        <v>2614</v>
      </c>
      <c r="AS28" s="9" t="s">
        <v>2565</v>
      </c>
      <c r="AT28" s="9" t="s">
        <v>2566</v>
      </c>
      <c r="AU28" s="9" t="s">
        <v>49</v>
      </c>
      <c r="AV28" s="14">
        <v>46263</v>
      </c>
      <c r="AW28" s="9">
        <v>2608701</v>
      </c>
      <c r="AX28" s="9" t="s">
        <v>3085</v>
      </c>
      <c r="AY28" s="9">
        <v>1</v>
      </c>
      <c r="AZ28" s="9" t="s">
        <v>3128</v>
      </c>
      <c r="BA28" s="11">
        <v>46242</v>
      </c>
      <c r="BB28" s="9">
        <v>301</v>
      </c>
      <c r="BC28" s="9" t="s">
        <v>3127</v>
      </c>
      <c r="BD28" s="9">
        <v>232379</v>
      </c>
      <c r="BE28" s="11">
        <v>46233</v>
      </c>
      <c r="BF28" s="9">
        <v>1680</v>
      </c>
      <c r="BG28" s="9">
        <v>1</v>
      </c>
      <c r="BH28" s="9" t="s">
        <v>3083</v>
      </c>
      <c r="BI28" s="9">
        <v>1</v>
      </c>
    </row>
    <row r="29" spans="1:61" x14ac:dyDescent="0.25">
      <c r="A29" s="9">
        <v>947</v>
      </c>
      <c r="B29" s="9" t="s">
        <v>2644</v>
      </c>
      <c r="C29" s="9" t="s">
        <v>2645</v>
      </c>
      <c r="D29" s="9">
        <v>947</v>
      </c>
      <c r="E29" s="9">
        <v>1333</v>
      </c>
      <c r="F29" s="9">
        <v>2026</v>
      </c>
      <c r="G29" s="9">
        <v>9470013332026</v>
      </c>
      <c r="H29" s="9">
        <v>62071100</v>
      </c>
      <c r="I29" s="9">
        <v>2020</v>
      </c>
      <c r="J29" s="9" t="s">
        <v>2848</v>
      </c>
      <c r="K29" s="9">
        <v>1</v>
      </c>
      <c r="L29" s="9" t="s">
        <v>2558</v>
      </c>
      <c r="M29" s="9">
        <v>4</v>
      </c>
      <c r="N29" s="9" t="s">
        <v>3087</v>
      </c>
      <c r="O29" s="10">
        <v>24547.32</v>
      </c>
      <c r="P29" s="9">
        <v>0</v>
      </c>
      <c r="Q29" s="10">
        <v>24547.32</v>
      </c>
      <c r="R29" s="9">
        <v>0</v>
      </c>
      <c r="S29" s="9">
        <v>0</v>
      </c>
      <c r="T29" s="9">
        <v>0</v>
      </c>
      <c r="V29" s="10">
        <v>24547.32</v>
      </c>
      <c r="W29" s="10">
        <v>24363.05</v>
      </c>
      <c r="X29" s="11">
        <v>46229</v>
      </c>
      <c r="Y29" s="9" t="s">
        <v>2564</v>
      </c>
      <c r="Z29" s="11">
        <v>46243</v>
      </c>
      <c r="AA29" s="11">
        <v>46253</v>
      </c>
      <c r="AB29" s="9" t="s">
        <v>2559</v>
      </c>
      <c r="AC29" s="9">
        <v>260326210686920</v>
      </c>
      <c r="AD29" s="9" t="s">
        <v>3086</v>
      </c>
      <c r="AE29" s="9" t="s">
        <v>3095</v>
      </c>
      <c r="AF29" s="9" t="s">
        <v>2653</v>
      </c>
      <c r="AG29" s="9" t="s">
        <v>2570</v>
      </c>
      <c r="AH29" s="9" t="s">
        <v>2570</v>
      </c>
      <c r="AI29" s="9">
        <v>10</v>
      </c>
      <c r="AJ29" s="9" t="s">
        <v>2563</v>
      </c>
      <c r="AK29" s="9">
        <v>50400</v>
      </c>
      <c r="AM29" s="9" t="s">
        <v>3125</v>
      </c>
      <c r="AN29" s="11">
        <v>46251</v>
      </c>
      <c r="AO29" s="9">
        <v>2608526</v>
      </c>
      <c r="AP29" s="11">
        <v>46229</v>
      </c>
      <c r="AR29" s="9" t="s">
        <v>2577</v>
      </c>
      <c r="AS29" s="9" t="s">
        <v>2565</v>
      </c>
      <c r="AT29" s="9" t="s">
        <v>2566</v>
      </c>
      <c r="AU29" s="9" t="s">
        <v>252</v>
      </c>
      <c r="AV29" s="14">
        <v>46250</v>
      </c>
      <c r="AW29" s="9">
        <v>2608526</v>
      </c>
      <c r="AX29" s="9" t="s">
        <v>3094</v>
      </c>
      <c r="AY29" s="9">
        <v>6</v>
      </c>
      <c r="AZ29" s="9" t="s">
        <v>3126</v>
      </c>
      <c r="BA29" s="11">
        <v>46243</v>
      </c>
      <c r="BB29" s="9">
        <v>306</v>
      </c>
      <c r="BC29" s="9" t="s">
        <v>3084</v>
      </c>
      <c r="BD29" s="9">
        <v>238386</v>
      </c>
      <c r="BE29" s="11">
        <v>46234</v>
      </c>
      <c r="BF29" s="9">
        <v>1680</v>
      </c>
      <c r="BG29" s="9">
        <v>1</v>
      </c>
      <c r="BH29" s="9" t="s">
        <v>3083</v>
      </c>
      <c r="BI29" s="9">
        <v>1</v>
      </c>
    </row>
    <row r="30" spans="1:61" x14ac:dyDescent="0.25">
      <c r="A30" s="9">
        <v>947</v>
      </c>
      <c r="B30" s="9" t="s">
        <v>2644</v>
      </c>
      <c r="C30" s="9" t="s">
        <v>2645</v>
      </c>
      <c r="D30" s="9">
        <v>947</v>
      </c>
      <c r="E30" s="9">
        <v>1332</v>
      </c>
      <c r="F30" s="9">
        <v>2026</v>
      </c>
      <c r="G30" s="9">
        <v>9470013322026</v>
      </c>
      <c r="H30" s="9">
        <v>62071100</v>
      </c>
      <c r="I30" s="9">
        <v>2000</v>
      </c>
      <c r="J30" s="9" t="s">
        <v>3092</v>
      </c>
      <c r="K30" s="9">
        <v>1</v>
      </c>
      <c r="L30" s="9" t="s">
        <v>2558</v>
      </c>
      <c r="M30" s="9">
        <v>4</v>
      </c>
      <c r="N30" s="9" t="s">
        <v>3087</v>
      </c>
      <c r="O30" s="10">
        <v>36528.75</v>
      </c>
      <c r="P30" s="9">
        <v>0</v>
      </c>
      <c r="Q30" s="10">
        <v>36528.75</v>
      </c>
      <c r="R30" s="9">
        <v>0</v>
      </c>
      <c r="S30" s="9">
        <v>0</v>
      </c>
      <c r="T30" s="9">
        <v>0</v>
      </c>
      <c r="V30" s="10">
        <v>36528.75</v>
      </c>
      <c r="W30" s="10">
        <v>36254.54</v>
      </c>
      <c r="X30" s="11">
        <v>46229</v>
      </c>
      <c r="Y30" s="9" t="s">
        <v>2564</v>
      </c>
      <c r="Z30" s="11">
        <v>46243</v>
      </c>
      <c r="AA30" s="11">
        <v>46253</v>
      </c>
      <c r="AB30" s="9" t="s">
        <v>2559</v>
      </c>
      <c r="AC30" s="9">
        <v>260326210686920</v>
      </c>
      <c r="AD30" s="9" t="s">
        <v>3086</v>
      </c>
      <c r="AE30" s="9" t="s">
        <v>3095</v>
      </c>
      <c r="AF30" s="9" t="s">
        <v>2653</v>
      </c>
      <c r="AG30" s="9" t="s">
        <v>2570</v>
      </c>
      <c r="AH30" s="9" t="s">
        <v>2570</v>
      </c>
      <c r="AI30" s="9">
        <v>10</v>
      </c>
      <c r="AJ30" s="9" t="s">
        <v>2563</v>
      </c>
      <c r="AK30" s="9">
        <v>75000</v>
      </c>
      <c r="AM30" s="9" t="s">
        <v>3125</v>
      </c>
      <c r="AN30" s="11">
        <v>46251</v>
      </c>
      <c r="AO30" s="9">
        <v>2608525</v>
      </c>
      <c r="AP30" s="11">
        <v>46229</v>
      </c>
      <c r="AS30" s="9" t="s">
        <v>2565</v>
      </c>
      <c r="AT30" s="9" t="s">
        <v>2566</v>
      </c>
      <c r="AU30" s="9" t="s">
        <v>258</v>
      </c>
      <c r="AV30" s="14">
        <v>46250</v>
      </c>
      <c r="AW30" s="9">
        <v>2608525</v>
      </c>
      <c r="AX30" s="9" t="s">
        <v>3094</v>
      </c>
      <c r="AY30" s="9">
        <v>6</v>
      </c>
      <c r="AZ30" s="9" t="s">
        <v>3124</v>
      </c>
      <c r="BA30" s="11">
        <v>46243</v>
      </c>
      <c r="BB30" s="9">
        <v>306</v>
      </c>
      <c r="BC30" s="9" t="s">
        <v>3084</v>
      </c>
      <c r="BD30" s="9">
        <v>238390</v>
      </c>
      <c r="BE30" s="11">
        <v>46234</v>
      </c>
      <c r="BF30" s="9">
        <v>1680</v>
      </c>
      <c r="BG30" s="9">
        <v>1</v>
      </c>
      <c r="BH30" s="9" t="s">
        <v>3083</v>
      </c>
      <c r="BI30" s="9">
        <v>1</v>
      </c>
    </row>
    <row r="31" spans="1:61" x14ac:dyDescent="0.25">
      <c r="A31" s="9">
        <v>947</v>
      </c>
      <c r="B31" s="9" t="s">
        <v>2644</v>
      </c>
      <c r="C31" s="9" t="s">
        <v>2645</v>
      </c>
      <c r="D31" s="9">
        <v>947</v>
      </c>
      <c r="E31" s="9">
        <v>1392</v>
      </c>
      <c r="F31" s="9">
        <v>2026</v>
      </c>
      <c r="G31" s="9">
        <v>9470013922026</v>
      </c>
      <c r="H31" s="9">
        <v>62071100</v>
      </c>
      <c r="I31" s="9">
        <v>2020</v>
      </c>
      <c r="J31" s="9" t="s">
        <v>2848</v>
      </c>
      <c r="K31" s="9">
        <v>1</v>
      </c>
      <c r="L31" s="9" t="s">
        <v>2558</v>
      </c>
      <c r="M31" s="9">
        <v>4</v>
      </c>
      <c r="N31" s="9" t="s">
        <v>3087</v>
      </c>
      <c r="O31" s="10">
        <v>2368.4</v>
      </c>
      <c r="P31" s="9">
        <v>0</v>
      </c>
      <c r="Q31" s="10">
        <v>2368.4</v>
      </c>
      <c r="R31" s="9">
        <v>0</v>
      </c>
      <c r="S31" s="9">
        <v>0</v>
      </c>
      <c r="T31" s="9">
        <v>0</v>
      </c>
      <c r="V31" s="10">
        <v>2368.4</v>
      </c>
      <c r="W31" s="10">
        <v>2350.5700000000002</v>
      </c>
      <c r="X31" s="11">
        <v>46237</v>
      </c>
      <c r="Y31" s="9" t="s">
        <v>2564</v>
      </c>
      <c r="Z31" s="11">
        <v>46244</v>
      </c>
      <c r="AA31" s="11">
        <v>46275</v>
      </c>
      <c r="AB31" s="9" t="s">
        <v>2559</v>
      </c>
      <c r="AC31" s="9">
        <v>260326210686920</v>
      </c>
      <c r="AD31" s="9" t="s">
        <v>3086</v>
      </c>
      <c r="AE31" s="9" t="s">
        <v>3095</v>
      </c>
      <c r="AF31" s="9" t="s">
        <v>2653</v>
      </c>
      <c r="AG31" s="9" t="s">
        <v>2570</v>
      </c>
      <c r="AH31" s="9" t="s">
        <v>2570</v>
      </c>
      <c r="AI31" s="9">
        <v>10</v>
      </c>
      <c r="AJ31" s="9" t="s">
        <v>2563</v>
      </c>
      <c r="AK31" s="9">
        <v>8000</v>
      </c>
      <c r="AM31" s="9" t="s">
        <v>2654</v>
      </c>
      <c r="AN31" s="11">
        <v>46274</v>
      </c>
      <c r="AO31" s="9">
        <v>2608932</v>
      </c>
      <c r="AP31" s="11">
        <v>46237</v>
      </c>
      <c r="AS31" s="9" t="s">
        <v>2565</v>
      </c>
      <c r="AT31" s="9" t="s">
        <v>2566</v>
      </c>
      <c r="AU31" s="9" t="s">
        <v>262</v>
      </c>
      <c r="AV31" s="14">
        <v>46272</v>
      </c>
      <c r="AW31" s="9">
        <v>2608932</v>
      </c>
      <c r="AX31" s="9" t="s">
        <v>3094</v>
      </c>
      <c r="AY31" s="9">
        <v>6</v>
      </c>
      <c r="AZ31" s="9" t="s">
        <v>2731</v>
      </c>
      <c r="BA31" s="11">
        <v>46244</v>
      </c>
      <c r="BB31" s="9">
        <v>306</v>
      </c>
      <c r="BC31" s="9" t="s">
        <v>3084</v>
      </c>
      <c r="BD31" s="9">
        <v>273449</v>
      </c>
      <c r="BE31" s="11">
        <v>46241</v>
      </c>
      <c r="BF31" s="9">
        <v>1680</v>
      </c>
      <c r="BG31" s="9">
        <v>1</v>
      </c>
      <c r="BH31" s="9" t="s">
        <v>3083</v>
      </c>
      <c r="BI31" s="9">
        <v>1</v>
      </c>
    </row>
    <row r="32" spans="1:61" x14ac:dyDescent="0.25">
      <c r="A32" s="9">
        <v>1880</v>
      </c>
      <c r="B32" s="9" t="s">
        <v>2916</v>
      </c>
      <c r="C32" s="9" t="s">
        <v>2557</v>
      </c>
      <c r="D32" s="9">
        <v>1880</v>
      </c>
      <c r="E32" s="9">
        <v>1494</v>
      </c>
      <c r="F32" s="9">
        <v>2026</v>
      </c>
      <c r="G32" s="9">
        <v>18800014942026</v>
      </c>
      <c r="H32" s="9">
        <v>62052000</v>
      </c>
      <c r="I32" s="9">
        <v>2016</v>
      </c>
      <c r="J32" s="9" t="s">
        <v>2851</v>
      </c>
      <c r="K32" s="9">
        <v>1</v>
      </c>
      <c r="L32" s="9" t="s">
        <v>2558</v>
      </c>
      <c r="M32" s="9">
        <v>4</v>
      </c>
      <c r="N32" s="9" t="s">
        <v>3087</v>
      </c>
      <c r="O32" s="10">
        <v>16012.5</v>
      </c>
      <c r="Q32" s="10">
        <v>16012.5</v>
      </c>
      <c r="R32" s="9">
        <v>0</v>
      </c>
      <c r="S32" s="9">
        <v>0</v>
      </c>
      <c r="T32" s="9">
        <v>0</v>
      </c>
      <c r="V32" s="10">
        <v>16012.5</v>
      </c>
      <c r="W32" s="10">
        <v>15667.92</v>
      </c>
      <c r="X32" s="11">
        <v>46243</v>
      </c>
      <c r="Y32" s="9" t="s">
        <v>2564</v>
      </c>
      <c r="Z32" s="11">
        <v>46245</v>
      </c>
      <c r="AA32" s="11">
        <v>46279</v>
      </c>
      <c r="AB32" s="9" t="s">
        <v>2559</v>
      </c>
      <c r="AC32" s="9">
        <v>260326210686920</v>
      </c>
      <c r="AD32" s="9" t="s">
        <v>3086</v>
      </c>
      <c r="AE32" s="9" t="s">
        <v>200</v>
      </c>
      <c r="AF32" s="9" t="s">
        <v>2919</v>
      </c>
      <c r="AG32" s="9" t="s">
        <v>2570</v>
      </c>
      <c r="AH32" s="9" t="s">
        <v>2570</v>
      </c>
      <c r="AI32" s="9">
        <v>10</v>
      </c>
      <c r="AJ32" s="9" t="s">
        <v>2563</v>
      </c>
      <c r="AK32" s="9">
        <v>2625</v>
      </c>
      <c r="AM32" s="9" t="s">
        <v>2982</v>
      </c>
      <c r="AN32" s="11">
        <v>46278</v>
      </c>
      <c r="AO32" s="9">
        <v>2609041</v>
      </c>
      <c r="AP32" s="11">
        <v>46242</v>
      </c>
      <c r="AT32" s="9" t="s">
        <v>2566</v>
      </c>
      <c r="AV32" s="14">
        <v>46273</v>
      </c>
      <c r="AX32" s="9" t="s">
        <v>3085</v>
      </c>
      <c r="AY32" s="9">
        <v>1</v>
      </c>
      <c r="AZ32" s="9" t="s">
        <v>2983</v>
      </c>
      <c r="BA32" s="11">
        <v>46245</v>
      </c>
      <c r="BB32" s="9">
        <v>306</v>
      </c>
      <c r="BC32" s="9" t="s">
        <v>3084</v>
      </c>
      <c r="BD32" s="9">
        <v>282228</v>
      </c>
      <c r="BE32" s="11">
        <v>46243</v>
      </c>
      <c r="BF32" s="9">
        <v>1680</v>
      </c>
      <c r="BG32" s="9">
        <v>1</v>
      </c>
      <c r="BH32" s="9" t="s">
        <v>3083</v>
      </c>
    </row>
    <row r="33" spans="1:61" x14ac:dyDescent="0.25">
      <c r="A33" s="9">
        <v>1880</v>
      </c>
      <c r="B33" s="9" t="s">
        <v>2916</v>
      </c>
      <c r="C33" s="9" t="s">
        <v>2557</v>
      </c>
      <c r="D33" s="9">
        <v>1880</v>
      </c>
      <c r="E33" s="9">
        <v>1468</v>
      </c>
      <c r="F33" s="9">
        <v>2026</v>
      </c>
      <c r="G33" s="9">
        <v>18800014682026</v>
      </c>
      <c r="H33" s="9">
        <v>62082100</v>
      </c>
      <c r="I33" s="9">
        <v>2016</v>
      </c>
      <c r="J33" s="9" t="s">
        <v>2851</v>
      </c>
      <c r="K33" s="9">
        <v>1</v>
      </c>
      <c r="L33" s="9" t="s">
        <v>2558</v>
      </c>
      <c r="M33" s="9">
        <v>4</v>
      </c>
      <c r="N33" s="9" t="s">
        <v>3087</v>
      </c>
      <c r="O33" s="10">
        <v>32680</v>
      </c>
      <c r="Q33" s="10">
        <v>32680</v>
      </c>
      <c r="R33" s="9">
        <v>0</v>
      </c>
      <c r="S33" s="9">
        <v>0</v>
      </c>
      <c r="T33" s="9">
        <v>0</v>
      </c>
      <c r="V33" s="10">
        <v>32680</v>
      </c>
      <c r="W33" s="10">
        <v>31976.75</v>
      </c>
      <c r="X33" s="11">
        <v>46238</v>
      </c>
      <c r="Y33" s="9" t="s">
        <v>2564</v>
      </c>
      <c r="Z33" s="11">
        <v>46246</v>
      </c>
      <c r="AA33" s="11">
        <v>46279</v>
      </c>
      <c r="AB33" s="9" t="s">
        <v>2559</v>
      </c>
      <c r="AC33" s="9">
        <v>260326210686920</v>
      </c>
      <c r="AD33" s="9" t="s">
        <v>3086</v>
      </c>
      <c r="AE33" s="9" t="s">
        <v>200</v>
      </c>
      <c r="AF33" s="9" t="s">
        <v>2919</v>
      </c>
      <c r="AG33" s="9" t="s">
        <v>2570</v>
      </c>
      <c r="AH33" s="9" t="s">
        <v>2570</v>
      </c>
      <c r="AI33" s="9">
        <v>10</v>
      </c>
      <c r="AJ33" s="9" t="s">
        <v>2563</v>
      </c>
      <c r="AK33" s="9">
        <v>8600</v>
      </c>
      <c r="AM33" s="9" t="s">
        <v>2982</v>
      </c>
      <c r="AN33" s="11">
        <v>46278</v>
      </c>
      <c r="AO33" s="9">
        <v>2609028</v>
      </c>
      <c r="AP33" s="11">
        <v>46238</v>
      </c>
      <c r="AT33" s="9" t="s">
        <v>2566</v>
      </c>
      <c r="AV33" s="14">
        <v>46273</v>
      </c>
      <c r="AX33" s="9" t="s">
        <v>3085</v>
      </c>
      <c r="AY33" s="9">
        <v>1</v>
      </c>
      <c r="AZ33" s="9" t="s">
        <v>2995</v>
      </c>
      <c r="BA33" s="11">
        <v>46246</v>
      </c>
      <c r="BB33" s="9">
        <v>306</v>
      </c>
      <c r="BC33" s="9" t="s">
        <v>3084</v>
      </c>
      <c r="BD33" s="9">
        <v>270285</v>
      </c>
      <c r="BE33" s="11">
        <v>46240</v>
      </c>
      <c r="BF33" s="9">
        <v>1680</v>
      </c>
      <c r="BG33" s="9">
        <v>1</v>
      </c>
      <c r="BH33" s="9" t="s">
        <v>3083</v>
      </c>
    </row>
    <row r="34" spans="1:61" x14ac:dyDescent="0.25">
      <c r="A34" s="9">
        <v>947</v>
      </c>
      <c r="B34" s="9" t="s">
        <v>2644</v>
      </c>
      <c r="C34" s="9" t="s">
        <v>2645</v>
      </c>
      <c r="D34" s="9">
        <v>947</v>
      </c>
      <c r="E34" s="9">
        <v>1391</v>
      </c>
      <c r="F34" s="9">
        <v>2026</v>
      </c>
      <c r="G34" s="9">
        <v>9470013912026</v>
      </c>
      <c r="H34" s="9">
        <v>62071100</v>
      </c>
      <c r="I34" s="9">
        <v>2020</v>
      </c>
      <c r="J34" s="9" t="s">
        <v>2848</v>
      </c>
      <c r="K34" s="9">
        <v>1</v>
      </c>
      <c r="L34" s="9" t="s">
        <v>2558</v>
      </c>
      <c r="M34" s="9">
        <v>4</v>
      </c>
      <c r="N34" s="9" t="s">
        <v>3087</v>
      </c>
      <c r="O34" s="10">
        <v>12078.84</v>
      </c>
      <c r="P34" s="9">
        <v>0</v>
      </c>
      <c r="Q34" s="10">
        <v>12078.84</v>
      </c>
      <c r="R34" s="9">
        <v>0</v>
      </c>
      <c r="S34" s="9">
        <v>0</v>
      </c>
      <c r="T34" s="9">
        <v>0</v>
      </c>
      <c r="V34" s="10">
        <v>12078.84</v>
      </c>
      <c r="W34" s="10">
        <v>11987.91</v>
      </c>
      <c r="X34" s="11">
        <v>46237</v>
      </c>
      <c r="Y34" s="9" t="s">
        <v>2564</v>
      </c>
      <c r="Z34" s="11">
        <v>46246</v>
      </c>
      <c r="AA34" s="11">
        <v>46275</v>
      </c>
      <c r="AB34" s="9" t="s">
        <v>2559</v>
      </c>
      <c r="AC34" s="9">
        <v>260326210686920</v>
      </c>
      <c r="AD34" s="9" t="s">
        <v>3086</v>
      </c>
      <c r="AE34" s="9" t="s">
        <v>3095</v>
      </c>
      <c r="AF34" s="9" t="s">
        <v>2653</v>
      </c>
      <c r="AG34" s="9" t="s">
        <v>2570</v>
      </c>
      <c r="AH34" s="9" t="s">
        <v>2570</v>
      </c>
      <c r="AI34" s="9">
        <v>10</v>
      </c>
      <c r="AJ34" s="9" t="s">
        <v>2563</v>
      </c>
      <c r="AK34" s="9">
        <v>40800</v>
      </c>
      <c r="AM34" s="9" t="s">
        <v>2654</v>
      </c>
      <c r="AN34" s="11">
        <v>46274</v>
      </c>
      <c r="AO34" s="9">
        <v>2608931</v>
      </c>
      <c r="AP34" s="11">
        <v>46237</v>
      </c>
      <c r="AS34" s="9" t="s">
        <v>2565</v>
      </c>
      <c r="AT34" s="9" t="s">
        <v>2566</v>
      </c>
      <c r="AU34" s="9" t="s">
        <v>262</v>
      </c>
      <c r="AV34" s="14">
        <v>46272</v>
      </c>
      <c r="AW34" s="9">
        <v>2608931</v>
      </c>
      <c r="AX34" s="9" t="s">
        <v>3094</v>
      </c>
      <c r="AY34" s="9">
        <v>6</v>
      </c>
      <c r="AZ34" s="9" t="s">
        <v>2729</v>
      </c>
      <c r="BA34" s="11">
        <v>46246</v>
      </c>
      <c r="BB34" s="9">
        <v>306</v>
      </c>
      <c r="BC34" s="9" t="s">
        <v>3084</v>
      </c>
      <c r="BD34" s="9">
        <v>273457</v>
      </c>
      <c r="BE34" s="11">
        <v>46241</v>
      </c>
      <c r="BF34" s="9">
        <v>1680</v>
      </c>
      <c r="BG34" s="9">
        <v>1</v>
      </c>
      <c r="BH34" s="9" t="s">
        <v>3083</v>
      </c>
      <c r="BI34" s="9">
        <v>1</v>
      </c>
    </row>
    <row r="35" spans="1:61" x14ac:dyDescent="0.25">
      <c r="A35" s="9">
        <v>947</v>
      </c>
      <c r="B35" s="9" t="s">
        <v>2644</v>
      </c>
      <c r="C35" s="9" t="s">
        <v>2645</v>
      </c>
      <c r="D35" s="9">
        <v>947</v>
      </c>
      <c r="E35" s="9">
        <v>1393</v>
      </c>
      <c r="F35" s="9">
        <v>2026</v>
      </c>
      <c r="G35" s="9">
        <v>9470013932026</v>
      </c>
      <c r="H35" s="9">
        <v>62071100</v>
      </c>
      <c r="I35" s="9">
        <v>2020</v>
      </c>
      <c r="J35" s="9" t="s">
        <v>2848</v>
      </c>
      <c r="K35" s="9">
        <v>1</v>
      </c>
      <c r="L35" s="9" t="s">
        <v>2558</v>
      </c>
      <c r="M35" s="9">
        <v>4</v>
      </c>
      <c r="N35" s="9" t="s">
        <v>3087</v>
      </c>
      <c r="O35" s="10">
        <v>4027.52</v>
      </c>
      <c r="P35" s="9">
        <v>0</v>
      </c>
      <c r="Q35" s="10">
        <v>4027.52</v>
      </c>
      <c r="R35" s="9">
        <v>0</v>
      </c>
      <c r="S35" s="9">
        <v>0</v>
      </c>
      <c r="T35" s="9">
        <v>0</v>
      </c>
      <c r="V35" s="10">
        <v>4027.52</v>
      </c>
      <c r="W35" s="10">
        <v>3997.2</v>
      </c>
      <c r="X35" s="11">
        <v>46237</v>
      </c>
      <c r="Y35" s="9" t="s">
        <v>2564</v>
      </c>
      <c r="Z35" s="11">
        <v>46246</v>
      </c>
      <c r="AA35" s="11">
        <v>46275</v>
      </c>
      <c r="AB35" s="9" t="s">
        <v>2559</v>
      </c>
      <c r="AC35" s="9">
        <v>260326210686920</v>
      </c>
      <c r="AD35" s="9" t="s">
        <v>3086</v>
      </c>
      <c r="AE35" s="9" t="s">
        <v>3095</v>
      </c>
      <c r="AF35" s="9" t="s">
        <v>2653</v>
      </c>
      <c r="AG35" s="9" t="s">
        <v>2570</v>
      </c>
      <c r="AH35" s="9" t="s">
        <v>2570</v>
      </c>
      <c r="AI35" s="9">
        <v>10</v>
      </c>
      <c r="AJ35" s="9" t="s">
        <v>2563</v>
      </c>
      <c r="AK35" s="9">
        <v>5430</v>
      </c>
      <c r="AM35" s="9" t="s">
        <v>2654</v>
      </c>
      <c r="AN35" s="11">
        <v>46274</v>
      </c>
      <c r="AO35" s="9">
        <v>2608939</v>
      </c>
      <c r="AP35" s="11">
        <v>46237</v>
      </c>
      <c r="AS35" s="9" t="s">
        <v>2565</v>
      </c>
      <c r="AT35" s="9" t="s">
        <v>2566</v>
      </c>
      <c r="AU35" s="9" t="s">
        <v>262</v>
      </c>
      <c r="AV35" s="14">
        <v>46272</v>
      </c>
      <c r="AW35" s="9">
        <v>2608939</v>
      </c>
      <c r="AX35" s="9" t="s">
        <v>3094</v>
      </c>
      <c r="AY35" s="9">
        <v>6</v>
      </c>
      <c r="AZ35" s="9" t="s">
        <v>2733</v>
      </c>
      <c r="BA35" s="11">
        <v>46246</v>
      </c>
      <c r="BB35" s="9">
        <v>306</v>
      </c>
      <c r="BC35" s="9" t="s">
        <v>3084</v>
      </c>
      <c r="BD35" s="9">
        <v>273465</v>
      </c>
      <c r="BE35" s="11">
        <v>46241</v>
      </c>
      <c r="BF35" s="9">
        <v>1680</v>
      </c>
      <c r="BG35" s="9">
        <v>1</v>
      </c>
      <c r="BH35" s="9" t="s">
        <v>3083</v>
      </c>
      <c r="BI35" s="9">
        <v>1</v>
      </c>
    </row>
    <row r="36" spans="1:61" x14ac:dyDescent="0.25">
      <c r="A36" s="9">
        <v>1880</v>
      </c>
      <c r="B36" s="9" t="s">
        <v>2916</v>
      </c>
      <c r="C36" s="9" t="s">
        <v>2557</v>
      </c>
      <c r="D36" s="9">
        <v>1880</v>
      </c>
      <c r="E36" s="9">
        <v>1460</v>
      </c>
      <c r="F36" s="9">
        <v>2026</v>
      </c>
      <c r="G36" s="9">
        <v>18800014602026</v>
      </c>
      <c r="H36" s="9">
        <v>62082100</v>
      </c>
      <c r="I36" s="9">
        <v>2016</v>
      </c>
      <c r="J36" s="9" t="s">
        <v>2851</v>
      </c>
      <c r="K36" s="9">
        <v>1</v>
      </c>
      <c r="L36" s="9" t="s">
        <v>2558</v>
      </c>
      <c r="M36" s="9">
        <v>4</v>
      </c>
      <c r="N36" s="9" t="s">
        <v>3087</v>
      </c>
      <c r="O36" s="10">
        <v>21092.5</v>
      </c>
      <c r="Q36" s="10">
        <v>21092.5</v>
      </c>
      <c r="R36" s="9">
        <v>0</v>
      </c>
      <c r="S36" s="9">
        <v>0</v>
      </c>
      <c r="T36" s="9">
        <v>0</v>
      </c>
      <c r="V36" s="10">
        <v>21092.5</v>
      </c>
      <c r="W36" s="10">
        <v>20638.61</v>
      </c>
      <c r="X36" s="11">
        <v>46238</v>
      </c>
      <c r="Y36" s="9" t="s">
        <v>2564</v>
      </c>
      <c r="Z36" s="11">
        <v>46246</v>
      </c>
      <c r="AA36" s="11">
        <v>46279</v>
      </c>
      <c r="AB36" s="9" t="s">
        <v>2559</v>
      </c>
      <c r="AC36" s="9">
        <v>260326210686920</v>
      </c>
      <c r="AD36" s="9" t="s">
        <v>3086</v>
      </c>
      <c r="AE36" s="9" t="s">
        <v>200</v>
      </c>
      <c r="AF36" s="9" t="s">
        <v>2919</v>
      </c>
      <c r="AG36" s="9" t="s">
        <v>2570</v>
      </c>
      <c r="AH36" s="9" t="s">
        <v>2570</v>
      </c>
      <c r="AI36" s="9">
        <v>10</v>
      </c>
      <c r="AJ36" s="9" t="s">
        <v>2563</v>
      </c>
      <c r="AK36" s="9">
        <v>7150</v>
      </c>
      <c r="AM36" s="9" t="s">
        <v>2982</v>
      </c>
      <c r="AN36" s="11">
        <v>46278</v>
      </c>
      <c r="AO36" s="9">
        <v>2608944</v>
      </c>
      <c r="AP36" s="11">
        <v>46206</v>
      </c>
      <c r="AT36" s="9" t="s">
        <v>2566</v>
      </c>
      <c r="AV36" s="14">
        <v>46273</v>
      </c>
      <c r="AX36" s="9" t="s">
        <v>3085</v>
      </c>
      <c r="AY36" s="9">
        <v>1</v>
      </c>
      <c r="AZ36" s="9" t="s">
        <v>3010</v>
      </c>
      <c r="BA36" s="11">
        <v>46246</v>
      </c>
      <c r="BB36" s="9">
        <v>306</v>
      </c>
      <c r="BC36" s="9" t="s">
        <v>3084</v>
      </c>
      <c r="BD36" s="9">
        <v>261130</v>
      </c>
      <c r="BE36" s="11">
        <v>46238</v>
      </c>
      <c r="BF36" s="9">
        <v>1680</v>
      </c>
      <c r="BG36" s="9">
        <v>1</v>
      </c>
      <c r="BH36" s="9" t="s">
        <v>3083</v>
      </c>
    </row>
    <row r="37" spans="1:61" x14ac:dyDescent="0.25">
      <c r="A37" s="9">
        <v>1880</v>
      </c>
      <c r="B37" s="9" t="s">
        <v>2916</v>
      </c>
      <c r="C37" s="9" t="s">
        <v>2557</v>
      </c>
      <c r="D37" s="9">
        <v>1880</v>
      </c>
      <c r="E37" s="9">
        <v>1461</v>
      </c>
      <c r="F37" s="9">
        <v>2026</v>
      </c>
      <c r="G37" s="9">
        <v>18800014612026</v>
      </c>
      <c r="H37" s="9">
        <v>62052000</v>
      </c>
      <c r="I37" s="9">
        <v>2016</v>
      </c>
      <c r="J37" s="9" t="s">
        <v>2851</v>
      </c>
      <c r="K37" s="9">
        <v>1</v>
      </c>
      <c r="L37" s="9" t="s">
        <v>2558</v>
      </c>
      <c r="M37" s="9">
        <v>4</v>
      </c>
      <c r="N37" s="9" t="s">
        <v>3087</v>
      </c>
      <c r="O37" s="10">
        <v>4561.75</v>
      </c>
      <c r="Q37" s="10">
        <v>4561.75</v>
      </c>
      <c r="R37" s="9">
        <v>0</v>
      </c>
      <c r="S37" s="9">
        <v>0</v>
      </c>
      <c r="T37" s="9">
        <v>0</v>
      </c>
      <c r="V37" s="10">
        <v>4561.75</v>
      </c>
      <c r="W37" s="10">
        <v>4463.59</v>
      </c>
      <c r="X37" s="11">
        <v>46238</v>
      </c>
      <c r="Y37" s="9" t="s">
        <v>2564</v>
      </c>
      <c r="Z37" s="11">
        <v>46246</v>
      </c>
      <c r="AA37" s="11">
        <v>46279</v>
      </c>
      <c r="AB37" s="9" t="s">
        <v>2559</v>
      </c>
      <c r="AC37" s="9">
        <v>260326210686920</v>
      </c>
      <c r="AD37" s="9" t="s">
        <v>3086</v>
      </c>
      <c r="AE37" s="9" t="s">
        <v>200</v>
      </c>
      <c r="AF37" s="9" t="s">
        <v>2919</v>
      </c>
      <c r="AG37" s="9" t="s">
        <v>2570</v>
      </c>
      <c r="AH37" s="9" t="s">
        <v>2570</v>
      </c>
      <c r="AI37" s="9">
        <v>10</v>
      </c>
      <c r="AJ37" s="9" t="s">
        <v>2563</v>
      </c>
      <c r="AK37" s="9">
        <v>1285</v>
      </c>
      <c r="AM37" s="9" t="s">
        <v>2982</v>
      </c>
      <c r="AN37" s="11">
        <v>46278</v>
      </c>
      <c r="AO37" s="9">
        <v>2608945</v>
      </c>
      <c r="AP37" s="11">
        <v>46237</v>
      </c>
      <c r="AT37" s="9" t="s">
        <v>2566</v>
      </c>
      <c r="AV37" s="14">
        <v>46273</v>
      </c>
      <c r="AX37" s="9" t="s">
        <v>3085</v>
      </c>
      <c r="AY37" s="9">
        <v>1</v>
      </c>
      <c r="AZ37" s="9" t="s">
        <v>3032</v>
      </c>
      <c r="BA37" s="11">
        <v>46246</v>
      </c>
      <c r="BB37" s="9">
        <v>306</v>
      </c>
      <c r="BC37" s="9" t="s">
        <v>3084</v>
      </c>
      <c r="BD37" s="9">
        <v>261144</v>
      </c>
      <c r="BE37" s="11">
        <v>46238</v>
      </c>
      <c r="BF37" s="9">
        <v>1680</v>
      </c>
      <c r="BG37" s="9">
        <v>1</v>
      </c>
      <c r="BH37" s="9" t="s">
        <v>3083</v>
      </c>
    </row>
    <row r="38" spans="1:61" ht="90" x14ac:dyDescent="0.25">
      <c r="A38" s="9">
        <v>947</v>
      </c>
      <c r="B38" s="9" t="s">
        <v>2644</v>
      </c>
      <c r="C38" s="9" t="s">
        <v>2645</v>
      </c>
      <c r="D38" s="9">
        <v>947</v>
      </c>
      <c r="E38" s="9">
        <v>1163</v>
      </c>
      <c r="F38" s="9">
        <v>2026</v>
      </c>
      <c r="G38" s="9">
        <v>9470011632026</v>
      </c>
      <c r="H38" s="9">
        <v>61082100</v>
      </c>
      <c r="I38" s="9">
        <v>2000</v>
      </c>
      <c r="J38" s="9" t="s">
        <v>3092</v>
      </c>
      <c r="K38" s="9">
        <v>1</v>
      </c>
      <c r="L38" s="9" t="s">
        <v>2558</v>
      </c>
      <c r="M38" s="9">
        <v>4</v>
      </c>
      <c r="N38" s="9" t="s">
        <v>3087</v>
      </c>
      <c r="O38" s="10">
        <v>6158.25</v>
      </c>
      <c r="P38" s="9">
        <v>0</v>
      </c>
      <c r="Q38" s="10">
        <v>6158.25</v>
      </c>
      <c r="R38" s="9">
        <v>0</v>
      </c>
      <c r="S38" s="9">
        <v>0</v>
      </c>
      <c r="T38" s="9">
        <v>0</v>
      </c>
      <c r="V38" s="10">
        <v>6158.25</v>
      </c>
      <c r="W38" s="10">
        <v>6158.2</v>
      </c>
      <c r="X38" s="11">
        <v>46205</v>
      </c>
      <c r="Y38" s="9" t="s">
        <v>2564</v>
      </c>
      <c r="Z38" s="11">
        <v>46247</v>
      </c>
      <c r="AA38" s="11">
        <v>46267</v>
      </c>
      <c r="AB38" s="9" t="s">
        <v>2559</v>
      </c>
      <c r="AC38" s="9">
        <v>260326210686920</v>
      </c>
      <c r="AD38" s="9" t="s">
        <v>3086</v>
      </c>
      <c r="AE38" s="9" t="s">
        <v>139</v>
      </c>
      <c r="AF38" s="12" t="s">
        <v>2662</v>
      </c>
      <c r="AG38" s="9" t="s">
        <v>2570</v>
      </c>
      <c r="AH38" s="9" t="s">
        <v>2570</v>
      </c>
      <c r="AI38" s="9">
        <v>10</v>
      </c>
      <c r="AJ38" s="9" t="s">
        <v>2563</v>
      </c>
      <c r="AK38" s="9">
        <v>2010</v>
      </c>
      <c r="AM38" s="9" t="s">
        <v>3123</v>
      </c>
      <c r="AN38" s="11">
        <v>46267</v>
      </c>
      <c r="AO38" s="9">
        <v>2607456</v>
      </c>
      <c r="AP38" s="11">
        <v>46204</v>
      </c>
      <c r="AR38" s="9" t="s">
        <v>2571</v>
      </c>
      <c r="AS38" s="9" t="s">
        <v>2565</v>
      </c>
      <c r="AT38" s="9" t="s">
        <v>2566</v>
      </c>
      <c r="AU38" s="9" t="s">
        <v>124</v>
      </c>
      <c r="AV38" s="14">
        <v>46257</v>
      </c>
      <c r="AW38" s="9">
        <v>2607456</v>
      </c>
      <c r="AX38" s="9" t="s">
        <v>3085</v>
      </c>
      <c r="AY38" s="9">
        <v>1</v>
      </c>
      <c r="AZ38" s="9" t="s">
        <v>3122</v>
      </c>
      <c r="BA38" s="11">
        <v>46216</v>
      </c>
      <c r="BB38" s="9">
        <v>306</v>
      </c>
      <c r="BC38" s="9" t="s">
        <v>3084</v>
      </c>
      <c r="BD38" s="9">
        <v>91982</v>
      </c>
      <c r="BE38" s="11">
        <v>46206</v>
      </c>
      <c r="BF38" s="9">
        <v>1680</v>
      </c>
      <c r="BG38" s="9">
        <v>1</v>
      </c>
      <c r="BH38" s="9" t="s">
        <v>3083</v>
      </c>
      <c r="BI38" s="9">
        <v>1</v>
      </c>
    </row>
    <row r="39" spans="1:61" x14ac:dyDescent="0.25">
      <c r="A39" s="9">
        <v>1949</v>
      </c>
      <c r="B39" s="9" t="s">
        <v>2556</v>
      </c>
      <c r="C39" s="9" t="s">
        <v>2557</v>
      </c>
      <c r="D39" s="9">
        <v>1949</v>
      </c>
      <c r="E39" s="9">
        <v>1664</v>
      </c>
      <c r="F39" s="9">
        <v>2026</v>
      </c>
      <c r="G39" s="9">
        <v>19490016642026</v>
      </c>
      <c r="H39" s="9">
        <v>62072100</v>
      </c>
      <c r="I39" s="9">
        <v>2016</v>
      </c>
      <c r="J39" s="9" t="s">
        <v>2851</v>
      </c>
      <c r="K39" s="9">
        <v>1</v>
      </c>
      <c r="L39" s="9" t="s">
        <v>2558</v>
      </c>
      <c r="M39" s="9">
        <v>4</v>
      </c>
      <c r="N39" s="9" t="s">
        <v>3087</v>
      </c>
      <c r="O39" s="10">
        <v>10260.799999999999</v>
      </c>
      <c r="Q39" s="10">
        <v>10260.799999999999</v>
      </c>
      <c r="R39" s="9">
        <v>0</v>
      </c>
      <c r="S39" s="9">
        <v>0</v>
      </c>
      <c r="T39" s="9">
        <v>0</v>
      </c>
      <c r="V39" s="10">
        <v>10260.799999999999</v>
      </c>
      <c r="W39" s="10">
        <v>10054.129999999999</v>
      </c>
      <c r="X39" s="11">
        <v>46236</v>
      </c>
      <c r="Y39" s="9" t="s">
        <v>2564</v>
      </c>
      <c r="Z39" s="11">
        <v>46247</v>
      </c>
      <c r="AA39" s="11">
        <v>46279</v>
      </c>
      <c r="AB39" s="9" t="s">
        <v>2559</v>
      </c>
      <c r="AC39" s="9">
        <v>260326210686920</v>
      </c>
      <c r="AD39" s="9" t="s">
        <v>3086</v>
      </c>
      <c r="AE39" s="9" t="s">
        <v>3097</v>
      </c>
      <c r="AF39" s="9" t="s">
        <v>2569</v>
      </c>
      <c r="AG39" s="9" t="s">
        <v>2570</v>
      </c>
      <c r="AH39" s="9" t="s">
        <v>2570</v>
      </c>
      <c r="AI39" s="9">
        <v>10</v>
      </c>
      <c r="AJ39" s="9" t="s">
        <v>2563</v>
      </c>
      <c r="AK39" s="9">
        <v>2332</v>
      </c>
      <c r="AM39" s="9" t="s">
        <v>2595</v>
      </c>
      <c r="AN39" s="11">
        <v>46278</v>
      </c>
      <c r="AO39" s="9">
        <v>2608809</v>
      </c>
      <c r="AP39" s="11">
        <v>46235</v>
      </c>
      <c r="AT39" s="9" t="s">
        <v>2566</v>
      </c>
      <c r="AV39" s="14">
        <v>46273</v>
      </c>
      <c r="AX39" s="9" t="s">
        <v>3085</v>
      </c>
      <c r="AY39" s="9">
        <v>1</v>
      </c>
      <c r="AZ39" s="9" t="s">
        <v>2596</v>
      </c>
      <c r="BA39" s="11">
        <v>46247</v>
      </c>
      <c r="BB39" s="9">
        <v>306</v>
      </c>
      <c r="BC39" s="9" t="s">
        <v>3084</v>
      </c>
      <c r="BD39" s="9">
        <v>251802</v>
      </c>
      <c r="BE39" s="11">
        <v>46237</v>
      </c>
      <c r="BF39" s="9">
        <v>1680</v>
      </c>
      <c r="BG39" s="9">
        <v>1</v>
      </c>
      <c r="BH39" s="9" t="s">
        <v>3083</v>
      </c>
    </row>
    <row r="40" spans="1:61" ht="180" x14ac:dyDescent="0.25">
      <c r="A40" s="9">
        <v>1880</v>
      </c>
      <c r="B40" s="9" t="s">
        <v>2916</v>
      </c>
      <c r="C40" s="9" t="s">
        <v>2557</v>
      </c>
      <c r="D40" s="9">
        <v>1880</v>
      </c>
      <c r="E40" s="9">
        <v>1509</v>
      </c>
      <c r="F40" s="9">
        <v>2026</v>
      </c>
      <c r="G40" s="9">
        <v>18800015092026</v>
      </c>
      <c r="H40" s="9">
        <v>62052000</v>
      </c>
      <c r="I40" s="9">
        <v>2016</v>
      </c>
      <c r="J40" s="9" t="s">
        <v>2851</v>
      </c>
      <c r="K40" s="9">
        <v>86</v>
      </c>
      <c r="L40" s="9" t="s">
        <v>2574</v>
      </c>
      <c r="M40" s="9">
        <v>4</v>
      </c>
      <c r="N40" s="9" t="s">
        <v>3087</v>
      </c>
      <c r="O40" s="10">
        <v>149282.03</v>
      </c>
      <c r="Q40" s="10">
        <v>149282.03</v>
      </c>
      <c r="R40" s="9">
        <v>0</v>
      </c>
      <c r="S40" s="9">
        <v>0</v>
      </c>
      <c r="T40" s="9">
        <v>0</v>
      </c>
      <c r="V40" s="10">
        <v>149282.03</v>
      </c>
      <c r="W40" s="10">
        <v>142619.89000000001</v>
      </c>
      <c r="X40" s="11">
        <v>46245</v>
      </c>
      <c r="Y40" s="9" t="s">
        <v>2564</v>
      </c>
      <c r="Z40" s="11">
        <v>46248</v>
      </c>
      <c r="AA40" s="11">
        <v>46281</v>
      </c>
      <c r="AB40" s="9" t="s">
        <v>2559</v>
      </c>
      <c r="AC40" s="9">
        <v>260326210686920</v>
      </c>
      <c r="AD40" s="9" t="s">
        <v>3086</v>
      </c>
      <c r="AE40" s="9" t="s">
        <v>181</v>
      </c>
      <c r="AF40" s="12" t="s">
        <v>2938</v>
      </c>
      <c r="AG40" s="9" t="s">
        <v>2570</v>
      </c>
      <c r="AH40" s="9" t="s">
        <v>2570</v>
      </c>
      <c r="AI40" s="9">
        <v>10</v>
      </c>
      <c r="AJ40" s="9" t="s">
        <v>2563</v>
      </c>
      <c r="AK40" s="9">
        <v>33549</v>
      </c>
      <c r="AM40" s="9" t="s">
        <v>2964</v>
      </c>
      <c r="AN40" s="11">
        <v>46274</v>
      </c>
      <c r="AO40" s="9">
        <v>2609134</v>
      </c>
      <c r="AP40" s="11">
        <v>46245</v>
      </c>
      <c r="AR40" s="9" t="s">
        <v>2577</v>
      </c>
      <c r="AT40" s="9" t="s">
        <v>2566</v>
      </c>
      <c r="AV40" s="14">
        <v>46263</v>
      </c>
      <c r="AX40" s="9" t="s">
        <v>3094</v>
      </c>
      <c r="AY40" s="9">
        <v>6</v>
      </c>
      <c r="AZ40" s="9" t="s">
        <v>2965</v>
      </c>
      <c r="BA40" s="11">
        <v>46248</v>
      </c>
      <c r="BB40" s="9">
        <v>306</v>
      </c>
      <c r="BC40" s="9" t="s">
        <v>3084</v>
      </c>
      <c r="BD40" s="9">
        <v>295921</v>
      </c>
      <c r="BE40" s="11">
        <v>46245</v>
      </c>
      <c r="BF40" s="9">
        <v>1680</v>
      </c>
      <c r="BG40" s="9">
        <v>1</v>
      </c>
      <c r="BH40" s="9" t="s">
        <v>3083</v>
      </c>
    </row>
    <row r="41" spans="1:61" x14ac:dyDescent="0.25">
      <c r="A41" s="9">
        <v>947</v>
      </c>
      <c r="B41" s="9" t="s">
        <v>2644</v>
      </c>
      <c r="C41" s="9" t="s">
        <v>2645</v>
      </c>
      <c r="D41" s="9">
        <v>947</v>
      </c>
      <c r="E41" s="9">
        <v>1429</v>
      </c>
      <c r="F41" s="9">
        <v>2026</v>
      </c>
      <c r="G41" s="9">
        <v>9470014292026</v>
      </c>
      <c r="H41" s="9">
        <v>62052000</v>
      </c>
      <c r="I41" s="9">
        <v>1100</v>
      </c>
      <c r="J41" s="9" t="s">
        <v>3091</v>
      </c>
      <c r="K41" s="9">
        <v>1</v>
      </c>
      <c r="L41" s="9" t="s">
        <v>2558</v>
      </c>
      <c r="M41" s="9">
        <v>4</v>
      </c>
      <c r="N41" s="9" t="s">
        <v>3087</v>
      </c>
      <c r="O41" s="10">
        <v>42897.59</v>
      </c>
      <c r="Q41" s="10">
        <v>42897.59</v>
      </c>
      <c r="R41" s="9">
        <v>0</v>
      </c>
      <c r="S41" s="9">
        <v>0</v>
      </c>
      <c r="T41" s="9">
        <v>0</v>
      </c>
      <c r="V41" s="10">
        <v>42897.59</v>
      </c>
      <c r="W41" s="10">
        <v>42897.59</v>
      </c>
      <c r="X41" s="11">
        <v>46244</v>
      </c>
      <c r="Y41" s="9" t="s">
        <v>2564</v>
      </c>
      <c r="Z41" s="11">
        <v>46248</v>
      </c>
      <c r="AA41" s="11">
        <v>46287</v>
      </c>
      <c r="AB41" s="9" t="s">
        <v>2559</v>
      </c>
      <c r="AC41" s="9">
        <v>260326210686920</v>
      </c>
      <c r="AD41" s="9" t="s">
        <v>3086</v>
      </c>
      <c r="AE41" s="9" t="s">
        <v>1042</v>
      </c>
      <c r="AF41" s="9" t="s">
        <v>2716</v>
      </c>
      <c r="AG41" s="9" t="s">
        <v>2570</v>
      </c>
      <c r="AH41" s="9" t="s">
        <v>2570</v>
      </c>
      <c r="AI41" s="9">
        <v>10</v>
      </c>
      <c r="AJ41" s="9" t="s">
        <v>2563</v>
      </c>
      <c r="AK41" s="9">
        <v>5580</v>
      </c>
      <c r="AM41" s="9" t="s">
        <v>2717</v>
      </c>
      <c r="AN41" s="11">
        <v>46285</v>
      </c>
      <c r="AO41" s="9">
        <v>2609114</v>
      </c>
      <c r="AP41" s="11">
        <v>46243</v>
      </c>
      <c r="AR41" s="9" t="s">
        <v>2571</v>
      </c>
      <c r="AS41" s="9" t="s">
        <v>2718</v>
      </c>
      <c r="AT41" s="9" t="s">
        <v>2566</v>
      </c>
      <c r="AV41" s="14">
        <v>46256</v>
      </c>
      <c r="AX41" s="9" t="s">
        <v>3085</v>
      </c>
      <c r="AY41" s="9">
        <v>1</v>
      </c>
      <c r="AZ41" s="9" t="s">
        <v>2719</v>
      </c>
      <c r="BA41" s="11">
        <v>46248</v>
      </c>
      <c r="BB41" s="9">
        <v>306</v>
      </c>
      <c r="BC41" s="9" t="s">
        <v>3084</v>
      </c>
      <c r="BD41" s="9">
        <v>296399</v>
      </c>
      <c r="BE41" s="11">
        <v>46245</v>
      </c>
      <c r="BF41" s="9">
        <v>1680</v>
      </c>
      <c r="BG41" s="9">
        <v>1</v>
      </c>
      <c r="BH41" s="9" t="s">
        <v>3083</v>
      </c>
      <c r="BI41" s="9">
        <v>1</v>
      </c>
    </row>
    <row r="42" spans="1:61" ht="195" x14ac:dyDescent="0.25">
      <c r="A42" s="9">
        <v>1880</v>
      </c>
      <c r="B42" s="9" t="s">
        <v>2916</v>
      </c>
      <c r="C42" s="9" t="s">
        <v>2557</v>
      </c>
      <c r="D42" s="9">
        <v>1880</v>
      </c>
      <c r="E42" s="9">
        <v>1510</v>
      </c>
      <c r="F42" s="9">
        <v>2026</v>
      </c>
      <c r="G42" s="9">
        <v>18800015102026</v>
      </c>
      <c r="H42" s="9">
        <v>62052000</v>
      </c>
      <c r="I42" s="9">
        <v>2016</v>
      </c>
      <c r="J42" s="9" t="s">
        <v>2851</v>
      </c>
      <c r="K42" s="9">
        <v>86</v>
      </c>
      <c r="L42" s="9" t="s">
        <v>2574</v>
      </c>
      <c r="M42" s="9">
        <v>4</v>
      </c>
      <c r="N42" s="9" t="s">
        <v>3087</v>
      </c>
      <c r="O42" s="9">
        <v>802.62</v>
      </c>
      <c r="P42" s="9">
        <v>0</v>
      </c>
      <c r="Q42" s="9">
        <v>802.62</v>
      </c>
      <c r="R42" s="9">
        <v>0</v>
      </c>
      <c r="S42" s="9">
        <v>0</v>
      </c>
      <c r="T42" s="9">
        <v>0</v>
      </c>
      <c r="V42" s="9">
        <v>802.62</v>
      </c>
      <c r="X42" s="11">
        <v>46245</v>
      </c>
      <c r="Y42" s="9" t="s">
        <v>2564</v>
      </c>
      <c r="Z42" s="11">
        <v>46248</v>
      </c>
      <c r="AB42" s="9" t="s">
        <v>2559</v>
      </c>
      <c r="AC42" s="9">
        <v>260326210686920</v>
      </c>
      <c r="AD42" s="9" t="s">
        <v>3086</v>
      </c>
      <c r="AE42" s="9" t="s">
        <v>181</v>
      </c>
      <c r="AF42" s="12" t="s">
        <v>2578</v>
      </c>
      <c r="AG42" s="9" t="s">
        <v>2570</v>
      </c>
      <c r="AI42" s="9">
        <v>10</v>
      </c>
      <c r="AJ42" s="9" t="s">
        <v>2563</v>
      </c>
      <c r="AK42" s="9">
        <v>195</v>
      </c>
      <c r="AO42" s="9">
        <v>2609135</v>
      </c>
      <c r="AP42" s="11">
        <v>46245</v>
      </c>
      <c r="AR42" s="9" t="s">
        <v>2577</v>
      </c>
      <c r="AS42" s="9" t="s">
        <v>2565</v>
      </c>
      <c r="AT42" s="9" t="s">
        <v>2566</v>
      </c>
      <c r="AU42" s="9" t="s">
        <v>183</v>
      </c>
      <c r="AV42" s="14">
        <v>46263</v>
      </c>
      <c r="AW42" s="9">
        <v>2609135</v>
      </c>
      <c r="AX42" s="9" t="s">
        <v>3094</v>
      </c>
      <c r="AY42" s="9">
        <v>6</v>
      </c>
      <c r="AZ42" s="9" t="s">
        <v>2988</v>
      </c>
      <c r="BA42" s="11">
        <v>46248</v>
      </c>
      <c r="BB42" s="9">
        <v>306</v>
      </c>
      <c r="BC42" s="9" t="s">
        <v>3084</v>
      </c>
      <c r="BD42" s="9">
        <v>295929</v>
      </c>
      <c r="BE42" s="11">
        <v>46245</v>
      </c>
      <c r="BF42" s="9">
        <v>1680</v>
      </c>
      <c r="BG42" s="9">
        <v>1</v>
      </c>
      <c r="BH42" s="9" t="s">
        <v>3083</v>
      </c>
    </row>
    <row r="43" spans="1:61" x14ac:dyDescent="0.25">
      <c r="A43" s="9">
        <v>947</v>
      </c>
      <c r="B43" s="9" t="s">
        <v>2644</v>
      </c>
      <c r="C43" s="9" t="s">
        <v>2645</v>
      </c>
      <c r="D43" s="9">
        <v>947</v>
      </c>
      <c r="E43" s="9">
        <v>1407</v>
      </c>
      <c r="F43" s="9">
        <v>2026</v>
      </c>
      <c r="G43" s="9">
        <v>9470014072026</v>
      </c>
      <c r="H43" s="9">
        <v>62052000</v>
      </c>
      <c r="I43" s="9">
        <v>1100</v>
      </c>
      <c r="J43" s="9" t="s">
        <v>3091</v>
      </c>
      <c r="K43" s="9">
        <v>1</v>
      </c>
      <c r="L43" s="9" t="s">
        <v>2558</v>
      </c>
      <c r="M43" s="9">
        <v>4</v>
      </c>
      <c r="N43" s="9" t="s">
        <v>3087</v>
      </c>
      <c r="O43" s="10">
        <v>57736.24</v>
      </c>
      <c r="P43" s="9">
        <v>0</v>
      </c>
      <c r="Q43" s="10">
        <v>57736.24</v>
      </c>
      <c r="R43" s="9">
        <v>0</v>
      </c>
      <c r="S43" s="9">
        <v>0</v>
      </c>
      <c r="T43" s="9">
        <v>0</v>
      </c>
      <c r="V43" s="10">
        <v>57736.24</v>
      </c>
      <c r="X43" s="11">
        <v>46238</v>
      </c>
      <c r="Y43" s="9" t="s">
        <v>2564</v>
      </c>
      <c r="Z43" s="11">
        <v>46248</v>
      </c>
      <c r="AB43" s="9" t="s">
        <v>2559</v>
      </c>
      <c r="AC43" s="9">
        <v>260326210686920</v>
      </c>
      <c r="AD43" s="9" t="s">
        <v>3086</v>
      </c>
      <c r="AE43" s="9" t="s">
        <v>1042</v>
      </c>
      <c r="AF43" s="9" t="s">
        <v>2716</v>
      </c>
      <c r="AG43" s="9" t="s">
        <v>2570</v>
      </c>
      <c r="AI43" s="9">
        <v>10</v>
      </c>
      <c r="AJ43" s="9" t="s">
        <v>2563</v>
      </c>
      <c r="AK43" s="9">
        <v>7592</v>
      </c>
      <c r="AO43" s="9">
        <v>2608946</v>
      </c>
      <c r="AP43" s="11">
        <v>46237</v>
      </c>
      <c r="AR43" s="9" t="s">
        <v>2571</v>
      </c>
      <c r="AS43" s="9" t="s">
        <v>2718</v>
      </c>
      <c r="AT43" s="9" t="s">
        <v>2566</v>
      </c>
      <c r="AU43" s="9" t="s">
        <v>230</v>
      </c>
      <c r="AV43" s="14">
        <v>46256</v>
      </c>
      <c r="AW43" s="9">
        <v>2608946</v>
      </c>
      <c r="AX43" s="9" t="s">
        <v>3085</v>
      </c>
      <c r="AY43" s="9">
        <v>1</v>
      </c>
      <c r="AZ43" s="9" t="s">
        <v>2746</v>
      </c>
      <c r="BA43" s="11">
        <v>46248</v>
      </c>
      <c r="BB43" s="9">
        <v>306</v>
      </c>
      <c r="BC43" s="9" t="s">
        <v>3084</v>
      </c>
      <c r="BD43" s="9">
        <v>266134</v>
      </c>
      <c r="BE43" s="11">
        <v>46239</v>
      </c>
      <c r="BF43" s="9">
        <v>1680</v>
      </c>
      <c r="BG43" s="9">
        <v>1</v>
      </c>
      <c r="BH43" s="9" t="s">
        <v>3083</v>
      </c>
    </row>
    <row r="44" spans="1:61" x14ac:dyDescent="0.25">
      <c r="A44" s="9">
        <v>1949</v>
      </c>
      <c r="B44" s="9" t="s">
        <v>2556</v>
      </c>
      <c r="C44" s="9" t="s">
        <v>2557</v>
      </c>
      <c r="D44" s="9">
        <v>1949</v>
      </c>
      <c r="E44" s="9">
        <v>1750</v>
      </c>
      <c r="F44" s="9">
        <v>2026</v>
      </c>
      <c r="G44" s="9">
        <v>19490017502026</v>
      </c>
      <c r="H44" s="9">
        <v>62052000</v>
      </c>
      <c r="I44" s="9">
        <v>2016</v>
      </c>
      <c r="J44" s="9" t="s">
        <v>2851</v>
      </c>
      <c r="K44" s="9">
        <v>1</v>
      </c>
      <c r="L44" s="9" t="s">
        <v>2558</v>
      </c>
      <c r="M44" s="9">
        <v>4</v>
      </c>
      <c r="N44" s="9" t="s">
        <v>3087</v>
      </c>
      <c r="O44" s="10">
        <v>32548.99</v>
      </c>
      <c r="Q44" s="10">
        <v>32548.99</v>
      </c>
      <c r="R44" s="9">
        <v>0</v>
      </c>
      <c r="S44" s="9">
        <v>0</v>
      </c>
      <c r="T44" s="9">
        <v>0</v>
      </c>
      <c r="V44" s="10">
        <v>32548.99</v>
      </c>
      <c r="X44" s="11">
        <v>46244</v>
      </c>
      <c r="Y44" s="9" t="s">
        <v>2564</v>
      </c>
      <c r="Z44" s="11">
        <v>46248</v>
      </c>
      <c r="AB44" s="9" t="s">
        <v>2559</v>
      </c>
      <c r="AC44" s="9">
        <v>260326210686920</v>
      </c>
      <c r="AD44" s="9" t="s">
        <v>3086</v>
      </c>
      <c r="AE44" s="9" t="s">
        <v>3093</v>
      </c>
      <c r="AF44" s="9" t="s">
        <v>2580</v>
      </c>
      <c r="AG44" s="9" t="s">
        <v>2570</v>
      </c>
      <c r="AI44" s="9">
        <v>10</v>
      </c>
      <c r="AJ44" s="9" t="s">
        <v>2563</v>
      </c>
      <c r="AK44" s="9">
        <v>5892</v>
      </c>
      <c r="AO44" s="9">
        <v>2609049</v>
      </c>
      <c r="AP44" s="11">
        <v>46243</v>
      </c>
      <c r="AR44" s="9" t="s">
        <v>2571</v>
      </c>
      <c r="AS44" s="9" t="s">
        <v>2599</v>
      </c>
      <c r="AT44" s="9" t="s">
        <v>2566</v>
      </c>
      <c r="AV44" s="14">
        <v>46263</v>
      </c>
      <c r="AX44" s="9" t="s">
        <v>3117</v>
      </c>
      <c r="AY44" s="9">
        <v>7</v>
      </c>
      <c r="AZ44" s="9">
        <v>52026227825</v>
      </c>
      <c r="BA44" s="11">
        <v>46248</v>
      </c>
      <c r="BB44" s="9">
        <v>101</v>
      </c>
      <c r="BC44" s="9" t="s">
        <v>3100</v>
      </c>
      <c r="BD44" s="9">
        <v>820014</v>
      </c>
      <c r="BE44" s="11">
        <v>46246</v>
      </c>
      <c r="BF44" s="9">
        <v>1680</v>
      </c>
      <c r="BG44" s="9">
        <v>8</v>
      </c>
      <c r="BH44" s="9" t="s">
        <v>3099</v>
      </c>
    </row>
    <row r="45" spans="1:61" x14ac:dyDescent="0.25">
      <c r="A45" s="9">
        <v>1949</v>
      </c>
      <c r="B45" s="9" t="s">
        <v>2556</v>
      </c>
      <c r="C45" s="9" t="s">
        <v>2557</v>
      </c>
      <c r="D45" s="9">
        <v>1949</v>
      </c>
      <c r="E45" s="9">
        <v>1751</v>
      </c>
      <c r="F45" s="9">
        <v>2026</v>
      </c>
      <c r="G45" s="9">
        <v>19490017512026</v>
      </c>
      <c r="H45" s="9">
        <v>62052000</v>
      </c>
      <c r="I45" s="9">
        <v>2016</v>
      </c>
      <c r="J45" s="9" t="s">
        <v>2851</v>
      </c>
      <c r="K45" s="9">
        <v>1</v>
      </c>
      <c r="L45" s="9" t="s">
        <v>2558</v>
      </c>
      <c r="M45" s="9">
        <v>4</v>
      </c>
      <c r="N45" s="9" t="s">
        <v>3087</v>
      </c>
      <c r="O45" s="10">
        <v>37860.639999999999</v>
      </c>
      <c r="Q45" s="10">
        <v>37860.639999999999</v>
      </c>
      <c r="R45" s="9">
        <v>0</v>
      </c>
      <c r="S45" s="9">
        <v>0</v>
      </c>
      <c r="T45" s="9">
        <v>0</v>
      </c>
      <c r="V45" s="10">
        <v>37860.639999999999</v>
      </c>
      <c r="X45" s="11">
        <v>46244</v>
      </c>
      <c r="Y45" s="9" t="s">
        <v>2564</v>
      </c>
      <c r="Z45" s="11">
        <v>46248</v>
      </c>
      <c r="AB45" s="9" t="s">
        <v>2559</v>
      </c>
      <c r="AC45" s="9">
        <v>260326210686920</v>
      </c>
      <c r="AD45" s="9" t="s">
        <v>3086</v>
      </c>
      <c r="AE45" s="9" t="s">
        <v>3093</v>
      </c>
      <c r="AF45" s="9" t="s">
        <v>2580</v>
      </c>
      <c r="AG45" s="9" t="s">
        <v>2570</v>
      </c>
      <c r="AI45" s="9">
        <v>10</v>
      </c>
      <c r="AJ45" s="9" t="s">
        <v>2563</v>
      </c>
      <c r="AK45" s="9">
        <v>5503</v>
      </c>
      <c r="AO45" s="9">
        <v>2609050</v>
      </c>
      <c r="AP45" s="11">
        <v>46243</v>
      </c>
      <c r="AR45" s="9" t="s">
        <v>2571</v>
      </c>
      <c r="AS45" s="9" t="s">
        <v>2599</v>
      </c>
      <c r="AT45" s="9" t="s">
        <v>2566</v>
      </c>
      <c r="AV45" s="14">
        <v>46263</v>
      </c>
      <c r="AX45" s="9" t="s">
        <v>3117</v>
      </c>
      <c r="AY45" s="9">
        <v>7</v>
      </c>
      <c r="AZ45" s="9">
        <v>520262283645</v>
      </c>
      <c r="BA45" s="11">
        <v>46248</v>
      </c>
      <c r="BB45" s="9">
        <v>101</v>
      </c>
      <c r="BC45" s="9" t="s">
        <v>3100</v>
      </c>
      <c r="BD45" s="9">
        <v>820021</v>
      </c>
      <c r="BE45" s="11">
        <v>46246</v>
      </c>
      <c r="BF45" s="9">
        <v>1680</v>
      </c>
      <c r="BG45" s="9">
        <v>8</v>
      </c>
      <c r="BH45" s="9" t="s">
        <v>3099</v>
      </c>
    </row>
    <row r="46" spans="1:61" x14ac:dyDescent="0.25">
      <c r="A46" s="9">
        <v>1949</v>
      </c>
      <c r="B46" s="9" t="s">
        <v>2556</v>
      </c>
      <c r="C46" s="9" t="s">
        <v>2557</v>
      </c>
      <c r="D46" s="9">
        <v>1949</v>
      </c>
      <c r="E46" s="9">
        <v>1749</v>
      </c>
      <c r="F46" s="9">
        <v>2026</v>
      </c>
      <c r="G46" s="9">
        <v>19490017492026</v>
      </c>
      <c r="H46" s="9">
        <v>62052000</v>
      </c>
      <c r="I46" s="9">
        <v>2016</v>
      </c>
      <c r="J46" s="9" t="s">
        <v>2851</v>
      </c>
      <c r="K46" s="9">
        <v>1</v>
      </c>
      <c r="L46" s="9" t="s">
        <v>2558</v>
      </c>
      <c r="M46" s="9">
        <v>4</v>
      </c>
      <c r="N46" s="9" t="s">
        <v>3087</v>
      </c>
      <c r="O46" s="10">
        <v>37958.5</v>
      </c>
      <c r="Q46" s="10">
        <v>37958.5</v>
      </c>
      <c r="R46" s="9">
        <v>0</v>
      </c>
      <c r="S46" s="9">
        <v>0</v>
      </c>
      <c r="T46" s="9">
        <v>0</v>
      </c>
      <c r="V46" s="10">
        <v>37958.5</v>
      </c>
      <c r="X46" s="11">
        <v>46244</v>
      </c>
      <c r="Y46" s="9" t="s">
        <v>2564</v>
      </c>
      <c r="Z46" s="11">
        <v>46250</v>
      </c>
      <c r="AB46" s="9" t="s">
        <v>2559</v>
      </c>
      <c r="AC46" s="9">
        <v>260326210686920</v>
      </c>
      <c r="AD46" s="9" t="s">
        <v>3086</v>
      </c>
      <c r="AE46" s="9" t="s">
        <v>3093</v>
      </c>
      <c r="AF46" s="9" t="s">
        <v>2580</v>
      </c>
      <c r="AG46" s="9" t="s">
        <v>2570</v>
      </c>
      <c r="AI46" s="9">
        <v>10</v>
      </c>
      <c r="AJ46" s="9" t="s">
        <v>2563</v>
      </c>
      <c r="AK46" s="9">
        <v>7292</v>
      </c>
      <c r="AO46" s="9">
        <v>2609039</v>
      </c>
      <c r="AP46" s="11">
        <v>46242</v>
      </c>
      <c r="AR46" s="9" t="s">
        <v>2571</v>
      </c>
      <c r="AS46" s="9" t="s">
        <v>2589</v>
      </c>
      <c r="AT46" s="9" t="s">
        <v>2566</v>
      </c>
      <c r="AV46" s="14">
        <v>46263</v>
      </c>
      <c r="AX46" s="9" t="s">
        <v>3117</v>
      </c>
      <c r="AY46" s="9">
        <v>7</v>
      </c>
      <c r="AZ46" s="9">
        <v>52026227802</v>
      </c>
      <c r="BA46" s="11">
        <v>46250</v>
      </c>
      <c r="BB46" s="9">
        <v>101</v>
      </c>
      <c r="BC46" s="9" t="s">
        <v>3100</v>
      </c>
      <c r="BD46" s="9">
        <v>826049</v>
      </c>
      <c r="BE46" s="11">
        <v>46249</v>
      </c>
      <c r="BF46" s="9">
        <v>1680</v>
      </c>
      <c r="BG46" s="9">
        <v>8</v>
      </c>
      <c r="BH46" s="9" t="s">
        <v>3099</v>
      </c>
    </row>
    <row r="47" spans="1:61" x14ac:dyDescent="0.25">
      <c r="A47" s="9">
        <v>1880</v>
      </c>
      <c r="B47" s="9" t="s">
        <v>2916</v>
      </c>
      <c r="C47" s="9" t="s">
        <v>2557</v>
      </c>
      <c r="D47" s="9">
        <v>1880</v>
      </c>
      <c r="E47" s="9">
        <v>1433</v>
      </c>
      <c r="F47" s="9">
        <v>2026</v>
      </c>
      <c r="G47" s="9">
        <v>18800014332026</v>
      </c>
      <c r="H47" s="9">
        <v>62052000</v>
      </c>
      <c r="I47" s="9">
        <v>110</v>
      </c>
      <c r="J47" s="9" t="s">
        <v>3096</v>
      </c>
      <c r="K47" s="9">
        <v>1</v>
      </c>
      <c r="L47" s="9" t="s">
        <v>2558</v>
      </c>
      <c r="M47" s="9">
        <v>4</v>
      </c>
      <c r="N47" s="9" t="s">
        <v>3087</v>
      </c>
      <c r="O47" s="10">
        <v>6710</v>
      </c>
      <c r="P47" s="9">
        <v>0</v>
      </c>
      <c r="Q47" s="10">
        <v>6710</v>
      </c>
      <c r="R47" s="9">
        <v>0</v>
      </c>
      <c r="S47" s="9">
        <v>0</v>
      </c>
      <c r="T47" s="9">
        <v>0</v>
      </c>
      <c r="V47" s="10">
        <v>6710</v>
      </c>
      <c r="W47" s="10">
        <v>6565.61</v>
      </c>
      <c r="X47" s="11">
        <v>46232</v>
      </c>
      <c r="Y47" s="9" t="s">
        <v>2564</v>
      </c>
      <c r="Z47" s="11">
        <v>46251</v>
      </c>
      <c r="AA47" s="11">
        <v>46279</v>
      </c>
      <c r="AB47" s="9" t="s">
        <v>2559</v>
      </c>
      <c r="AC47" s="9">
        <v>260326210686920</v>
      </c>
      <c r="AD47" s="9" t="s">
        <v>3086</v>
      </c>
      <c r="AE47" s="9" t="s">
        <v>200</v>
      </c>
      <c r="AF47" s="9" t="s">
        <v>2919</v>
      </c>
      <c r="AG47" s="9" t="s">
        <v>2570</v>
      </c>
      <c r="AH47" s="9" t="s">
        <v>2570</v>
      </c>
      <c r="AI47" s="9">
        <v>10</v>
      </c>
      <c r="AJ47" s="9" t="s">
        <v>2563</v>
      </c>
      <c r="AK47" s="9">
        <v>1100</v>
      </c>
      <c r="AM47" s="9" t="s">
        <v>2982</v>
      </c>
      <c r="AN47" s="11">
        <v>46278</v>
      </c>
      <c r="AO47" s="9">
        <v>2608689</v>
      </c>
      <c r="AP47" s="11">
        <v>46232</v>
      </c>
      <c r="AS47" s="9" t="s">
        <v>2565</v>
      </c>
      <c r="AT47" s="9" t="s">
        <v>2566</v>
      </c>
      <c r="AU47" s="9" t="s">
        <v>190</v>
      </c>
      <c r="AV47" s="14">
        <v>46273</v>
      </c>
      <c r="AW47" s="9">
        <v>2608689</v>
      </c>
      <c r="AX47" s="9" t="s">
        <v>3085</v>
      </c>
      <c r="AY47" s="9">
        <v>1</v>
      </c>
      <c r="AZ47" s="9" t="s">
        <v>3121</v>
      </c>
      <c r="BA47" s="11">
        <v>46251</v>
      </c>
      <c r="BB47" s="9">
        <v>306</v>
      </c>
      <c r="BC47" s="9" t="s">
        <v>3084</v>
      </c>
      <c r="BD47" s="9">
        <v>228069</v>
      </c>
      <c r="BE47" s="11">
        <v>46232</v>
      </c>
      <c r="BF47" s="9">
        <v>1680</v>
      </c>
      <c r="BG47" s="9">
        <v>1</v>
      </c>
      <c r="BH47" s="9" t="s">
        <v>3083</v>
      </c>
    </row>
    <row r="48" spans="1:61" x14ac:dyDescent="0.25">
      <c r="A48" s="9">
        <v>1880</v>
      </c>
      <c r="B48" s="9" t="s">
        <v>2916</v>
      </c>
      <c r="C48" s="9" t="s">
        <v>2557</v>
      </c>
      <c r="D48" s="9">
        <v>1880</v>
      </c>
      <c r="E48" s="9">
        <v>1435</v>
      </c>
      <c r="F48" s="9">
        <v>2026</v>
      </c>
      <c r="G48" s="9">
        <v>18800014352026</v>
      </c>
      <c r="H48" s="9">
        <v>62052000</v>
      </c>
      <c r="I48" s="9">
        <v>110</v>
      </c>
      <c r="J48" s="9" t="s">
        <v>3096</v>
      </c>
      <c r="K48" s="9">
        <v>1</v>
      </c>
      <c r="L48" s="9" t="s">
        <v>2558</v>
      </c>
      <c r="M48" s="9">
        <v>4</v>
      </c>
      <c r="N48" s="9" t="s">
        <v>3087</v>
      </c>
      <c r="O48" s="10">
        <v>7475</v>
      </c>
      <c r="P48" s="9">
        <v>0</v>
      </c>
      <c r="Q48" s="10">
        <v>7475</v>
      </c>
      <c r="R48" s="9">
        <v>0</v>
      </c>
      <c r="S48" s="9">
        <v>0</v>
      </c>
      <c r="T48" s="9">
        <v>0</v>
      </c>
      <c r="V48" s="10">
        <v>7475</v>
      </c>
      <c r="W48" s="10">
        <v>7314.14</v>
      </c>
      <c r="X48" s="11">
        <v>46232</v>
      </c>
      <c r="Y48" s="9" t="s">
        <v>2564</v>
      </c>
      <c r="Z48" s="11">
        <v>46251</v>
      </c>
      <c r="AA48" s="11">
        <v>46279</v>
      </c>
      <c r="AB48" s="9" t="s">
        <v>2559</v>
      </c>
      <c r="AC48" s="9">
        <v>260326210686920</v>
      </c>
      <c r="AD48" s="9" t="s">
        <v>3086</v>
      </c>
      <c r="AE48" s="9" t="s">
        <v>200</v>
      </c>
      <c r="AF48" s="9" t="s">
        <v>2919</v>
      </c>
      <c r="AG48" s="9" t="s">
        <v>2570</v>
      </c>
      <c r="AH48" s="9" t="s">
        <v>2570</v>
      </c>
      <c r="AI48" s="9">
        <v>10</v>
      </c>
      <c r="AJ48" s="9" t="s">
        <v>2563</v>
      </c>
      <c r="AK48" s="9">
        <v>1300</v>
      </c>
      <c r="AM48" s="9" t="s">
        <v>2982</v>
      </c>
      <c r="AN48" s="11">
        <v>46278</v>
      </c>
      <c r="AO48" s="9">
        <v>2608691</v>
      </c>
      <c r="AP48" s="11">
        <v>46232</v>
      </c>
      <c r="AS48" s="9" t="s">
        <v>2565</v>
      </c>
      <c r="AT48" s="9" t="s">
        <v>2566</v>
      </c>
      <c r="AU48" s="9" t="s">
        <v>190</v>
      </c>
      <c r="AV48" s="14">
        <v>46273</v>
      </c>
      <c r="AW48" s="9">
        <v>2608691</v>
      </c>
      <c r="AX48" s="9" t="s">
        <v>3085</v>
      </c>
      <c r="AY48" s="9">
        <v>1</v>
      </c>
      <c r="AZ48" s="9" t="s">
        <v>3120</v>
      </c>
      <c r="BA48" s="11">
        <v>46251</v>
      </c>
      <c r="BB48" s="9">
        <v>306</v>
      </c>
      <c r="BC48" s="9" t="s">
        <v>3084</v>
      </c>
      <c r="BD48" s="9">
        <v>228073</v>
      </c>
      <c r="BE48" s="11">
        <v>46232</v>
      </c>
      <c r="BF48" s="9">
        <v>1680</v>
      </c>
      <c r="BG48" s="9">
        <v>1</v>
      </c>
      <c r="BH48" s="9" t="s">
        <v>3083</v>
      </c>
    </row>
    <row r="49" spans="1:61" x14ac:dyDescent="0.25">
      <c r="A49" s="9">
        <v>1880</v>
      </c>
      <c r="B49" s="9" t="s">
        <v>2916</v>
      </c>
      <c r="C49" s="9" t="s">
        <v>2557</v>
      </c>
      <c r="D49" s="9">
        <v>1880</v>
      </c>
      <c r="E49" s="9">
        <v>1424</v>
      </c>
      <c r="F49" s="9">
        <v>2026</v>
      </c>
      <c r="G49" s="9">
        <v>18800014242026</v>
      </c>
      <c r="H49" s="9">
        <v>62052000</v>
      </c>
      <c r="I49" s="9">
        <v>110</v>
      </c>
      <c r="J49" s="9" t="s">
        <v>3096</v>
      </c>
      <c r="K49" s="9">
        <v>1</v>
      </c>
      <c r="L49" s="9" t="s">
        <v>2558</v>
      </c>
      <c r="M49" s="9">
        <v>4</v>
      </c>
      <c r="N49" s="9" t="s">
        <v>3087</v>
      </c>
      <c r="O49" s="10">
        <v>19980</v>
      </c>
      <c r="Q49" s="10">
        <v>19980</v>
      </c>
      <c r="R49" s="9">
        <v>0</v>
      </c>
      <c r="S49" s="9">
        <v>0</v>
      </c>
      <c r="T49" s="9">
        <v>0</v>
      </c>
      <c r="V49" s="10">
        <v>19980</v>
      </c>
      <c r="W49" s="10">
        <v>19550.05</v>
      </c>
      <c r="X49" s="11">
        <v>46231</v>
      </c>
      <c r="Y49" s="9" t="s">
        <v>2564</v>
      </c>
      <c r="Z49" s="11">
        <v>46251</v>
      </c>
      <c r="AA49" s="11">
        <v>46279</v>
      </c>
      <c r="AB49" s="9" t="s">
        <v>2559</v>
      </c>
      <c r="AC49" s="9">
        <v>260326210686920</v>
      </c>
      <c r="AD49" s="9" t="s">
        <v>3086</v>
      </c>
      <c r="AE49" s="9" t="s">
        <v>200</v>
      </c>
      <c r="AF49" s="9" t="s">
        <v>2919</v>
      </c>
      <c r="AG49" s="9" t="s">
        <v>2570</v>
      </c>
      <c r="AH49" s="9" t="s">
        <v>2570</v>
      </c>
      <c r="AI49" s="9">
        <v>10</v>
      </c>
      <c r="AJ49" s="9" t="s">
        <v>2563</v>
      </c>
      <c r="AK49" s="9">
        <v>3600</v>
      </c>
      <c r="AM49" s="9" t="s">
        <v>2982</v>
      </c>
      <c r="AN49" s="11">
        <v>46278</v>
      </c>
      <c r="AO49" s="9">
        <v>2608674</v>
      </c>
      <c r="AP49" s="11">
        <v>46231</v>
      </c>
      <c r="AT49" s="9" t="s">
        <v>2566</v>
      </c>
      <c r="AV49" s="14">
        <v>46273</v>
      </c>
      <c r="AX49" s="9" t="s">
        <v>3085</v>
      </c>
      <c r="AY49" s="9">
        <v>1</v>
      </c>
      <c r="AZ49" s="9" t="s">
        <v>3119</v>
      </c>
      <c r="BA49" s="11">
        <v>46251</v>
      </c>
      <c r="BB49" s="9">
        <v>306</v>
      </c>
      <c r="BC49" s="9" t="s">
        <v>3084</v>
      </c>
      <c r="BD49" s="9">
        <v>247266</v>
      </c>
      <c r="BE49" s="11">
        <v>46236</v>
      </c>
      <c r="BF49" s="9">
        <v>1680</v>
      </c>
      <c r="BG49" s="9">
        <v>1</v>
      </c>
      <c r="BH49" s="9" t="s">
        <v>3083</v>
      </c>
    </row>
    <row r="50" spans="1:61" x14ac:dyDescent="0.25">
      <c r="A50" s="9">
        <v>1880</v>
      </c>
      <c r="B50" s="9" t="s">
        <v>2916</v>
      </c>
      <c r="C50" s="9" t="s">
        <v>2557</v>
      </c>
      <c r="D50" s="9">
        <v>1880</v>
      </c>
      <c r="E50" s="9">
        <v>1524</v>
      </c>
      <c r="F50" s="9">
        <v>2026</v>
      </c>
      <c r="G50" s="9">
        <v>18800015242026</v>
      </c>
      <c r="H50" s="9">
        <v>62052000</v>
      </c>
      <c r="I50" s="9">
        <v>2016</v>
      </c>
      <c r="J50" s="9" t="s">
        <v>2851</v>
      </c>
      <c r="K50" s="9">
        <v>1</v>
      </c>
      <c r="L50" s="9" t="s">
        <v>2558</v>
      </c>
      <c r="M50" s="9">
        <v>4</v>
      </c>
      <c r="N50" s="9" t="s">
        <v>3087</v>
      </c>
      <c r="O50" s="10">
        <v>24874.5</v>
      </c>
      <c r="P50" s="9">
        <v>0</v>
      </c>
      <c r="Q50" s="10">
        <v>24874.5</v>
      </c>
      <c r="R50" s="9">
        <v>0</v>
      </c>
      <c r="S50" s="9">
        <v>0</v>
      </c>
      <c r="T50" s="9">
        <v>0</v>
      </c>
      <c r="V50" s="10">
        <v>24874.5</v>
      </c>
      <c r="W50" s="10">
        <v>24339.22</v>
      </c>
      <c r="X50" s="11">
        <v>46246</v>
      </c>
      <c r="Y50" s="9" t="s">
        <v>2564</v>
      </c>
      <c r="Z50" s="11">
        <v>46251</v>
      </c>
      <c r="AA50" s="11">
        <v>46279</v>
      </c>
      <c r="AB50" s="9" t="s">
        <v>2559</v>
      </c>
      <c r="AC50" s="9">
        <v>260326210686920</v>
      </c>
      <c r="AD50" s="9" t="s">
        <v>3086</v>
      </c>
      <c r="AE50" s="9" t="s">
        <v>200</v>
      </c>
      <c r="AF50" s="9" t="s">
        <v>2919</v>
      </c>
      <c r="AG50" s="9" t="s">
        <v>2570</v>
      </c>
      <c r="AH50" s="9" t="s">
        <v>2570</v>
      </c>
      <c r="AI50" s="9">
        <v>10</v>
      </c>
      <c r="AJ50" s="9" t="s">
        <v>2563</v>
      </c>
      <c r="AK50" s="9">
        <v>4326</v>
      </c>
      <c r="AM50" s="9" t="s">
        <v>2982</v>
      </c>
      <c r="AN50" s="11">
        <v>46278</v>
      </c>
      <c r="AO50" s="9">
        <v>2609153</v>
      </c>
      <c r="AP50" s="11">
        <v>46246</v>
      </c>
      <c r="AS50" s="9" t="s">
        <v>2565</v>
      </c>
      <c r="AT50" s="9" t="s">
        <v>2566</v>
      </c>
      <c r="AU50" s="9" t="s">
        <v>183</v>
      </c>
      <c r="AV50" s="14">
        <v>46273</v>
      </c>
      <c r="AW50" s="9">
        <v>2609153</v>
      </c>
      <c r="AX50" s="9" t="s">
        <v>3085</v>
      </c>
      <c r="AY50" s="9">
        <v>1</v>
      </c>
      <c r="AZ50" s="9" t="s">
        <v>2997</v>
      </c>
      <c r="BA50" s="11">
        <v>46251</v>
      </c>
      <c r="BB50" s="9">
        <v>306</v>
      </c>
      <c r="BC50" s="9" t="s">
        <v>3084</v>
      </c>
      <c r="BD50" s="9">
        <v>303623</v>
      </c>
      <c r="BE50" s="11">
        <v>46247</v>
      </c>
      <c r="BF50" s="9">
        <v>1680</v>
      </c>
      <c r="BG50" s="9">
        <v>1</v>
      </c>
      <c r="BH50" s="9" t="s">
        <v>3083</v>
      </c>
    </row>
    <row r="51" spans="1:61" x14ac:dyDescent="0.25">
      <c r="A51" s="9">
        <v>1880</v>
      </c>
      <c r="B51" s="9" t="s">
        <v>2916</v>
      </c>
      <c r="C51" s="9" t="s">
        <v>2557</v>
      </c>
      <c r="D51" s="9">
        <v>1880</v>
      </c>
      <c r="E51" s="9">
        <v>1526</v>
      </c>
      <c r="F51" s="9">
        <v>2026</v>
      </c>
      <c r="G51" s="9">
        <v>18800015262026</v>
      </c>
      <c r="H51" s="9">
        <v>62052000</v>
      </c>
      <c r="I51" s="9">
        <v>2016</v>
      </c>
      <c r="J51" s="9" t="s">
        <v>2851</v>
      </c>
      <c r="K51" s="9">
        <v>1</v>
      </c>
      <c r="L51" s="9" t="s">
        <v>2558</v>
      </c>
      <c r="M51" s="9">
        <v>4</v>
      </c>
      <c r="N51" s="9" t="s">
        <v>3087</v>
      </c>
      <c r="O51" s="10">
        <v>23477.25</v>
      </c>
      <c r="P51" s="9">
        <v>0</v>
      </c>
      <c r="Q51" s="10">
        <v>23477.25</v>
      </c>
      <c r="R51" s="9">
        <v>0</v>
      </c>
      <c r="S51" s="9">
        <v>0</v>
      </c>
      <c r="T51" s="9">
        <v>0</v>
      </c>
      <c r="V51" s="10">
        <v>23477.25</v>
      </c>
      <c r="W51" s="10">
        <v>22972.04</v>
      </c>
      <c r="X51" s="11">
        <v>46246</v>
      </c>
      <c r="Y51" s="9" t="s">
        <v>2564</v>
      </c>
      <c r="Z51" s="11">
        <v>46251</v>
      </c>
      <c r="AA51" s="11">
        <v>46279</v>
      </c>
      <c r="AB51" s="9" t="s">
        <v>2559</v>
      </c>
      <c r="AC51" s="9">
        <v>260326210686920</v>
      </c>
      <c r="AD51" s="9" t="s">
        <v>3086</v>
      </c>
      <c r="AE51" s="9" t="s">
        <v>200</v>
      </c>
      <c r="AF51" s="9" t="s">
        <v>2919</v>
      </c>
      <c r="AG51" s="9" t="s">
        <v>2570</v>
      </c>
      <c r="AH51" s="9" t="s">
        <v>2570</v>
      </c>
      <c r="AI51" s="9">
        <v>10</v>
      </c>
      <c r="AJ51" s="9" t="s">
        <v>2563</v>
      </c>
      <c r="AK51" s="9">
        <v>4083</v>
      </c>
      <c r="AM51" s="9" t="s">
        <v>2982</v>
      </c>
      <c r="AN51" s="11">
        <v>46278</v>
      </c>
      <c r="AO51" s="9">
        <v>2609155</v>
      </c>
      <c r="AP51" s="11">
        <v>46246</v>
      </c>
      <c r="AS51" s="9" t="s">
        <v>2565</v>
      </c>
      <c r="AT51" s="9" t="s">
        <v>2566</v>
      </c>
      <c r="AU51" s="9" t="s">
        <v>183</v>
      </c>
      <c r="AV51" s="14">
        <v>46273</v>
      </c>
      <c r="AW51" s="9">
        <v>2609155</v>
      </c>
      <c r="AX51" s="9" t="s">
        <v>3085</v>
      </c>
      <c r="AY51" s="9">
        <v>1</v>
      </c>
      <c r="AZ51" s="9" t="s">
        <v>3002</v>
      </c>
      <c r="BA51" s="11">
        <v>46251</v>
      </c>
      <c r="BB51" s="9">
        <v>306</v>
      </c>
      <c r="BC51" s="9" t="s">
        <v>3084</v>
      </c>
      <c r="BD51" s="9">
        <v>303630</v>
      </c>
      <c r="BE51" s="11">
        <v>46247</v>
      </c>
      <c r="BF51" s="9">
        <v>1680</v>
      </c>
      <c r="BG51" s="9">
        <v>1</v>
      </c>
      <c r="BH51" s="9" t="s">
        <v>3083</v>
      </c>
    </row>
    <row r="52" spans="1:61" x14ac:dyDescent="0.25">
      <c r="A52" s="9">
        <v>1880</v>
      </c>
      <c r="B52" s="9" t="s">
        <v>2916</v>
      </c>
      <c r="C52" s="9" t="s">
        <v>2557</v>
      </c>
      <c r="D52" s="9">
        <v>1880</v>
      </c>
      <c r="E52" s="9">
        <v>1497</v>
      </c>
      <c r="F52" s="9">
        <v>2026</v>
      </c>
      <c r="G52" s="9">
        <v>18800014972026</v>
      </c>
      <c r="H52" s="9">
        <v>62063000</v>
      </c>
      <c r="I52" s="9">
        <v>2016</v>
      </c>
      <c r="J52" s="9" t="s">
        <v>2851</v>
      </c>
      <c r="K52" s="9">
        <v>1</v>
      </c>
      <c r="L52" s="9" t="s">
        <v>2558</v>
      </c>
      <c r="M52" s="9">
        <v>4</v>
      </c>
      <c r="N52" s="9" t="s">
        <v>3087</v>
      </c>
      <c r="O52" s="10">
        <v>5381.25</v>
      </c>
      <c r="Q52" s="10">
        <v>5381.25</v>
      </c>
      <c r="R52" s="9">
        <v>0</v>
      </c>
      <c r="S52" s="9">
        <v>0</v>
      </c>
      <c r="T52" s="9">
        <v>0</v>
      </c>
      <c r="V52" s="10">
        <v>5381.25</v>
      </c>
      <c r="W52" s="10">
        <v>5265.45</v>
      </c>
      <c r="X52" s="11">
        <v>46243</v>
      </c>
      <c r="Y52" s="9" t="s">
        <v>2564</v>
      </c>
      <c r="Z52" s="11">
        <v>46251</v>
      </c>
      <c r="AA52" s="11">
        <v>46279</v>
      </c>
      <c r="AB52" s="9" t="s">
        <v>2559</v>
      </c>
      <c r="AC52" s="9">
        <v>260326210686920</v>
      </c>
      <c r="AD52" s="9" t="s">
        <v>3086</v>
      </c>
      <c r="AE52" s="9" t="s">
        <v>200</v>
      </c>
      <c r="AF52" s="9" t="s">
        <v>2919</v>
      </c>
      <c r="AG52" s="9" t="s">
        <v>2570</v>
      </c>
      <c r="AH52" s="9" t="s">
        <v>2570</v>
      </c>
      <c r="AI52" s="9">
        <v>10</v>
      </c>
      <c r="AJ52" s="9" t="s">
        <v>2563</v>
      </c>
      <c r="AK52" s="9">
        <v>1050</v>
      </c>
      <c r="AM52" s="9" t="s">
        <v>2982</v>
      </c>
      <c r="AN52" s="11">
        <v>46278</v>
      </c>
      <c r="AO52" s="9">
        <v>2609042</v>
      </c>
      <c r="AP52" s="11">
        <v>46242</v>
      </c>
      <c r="AT52" s="9" t="s">
        <v>2566</v>
      </c>
      <c r="AV52" s="14">
        <v>46273</v>
      </c>
      <c r="AX52" s="9" t="s">
        <v>3085</v>
      </c>
      <c r="AY52" s="9">
        <v>1</v>
      </c>
      <c r="AZ52" s="9" t="s">
        <v>3006</v>
      </c>
      <c r="BA52" s="11">
        <v>46251</v>
      </c>
      <c r="BB52" s="9">
        <v>306</v>
      </c>
      <c r="BC52" s="9" t="s">
        <v>3084</v>
      </c>
      <c r="BD52" s="9">
        <v>282880</v>
      </c>
      <c r="BE52" s="11">
        <v>46243</v>
      </c>
      <c r="BF52" s="9">
        <v>1680</v>
      </c>
      <c r="BG52" s="9">
        <v>1</v>
      </c>
      <c r="BH52" s="9" t="s">
        <v>3083</v>
      </c>
    </row>
    <row r="53" spans="1:61" x14ac:dyDescent="0.25">
      <c r="A53" s="9">
        <v>1880</v>
      </c>
      <c r="B53" s="9" t="s">
        <v>2916</v>
      </c>
      <c r="C53" s="9" t="s">
        <v>2557</v>
      </c>
      <c r="D53" s="9">
        <v>1880</v>
      </c>
      <c r="E53" s="9">
        <v>1529</v>
      </c>
      <c r="F53" s="9">
        <v>2026</v>
      </c>
      <c r="G53" s="9">
        <v>18800015292026</v>
      </c>
      <c r="H53" s="9">
        <v>62052000</v>
      </c>
      <c r="I53" s="9">
        <v>2016</v>
      </c>
      <c r="J53" s="9" t="s">
        <v>2851</v>
      </c>
      <c r="K53" s="9">
        <v>1</v>
      </c>
      <c r="L53" s="9" t="s">
        <v>2558</v>
      </c>
      <c r="M53" s="9">
        <v>4</v>
      </c>
      <c r="N53" s="9" t="s">
        <v>3087</v>
      </c>
      <c r="O53" s="10">
        <v>2582.0500000000002</v>
      </c>
      <c r="Q53" s="10">
        <v>2582.0500000000002</v>
      </c>
      <c r="R53" s="9">
        <v>0</v>
      </c>
      <c r="S53" s="9">
        <v>0</v>
      </c>
      <c r="T53" s="9">
        <v>0</v>
      </c>
      <c r="V53" s="10">
        <v>2582.0500000000002</v>
      </c>
      <c r="W53" s="10">
        <v>2533.41</v>
      </c>
      <c r="X53" s="11">
        <v>46246</v>
      </c>
      <c r="Y53" s="9" t="s">
        <v>2564</v>
      </c>
      <c r="Z53" s="11">
        <v>46251</v>
      </c>
      <c r="AA53" s="11">
        <v>46286</v>
      </c>
      <c r="AB53" s="9" t="s">
        <v>2559</v>
      </c>
      <c r="AC53" s="9">
        <v>260326210686920</v>
      </c>
      <c r="AD53" s="9" t="s">
        <v>3086</v>
      </c>
      <c r="AE53" s="9" t="s">
        <v>200</v>
      </c>
      <c r="AF53" s="9" t="s">
        <v>2919</v>
      </c>
      <c r="AG53" s="9" t="s">
        <v>2570</v>
      </c>
      <c r="AH53" s="9" t="s">
        <v>2570</v>
      </c>
      <c r="AI53" s="9">
        <v>10</v>
      </c>
      <c r="AJ53" s="9" t="s">
        <v>2563</v>
      </c>
      <c r="AK53" s="9">
        <v>457</v>
      </c>
      <c r="AM53" s="9" t="s">
        <v>2985</v>
      </c>
      <c r="AN53" s="11">
        <v>46285</v>
      </c>
      <c r="AO53" s="9">
        <v>2609157</v>
      </c>
      <c r="AP53" s="11">
        <v>46246</v>
      </c>
      <c r="AT53" s="9" t="s">
        <v>2566</v>
      </c>
      <c r="AV53" s="14">
        <v>46284</v>
      </c>
      <c r="AX53" s="9" t="s">
        <v>3085</v>
      </c>
      <c r="AY53" s="9">
        <v>1</v>
      </c>
      <c r="AZ53" s="9" t="s">
        <v>3008</v>
      </c>
      <c r="BA53" s="11">
        <v>46251</v>
      </c>
      <c r="BB53" s="9">
        <v>306</v>
      </c>
      <c r="BC53" s="9" t="s">
        <v>3084</v>
      </c>
      <c r="BD53" s="9">
        <v>303633</v>
      </c>
      <c r="BE53" s="11">
        <v>46247</v>
      </c>
      <c r="BF53" s="9">
        <v>1680</v>
      </c>
      <c r="BG53" s="9">
        <v>1</v>
      </c>
      <c r="BH53" s="9" t="s">
        <v>3083</v>
      </c>
    </row>
    <row r="54" spans="1:61" x14ac:dyDescent="0.25">
      <c r="A54" s="9">
        <v>1880</v>
      </c>
      <c r="B54" s="9" t="s">
        <v>2916</v>
      </c>
      <c r="C54" s="9" t="s">
        <v>2557</v>
      </c>
      <c r="D54" s="9">
        <v>1880</v>
      </c>
      <c r="E54" s="9">
        <v>1533</v>
      </c>
      <c r="F54" s="9">
        <v>2026</v>
      </c>
      <c r="G54" s="9">
        <v>18800015332026</v>
      </c>
      <c r="H54" s="9">
        <v>62052000</v>
      </c>
      <c r="I54" s="9">
        <v>2016</v>
      </c>
      <c r="J54" s="9" t="s">
        <v>2851</v>
      </c>
      <c r="K54" s="9">
        <v>1</v>
      </c>
      <c r="L54" s="9" t="s">
        <v>2558</v>
      </c>
      <c r="M54" s="9">
        <v>4</v>
      </c>
      <c r="N54" s="9" t="s">
        <v>3087</v>
      </c>
      <c r="O54" s="10">
        <v>28676.1</v>
      </c>
      <c r="P54" s="9">
        <v>0</v>
      </c>
      <c r="Q54" s="10">
        <v>28676.1</v>
      </c>
      <c r="R54" s="9">
        <v>0</v>
      </c>
      <c r="S54" s="9">
        <v>0</v>
      </c>
      <c r="T54" s="9">
        <v>0</v>
      </c>
      <c r="V54" s="10">
        <v>28676.1</v>
      </c>
      <c r="W54" s="10">
        <v>28135.94</v>
      </c>
      <c r="X54" s="11">
        <v>46247</v>
      </c>
      <c r="Y54" s="9" t="s">
        <v>2564</v>
      </c>
      <c r="Z54" s="11">
        <v>46251</v>
      </c>
      <c r="AA54" s="11">
        <v>46286</v>
      </c>
      <c r="AB54" s="9" t="s">
        <v>2559</v>
      </c>
      <c r="AC54" s="9">
        <v>260326210686920</v>
      </c>
      <c r="AD54" s="9" t="s">
        <v>3086</v>
      </c>
      <c r="AE54" s="9" t="s">
        <v>200</v>
      </c>
      <c r="AF54" s="9" t="s">
        <v>2919</v>
      </c>
      <c r="AG54" s="9" t="s">
        <v>2570</v>
      </c>
      <c r="AH54" s="9" t="s">
        <v>2570</v>
      </c>
      <c r="AI54" s="9">
        <v>10</v>
      </c>
      <c r="AJ54" s="9" t="s">
        <v>2563</v>
      </c>
      <c r="AK54" s="9">
        <v>4701</v>
      </c>
      <c r="AM54" s="9" t="s">
        <v>2985</v>
      </c>
      <c r="AN54" s="11">
        <v>46285</v>
      </c>
      <c r="AO54" s="9">
        <v>2609163</v>
      </c>
      <c r="AP54" s="11">
        <v>46246</v>
      </c>
      <c r="AS54" s="9" t="s">
        <v>2565</v>
      </c>
      <c r="AT54" s="9" t="s">
        <v>2566</v>
      </c>
      <c r="AU54" s="9" t="s">
        <v>183</v>
      </c>
      <c r="AV54" s="14">
        <v>46284</v>
      </c>
      <c r="AW54" s="9">
        <v>2609163</v>
      </c>
      <c r="AX54" s="9" t="s">
        <v>3085</v>
      </c>
      <c r="AY54" s="9">
        <v>1</v>
      </c>
      <c r="AZ54" s="9" t="s">
        <v>3014</v>
      </c>
      <c r="BA54" s="11">
        <v>46251</v>
      </c>
      <c r="BB54" s="9">
        <v>306</v>
      </c>
      <c r="BC54" s="9" t="s">
        <v>3084</v>
      </c>
      <c r="BD54" s="9">
        <v>303648</v>
      </c>
      <c r="BE54" s="11">
        <v>46247</v>
      </c>
      <c r="BF54" s="9">
        <v>1680</v>
      </c>
      <c r="BG54" s="9">
        <v>1</v>
      </c>
      <c r="BH54" s="9" t="s">
        <v>3083</v>
      </c>
    </row>
    <row r="55" spans="1:61" x14ac:dyDescent="0.25">
      <c r="A55" s="9">
        <v>1880</v>
      </c>
      <c r="B55" s="9" t="s">
        <v>2916</v>
      </c>
      <c r="C55" s="9" t="s">
        <v>2557</v>
      </c>
      <c r="D55" s="9">
        <v>1880</v>
      </c>
      <c r="E55" s="9">
        <v>1535</v>
      </c>
      <c r="F55" s="9">
        <v>2026</v>
      </c>
      <c r="G55" s="9">
        <v>18800015352026</v>
      </c>
      <c r="H55" s="9">
        <v>62052000</v>
      </c>
      <c r="I55" s="9">
        <v>2016</v>
      </c>
      <c r="J55" s="9" t="s">
        <v>2851</v>
      </c>
      <c r="K55" s="9">
        <v>1</v>
      </c>
      <c r="L55" s="9" t="s">
        <v>2558</v>
      </c>
      <c r="M55" s="9">
        <v>4</v>
      </c>
      <c r="N55" s="9" t="s">
        <v>3087</v>
      </c>
      <c r="O55" s="10">
        <v>32491.15</v>
      </c>
      <c r="P55" s="9">
        <v>0</v>
      </c>
      <c r="Q55" s="10">
        <v>32491.15</v>
      </c>
      <c r="R55" s="9">
        <v>0</v>
      </c>
      <c r="S55" s="9">
        <v>0</v>
      </c>
      <c r="T55" s="9">
        <v>0</v>
      </c>
      <c r="V55" s="10">
        <v>32491.15</v>
      </c>
      <c r="W55" s="10">
        <v>31791.97</v>
      </c>
      <c r="X55" s="11">
        <v>46247</v>
      </c>
      <c r="Y55" s="9" t="s">
        <v>2564</v>
      </c>
      <c r="Z55" s="11">
        <v>46251</v>
      </c>
      <c r="AA55" s="11">
        <v>46279</v>
      </c>
      <c r="AB55" s="9" t="s">
        <v>2559</v>
      </c>
      <c r="AC55" s="9">
        <v>260326210686920</v>
      </c>
      <c r="AD55" s="9" t="s">
        <v>3086</v>
      </c>
      <c r="AE55" s="9" t="s">
        <v>200</v>
      </c>
      <c r="AF55" s="9" t="s">
        <v>2919</v>
      </c>
      <c r="AG55" s="9" t="s">
        <v>2570</v>
      </c>
      <c r="AH55" s="9" t="s">
        <v>2570</v>
      </c>
      <c r="AI55" s="9">
        <v>10</v>
      </c>
      <c r="AJ55" s="9" t="s">
        <v>2563</v>
      </c>
      <c r="AK55" s="9">
        <v>4139</v>
      </c>
      <c r="AM55" s="9" t="s">
        <v>2982</v>
      </c>
      <c r="AN55" s="11">
        <v>46278</v>
      </c>
      <c r="AO55" s="9">
        <v>2609165</v>
      </c>
      <c r="AP55" s="11">
        <v>46246</v>
      </c>
      <c r="AS55" s="9" t="s">
        <v>2565</v>
      </c>
      <c r="AT55" s="9" t="s">
        <v>2566</v>
      </c>
      <c r="AU55" s="9" t="s">
        <v>183</v>
      </c>
      <c r="AV55" s="14">
        <v>46273</v>
      </c>
      <c r="AW55" s="9">
        <v>2609165</v>
      </c>
      <c r="AX55" s="9" t="s">
        <v>3085</v>
      </c>
      <c r="AY55" s="9">
        <v>1</v>
      </c>
      <c r="AZ55" s="9" t="s">
        <v>3018</v>
      </c>
      <c r="BA55" s="11">
        <v>46251</v>
      </c>
      <c r="BB55" s="9">
        <v>306</v>
      </c>
      <c r="BC55" s="9" t="s">
        <v>3084</v>
      </c>
      <c r="BD55" s="9">
        <v>303677</v>
      </c>
      <c r="BE55" s="11">
        <v>46247</v>
      </c>
      <c r="BF55" s="9">
        <v>1680</v>
      </c>
      <c r="BG55" s="9">
        <v>1</v>
      </c>
      <c r="BH55" s="9" t="s">
        <v>3083</v>
      </c>
    </row>
    <row r="56" spans="1:61" x14ac:dyDescent="0.25">
      <c r="A56" s="9">
        <v>1880</v>
      </c>
      <c r="B56" s="9" t="s">
        <v>2916</v>
      </c>
      <c r="C56" s="9" t="s">
        <v>2557</v>
      </c>
      <c r="D56" s="9">
        <v>1880</v>
      </c>
      <c r="E56" s="9">
        <v>1537</v>
      </c>
      <c r="F56" s="9">
        <v>2026</v>
      </c>
      <c r="G56" s="9">
        <v>18800015372026</v>
      </c>
      <c r="H56" s="9">
        <v>62082100</v>
      </c>
      <c r="I56" s="9">
        <v>2016</v>
      </c>
      <c r="J56" s="9" t="s">
        <v>2851</v>
      </c>
      <c r="K56" s="9">
        <v>1</v>
      </c>
      <c r="L56" s="9" t="s">
        <v>2558</v>
      </c>
      <c r="M56" s="9">
        <v>4</v>
      </c>
      <c r="N56" s="9" t="s">
        <v>3087</v>
      </c>
      <c r="O56" s="10">
        <v>22166.3</v>
      </c>
      <c r="P56" s="9">
        <v>0</v>
      </c>
      <c r="Q56" s="10">
        <v>22166.3</v>
      </c>
      <c r="R56" s="9">
        <v>0</v>
      </c>
      <c r="S56" s="9">
        <v>0</v>
      </c>
      <c r="T56" s="9">
        <v>0</v>
      </c>
      <c r="V56" s="10">
        <v>22166.3</v>
      </c>
      <c r="W56" s="10">
        <v>21689.3</v>
      </c>
      <c r="X56" s="11">
        <v>46247</v>
      </c>
      <c r="Y56" s="9" t="s">
        <v>2564</v>
      </c>
      <c r="Z56" s="11">
        <v>46251</v>
      </c>
      <c r="AA56" s="11">
        <v>46279</v>
      </c>
      <c r="AB56" s="9" t="s">
        <v>2559</v>
      </c>
      <c r="AC56" s="9">
        <v>260326210686920</v>
      </c>
      <c r="AD56" s="9" t="s">
        <v>3086</v>
      </c>
      <c r="AE56" s="9" t="s">
        <v>200</v>
      </c>
      <c r="AF56" s="9" t="s">
        <v>2919</v>
      </c>
      <c r="AG56" s="9" t="s">
        <v>2570</v>
      </c>
      <c r="AH56" s="9" t="s">
        <v>2570</v>
      </c>
      <c r="AI56" s="9">
        <v>10</v>
      </c>
      <c r="AJ56" s="9" t="s">
        <v>2563</v>
      </c>
      <c r="AK56" s="9">
        <v>7514</v>
      </c>
      <c r="AM56" s="9" t="s">
        <v>2982</v>
      </c>
      <c r="AN56" s="11">
        <v>46278</v>
      </c>
      <c r="AO56" s="9">
        <v>2609167</v>
      </c>
      <c r="AP56" s="11">
        <v>46247</v>
      </c>
      <c r="AS56" s="9" t="s">
        <v>2565</v>
      </c>
      <c r="AT56" s="9" t="s">
        <v>2566</v>
      </c>
      <c r="AU56" s="9" t="s">
        <v>183</v>
      </c>
      <c r="AV56" s="14">
        <v>46273</v>
      </c>
      <c r="AW56" s="9">
        <v>2609167</v>
      </c>
      <c r="AX56" s="9" t="s">
        <v>3085</v>
      </c>
      <c r="AY56" s="9">
        <v>1</v>
      </c>
      <c r="AZ56" s="9" t="s">
        <v>3022</v>
      </c>
      <c r="BA56" s="11">
        <v>46251</v>
      </c>
      <c r="BB56" s="9">
        <v>306</v>
      </c>
      <c r="BC56" s="9" t="s">
        <v>3084</v>
      </c>
      <c r="BD56" s="9">
        <v>303656</v>
      </c>
      <c r="BE56" s="11">
        <v>46247</v>
      </c>
      <c r="BF56" s="9">
        <v>1680</v>
      </c>
      <c r="BG56" s="9">
        <v>1</v>
      </c>
      <c r="BH56" s="9" t="s">
        <v>3083</v>
      </c>
    </row>
    <row r="57" spans="1:61" x14ac:dyDescent="0.25">
      <c r="A57" s="9">
        <v>1880</v>
      </c>
      <c r="B57" s="9" t="s">
        <v>2916</v>
      </c>
      <c r="C57" s="9" t="s">
        <v>2557</v>
      </c>
      <c r="D57" s="9">
        <v>1880</v>
      </c>
      <c r="E57" s="9">
        <v>1538</v>
      </c>
      <c r="F57" s="9">
        <v>2026</v>
      </c>
      <c r="G57" s="9">
        <v>18800015382026</v>
      </c>
      <c r="H57" s="9">
        <v>62052000</v>
      </c>
      <c r="I57" s="9">
        <v>2016</v>
      </c>
      <c r="J57" s="9" t="s">
        <v>2851</v>
      </c>
      <c r="K57" s="9">
        <v>1</v>
      </c>
      <c r="L57" s="9" t="s">
        <v>2558</v>
      </c>
      <c r="M57" s="9">
        <v>4</v>
      </c>
      <c r="N57" s="9" t="s">
        <v>3087</v>
      </c>
      <c r="O57" s="10">
        <v>24920.55</v>
      </c>
      <c r="P57" s="9">
        <v>0</v>
      </c>
      <c r="Q57" s="10">
        <v>24920.55</v>
      </c>
      <c r="R57" s="9">
        <v>0</v>
      </c>
      <c r="S57" s="9">
        <v>0</v>
      </c>
      <c r="T57" s="9">
        <v>0</v>
      </c>
      <c r="V57" s="10">
        <v>24920.55</v>
      </c>
      <c r="W57" s="10">
        <v>24451.13</v>
      </c>
      <c r="X57" s="11">
        <v>46247</v>
      </c>
      <c r="Y57" s="9" t="s">
        <v>2564</v>
      </c>
      <c r="Z57" s="11">
        <v>46251</v>
      </c>
      <c r="AA57" s="11">
        <v>46286</v>
      </c>
      <c r="AB57" s="9" t="s">
        <v>2559</v>
      </c>
      <c r="AC57" s="9">
        <v>260326210686920</v>
      </c>
      <c r="AD57" s="9" t="s">
        <v>3086</v>
      </c>
      <c r="AE57" s="9" t="s">
        <v>200</v>
      </c>
      <c r="AF57" s="9" t="s">
        <v>2919</v>
      </c>
      <c r="AG57" s="9" t="s">
        <v>2570</v>
      </c>
      <c r="AH57" s="9" t="s">
        <v>2570</v>
      </c>
      <c r="AI57" s="9">
        <v>10</v>
      </c>
      <c r="AJ57" s="9" t="s">
        <v>2563</v>
      </c>
      <c r="AK57" s="9">
        <v>6309</v>
      </c>
      <c r="AM57" s="9" t="s">
        <v>2985</v>
      </c>
      <c r="AN57" s="11">
        <v>46285</v>
      </c>
      <c r="AO57" s="9">
        <v>2609168</v>
      </c>
      <c r="AP57" s="11">
        <v>46247</v>
      </c>
      <c r="AS57" s="9" t="s">
        <v>2565</v>
      </c>
      <c r="AT57" s="9" t="s">
        <v>2566</v>
      </c>
      <c r="AU57" s="9" t="s">
        <v>183</v>
      </c>
      <c r="AV57" s="14">
        <v>46284</v>
      </c>
      <c r="AW57" s="9">
        <v>2609168</v>
      </c>
      <c r="AX57" s="9" t="s">
        <v>3085</v>
      </c>
      <c r="AY57" s="9">
        <v>1</v>
      </c>
      <c r="AZ57" s="9" t="s">
        <v>3024</v>
      </c>
      <c r="BA57" s="11">
        <v>46251</v>
      </c>
      <c r="BB57" s="9">
        <v>306</v>
      </c>
      <c r="BC57" s="9" t="s">
        <v>3084</v>
      </c>
      <c r="BD57" s="9">
        <v>303642</v>
      </c>
      <c r="BE57" s="11">
        <v>46247</v>
      </c>
      <c r="BF57" s="9">
        <v>1680</v>
      </c>
      <c r="BG57" s="9">
        <v>1</v>
      </c>
      <c r="BH57" s="9" t="s">
        <v>3083</v>
      </c>
    </row>
    <row r="58" spans="1:61" x14ac:dyDescent="0.25">
      <c r="A58" s="9">
        <v>1880</v>
      </c>
      <c r="B58" s="9" t="s">
        <v>2916</v>
      </c>
      <c r="C58" s="9" t="s">
        <v>2557</v>
      </c>
      <c r="D58" s="9">
        <v>1880</v>
      </c>
      <c r="E58" s="9">
        <v>1539</v>
      </c>
      <c r="F58" s="9">
        <v>2026</v>
      </c>
      <c r="G58" s="9">
        <v>18800015392026</v>
      </c>
      <c r="H58" s="9">
        <v>62052000</v>
      </c>
      <c r="I58" s="9">
        <v>2016</v>
      </c>
      <c r="J58" s="9" t="s">
        <v>2851</v>
      </c>
      <c r="K58" s="9">
        <v>1</v>
      </c>
      <c r="L58" s="9" t="s">
        <v>2558</v>
      </c>
      <c r="M58" s="9">
        <v>4</v>
      </c>
      <c r="N58" s="9" t="s">
        <v>3087</v>
      </c>
      <c r="O58" s="10">
        <v>31690.45</v>
      </c>
      <c r="P58" s="9">
        <v>0</v>
      </c>
      <c r="Q58" s="10">
        <v>31690.45</v>
      </c>
      <c r="R58" s="9">
        <v>0</v>
      </c>
      <c r="S58" s="9">
        <v>0</v>
      </c>
      <c r="T58" s="9">
        <v>0</v>
      </c>
      <c r="V58" s="10">
        <v>31690.45</v>
      </c>
      <c r="W58" s="10">
        <v>31093.51</v>
      </c>
      <c r="X58" s="11">
        <v>46247</v>
      </c>
      <c r="Y58" s="9" t="s">
        <v>2564</v>
      </c>
      <c r="Z58" s="11">
        <v>46251</v>
      </c>
      <c r="AA58" s="11">
        <v>46286</v>
      </c>
      <c r="AB58" s="9" t="s">
        <v>2559</v>
      </c>
      <c r="AC58" s="9">
        <v>260326210686920</v>
      </c>
      <c r="AD58" s="9" t="s">
        <v>3086</v>
      </c>
      <c r="AE58" s="9" t="s">
        <v>200</v>
      </c>
      <c r="AF58" s="9" t="s">
        <v>2919</v>
      </c>
      <c r="AG58" s="9" t="s">
        <v>2570</v>
      </c>
      <c r="AH58" s="9" t="s">
        <v>2570</v>
      </c>
      <c r="AI58" s="9">
        <v>10</v>
      </c>
      <c r="AJ58" s="9" t="s">
        <v>2563</v>
      </c>
      <c r="AK58" s="9">
        <v>4037</v>
      </c>
      <c r="AM58" s="9" t="s">
        <v>2985</v>
      </c>
      <c r="AN58" s="11">
        <v>46285</v>
      </c>
      <c r="AO58" s="9">
        <v>2609169</v>
      </c>
      <c r="AP58" s="11">
        <v>46247</v>
      </c>
      <c r="AS58" s="9" t="s">
        <v>2565</v>
      </c>
      <c r="AT58" s="9" t="s">
        <v>2566</v>
      </c>
      <c r="AU58" s="9" t="s">
        <v>183</v>
      </c>
      <c r="AV58" s="14">
        <v>46284</v>
      </c>
      <c r="AW58" s="9">
        <v>2609169</v>
      </c>
      <c r="AX58" s="9" t="s">
        <v>3085</v>
      </c>
      <c r="AY58" s="9">
        <v>1</v>
      </c>
      <c r="AZ58" s="9" t="s">
        <v>3026</v>
      </c>
      <c r="BA58" s="11">
        <v>46251</v>
      </c>
      <c r="BB58" s="9">
        <v>306</v>
      </c>
      <c r="BC58" s="9" t="s">
        <v>3084</v>
      </c>
      <c r="BD58" s="9">
        <v>303638</v>
      </c>
      <c r="BE58" s="11">
        <v>46247</v>
      </c>
      <c r="BF58" s="9">
        <v>1680</v>
      </c>
      <c r="BG58" s="9">
        <v>1</v>
      </c>
      <c r="BH58" s="9" t="s">
        <v>3083</v>
      </c>
    </row>
    <row r="59" spans="1:61" x14ac:dyDescent="0.25">
      <c r="A59" s="9">
        <v>1880</v>
      </c>
      <c r="B59" s="9" t="s">
        <v>2916</v>
      </c>
      <c r="C59" s="9" t="s">
        <v>2557</v>
      </c>
      <c r="D59" s="9">
        <v>1880</v>
      </c>
      <c r="E59" s="9">
        <v>1495</v>
      </c>
      <c r="F59" s="9">
        <v>2026</v>
      </c>
      <c r="G59" s="9">
        <v>18800014952026</v>
      </c>
      <c r="H59" s="9">
        <v>62052000</v>
      </c>
      <c r="I59" s="9">
        <v>110</v>
      </c>
      <c r="J59" s="9" t="s">
        <v>3096</v>
      </c>
      <c r="K59" s="9">
        <v>1</v>
      </c>
      <c r="L59" s="9" t="s">
        <v>2558</v>
      </c>
      <c r="M59" s="9">
        <v>4</v>
      </c>
      <c r="N59" s="9" t="s">
        <v>3087</v>
      </c>
      <c r="O59" s="10">
        <v>6710</v>
      </c>
      <c r="Q59" s="10">
        <v>6710</v>
      </c>
      <c r="R59" s="9">
        <v>0</v>
      </c>
      <c r="S59" s="9">
        <v>0</v>
      </c>
      <c r="T59" s="9">
        <v>0</v>
      </c>
      <c r="V59" s="10">
        <v>6710</v>
      </c>
      <c r="W59" s="10">
        <v>6565.61</v>
      </c>
      <c r="X59" s="11">
        <v>46243</v>
      </c>
      <c r="Y59" s="9" t="s">
        <v>2564</v>
      </c>
      <c r="Z59" s="11">
        <v>46251</v>
      </c>
      <c r="AA59" s="11">
        <v>46279</v>
      </c>
      <c r="AB59" s="9" t="s">
        <v>2559</v>
      </c>
      <c r="AC59" s="9">
        <v>260326210686920</v>
      </c>
      <c r="AD59" s="9" t="s">
        <v>3086</v>
      </c>
      <c r="AE59" s="9" t="s">
        <v>200</v>
      </c>
      <c r="AF59" s="9" t="s">
        <v>2919</v>
      </c>
      <c r="AG59" s="9" t="s">
        <v>2570</v>
      </c>
      <c r="AH59" s="9" t="s">
        <v>2570</v>
      </c>
      <c r="AI59" s="9">
        <v>10</v>
      </c>
      <c r="AJ59" s="9" t="s">
        <v>2563</v>
      </c>
      <c r="AK59" s="9">
        <v>1100</v>
      </c>
      <c r="AM59" s="9" t="s">
        <v>2982</v>
      </c>
      <c r="AN59" s="11">
        <v>46278</v>
      </c>
      <c r="AO59" s="9">
        <v>2609040</v>
      </c>
      <c r="AP59" s="11">
        <v>46242</v>
      </c>
      <c r="AR59" s="9" t="s">
        <v>2577</v>
      </c>
      <c r="AT59" s="9" t="s">
        <v>2566</v>
      </c>
      <c r="AV59" s="14">
        <v>46273</v>
      </c>
      <c r="AX59" s="9" t="s">
        <v>3085</v>
      </c>
      <c r="AY59" s="9">
        <v>1</v>
      </c>
      <c r="AZ59" s="9" t="s">
        <v>3030</v>
      </c>
      <c r="BA59" s="11">
        <v>46251</v>
      </c>
      <c r="BB59" s="9">
        <v>306</v>
      </c>
      <c r="BC59" s="9" t="s">
        <v>3084</v>
      </c>
      <c r="BD59" s="9">
        <v>282874</v>
      </c>
      <c r="BE59" s="11">
        <v>46243</v>
      </c>
      <c r="BF59" s="9">
        <v>1680</v>
      </c>
      <c r="BG59" s="9">
        <v>1</v>
      </c>
      <c r="BH59" s="9" t="s">
        <v>3083</v>
      </c>
    </row>
    <row r="60" spans="1:61" ht="210" x14ac:dyDescent="0.25">
      <c r="A60" s="9">
        <v>1880</v>
      </c>
      <c r="B60" s="9" t="s">
        <v>2916</v>
      </c>
      <c r="C60" s="9" t="s">
        <v>2557</v>
      </c>
      <c r="D60" s="9">
        <v>1880</v>
      </c>
      <c r="E60" s="9">
        <v>1511</v>
      </c>
      <c r="F60" s="9">
        <v>2026</v>
      </c>
      <c r="G60" s="9">
        <v>18800015112026</v>
      </c>
      <c r="H60" s="9">
        <v>62052000</v>
      </c>
      <c r="I60" s="9">
        <v>1204</v>
      </c>
      <c r="J60" s="9" t="s">
        <v>3118</v>
      </c>
      <c r="K60" s="9">
        <v>86</v>
      </c>
      <c r="L60" s="9" t="s">
        <v>2574</v>
      </c>
      <c r="M60" s="9">
        <v>4</v>
      </c>
      <c r="N60" s="9" t="s">
        <v>3087</v>
      </c>
      <c r="O60" s="9">
        <v>950.8</v>
      </c>
      <c r="P60" s="9">
        <v>0</v>
      </c>
      <c r="Q60" s="9">
        <v>950.8</v>
      </c>
      <c r="R60" s="9">
        <v>0</v>
      </c>
      <c r="S60" s="9">
        <v>0</v>
      </c>
      <c r="T60" s="9">
        <v>0</v>
      </c>
      <c r="V60" s="9">
        <v>950.8</v>
      </c>
      <c r="W60" s="9">
        <v>907.17</v>
      </c>
      <c r="X60" s="11">
        <v>46245</v>
      </c>
      <c r="Y60" s="9" t="s">
        <v>2564</v>
      </c>
      <c r="Z60" s="11">
        <v>46252</v>
      </c>
      <c r="AA60" s="11">
        <v>46287</v>
      </c>
      <c r="AB60" s="9" t="s">
        <v>2559</v>
      </c>
      <c r="AC60" s="9">
        <v>260326210686920</v>
      </c>
      <c r="AD60" s="9" t="s">
        <v>3086</v>
      </c>
      <c r="AE60" s="9" t="s">
        <v>181</v>
      </c>
      <c r="AF60" s="12" t="s">
        <v>2952</v>
      </c>
      <c r="AG60" s="9" t="s">
        <v>2570</v>
      </c>
      <c r="AH60" s="9" t="s">
        <v>2570</v>
      </c>
      <c r="AI60" s="9">
        <v>10</v>
      </c>
      <c r="AJ60" s="9" t="s">
        <v>2563</v>
      </c>
      <c r="AK60" s="9">
        <v>231</v>
      </c>
      <c r="AM60" s="9" t="s">
        <v>2990</v>
      </c>
      <c r="AN60" s="11">
        <v>46285</v>
      </c>
      <c r="AO60" s="9">
        <v>2609136</v>
      </c>
      <c r="AP60" s="11">
        <v>46245</v>
      </c>
      <c r="AR60" s="9" t="s">
        <v>2577</v>
      </c>
      <c r="AS60" s="9" t="s">
        <v>2565</v>
      </c>
      <c r="AT60" s="9" t="s">
        <v>2566</v>
      </c>
      <c r="AU60" s="9" t="s">
        <v>195</v>
      </c>
      <c r="AV60" s="14">
        <v>46263</v>
      </c>
      <c r="AW60" s="9">
        <v>2609136</v>
      </c>
      <c r="AX60" s="9" t="s">
        <v>3094</v>
      </c>
      <c r="AY60" s="9">
        <v>6</v>
      </c>
      <c r="AZ60" s="9" t="s">
        <v>2991</v>
      </c>
      <c r="BA60" s="11">
        <v>46252</v>
      </c>
      <c r="BB60" s="9">
        <v>306</v>
      </c>
      <c r="BC60" s="9" t="s">
        <v>3084</v>
      </c>
      <c r="BD60" s="9">
        <v>296591</v>
      </c>
      <c r="BE60" s="11">
        <v>46245</v>
      </c>
      <c r="BF60" s="9">
        <v>1680</v>
      </c>
      <c r="BG60" s="9">
        <v>1</v>
      </c>
      <c r="BH60" s="9" t="s">
        <v>3083</v>
      </c>
    </row>
    <row r="61" spans="1:61" ht="210" x14ac:dyDescent="0.25">
      <c r="A61" s="9">
        <v>1880</v>
      </c>
      <c r="B61" s="9" t="s">
        <v>2916</v>
      </c>
      <c r="C61" s="9" t="s">
        <v>2557</v>
      </c>
      <c r="D61" s="9">
        <v>1880</v>
      </c>
      <c r="E61" s="9">
        <v>1512</v>
      </c>
      <c r="F61" s="9">
        <v>2026</v>
      </c>
      <c r="G61" s="9">
        <v>18800015122026</v>
      </c>
      <c r="H61" s="9">
        <v>62052000</v>
      </c>
      <c r="I61" s="9">
        <v>1204</v>
      </c>
      <c r="J61" s="9" t="s">
        <v>3118</v>
      </c>
      <c r="K61" s="9">
        <v>86</v>
      </c>
      <c r="L61" s="9" t="s">
        <v>2574</v>
      </c>
      <c r="M61" s="9">
        <v>4</v>
      </c>
      <c r="N61" s="9" t="s">
        <v>3087</v>
      </c>
      <c r="O61" s="9">
        <v>345.74</v>
      </c>
      <c r="P61" s="9">
        <v>0</v>
      </c>
      <c r="Q61" s="9">
        <v>345.74</v>
      </c>
      <c r="R61" s="9">
        <v>0</v>
      </c>
      <c r="S61" s="9">
        <v>0</v>
      </c>
      <c r="T61" s="9">
        <v>0</v>
      </c>
      <c r="V61" s="9">
        <v>345.74</v>
      </c>
      <c r="X61" s="11">
        <v>46245</v>
      </c>
      <c r="Y61" s="9" t="s">
        <v>2564</v>
      </c>
      <c r="Z61" s="11">
        <v>46252</v>
      </c>
      <c r="AB61" s="9" t="s">
        <v>2559</v>
      </c>
      <c r="AC61" s="9">
        <v>260326210686920</v>
      </c>
      <c r="AD61" s="9" t="s">
        <v>3086</v>
      </c>
      <c r="AE61" s="9" t="s">
        <v>181</v>
      </c>
      <c r="AF61" s="12" t="s">
        <v>2952</v>
      </c>
      <c r="AG61" s="9" t="s">
        <v>2570</v>
      </c>
      <c r="AI61" s="9">
        <v>10</v>
      </c>
      <c r="AJ61" s="9" t="s">
        <v>2563</v>
      </c>
      <c r="AK61" s="9">
        <v>84</v>
      </c>
      <c r="AO61" s="9">
        <v>2609137</v>
      </c>
      <c r="AP61" s="11">
        <v>46245</v>
      </c>
      <c r="AR61" s="9" t="s">
        <v>2577</v>
      </c>
      <c r="AS61" s="9" t="s">
        <v>2565</v>
      </c>
      <c r="AT61" s="9" t="s">
        <v>2566</v>
      </c>
      <c r="AU61" s="9" t="s">
        <v>195</v>
      </c>
      <c r="AV61" s="14">
        <v>46263</v>
      </c>
      <c r="AW61" s="9">
        <v>2609137</v>
      </c>
      <c r="AX61" s="9" t="s">
        <v>3094</v>
      </c>
      <c r="AY61" s="9">
        <v>6</v>
      </c>
      <c r="AZ61" s="9" t="s">
        <v>2993</v>
      </c>
      <c r="BA61" s="11">
        <v>46252</v>
      </c>
      <c r="BB61" s="9">
        <v>306</v>
      </c>
      <c r="BC61" s="9" t="s">
        <v>3084</v>
      </c>
      <c r="BD61" s="9">
        <v>296588</v>
      </c>
      <c r="BE61" s="11">
        <v>46245</v>
      </c>
      <c r="BF61" s="9">
        <v>1680</v>
      </c>
      <c r="BG61" s="9">
        <v>1</v>
      </c>
      <c r="BH61" s="9" t="s">
        <v>3083</v>
      </c>
    </row>
    <row r="62" spans="1:61" x14ac:dyDescent="0.25">
      <c r="A62" s="9">
        <v>947</v>
      </c>
      <c r="B62" s="9" t="s">
        <v>2644</v>
      </c>
      <c r="C62" s="9" t="s">
        <v>2645</v>
      </c>
      <c r="D62" s="9">
        <v>947</v>
      </c>
      <c r="E62" s="9">
        <v>1386</v>
      </c>
      <c r="F62" s="9">
        <v>2026</v>
      </c>
      <c r="G62" s="9">
        <v>9470013862026</v>
      </c>
      <c r="H62" s="9">
        <v>62071100</v>
      </c>
      <c r="I62" s="9">
        <v>2020</v>
      </c>
      <c r="J62" s="9" t="s">
        <v>2848</v>
      </c>
      <c r="K62" s="9">
        <v>1</v>
      </c>
      <c r="L62" s="9" t="s">
        <v>2558</v>
      </c>
      <c r="M62" s="9">
        <v>4</v>
      </c>
      <c r="N62" s="9" t="s">
        <v>3087</v>
      </c>
      <c r="O62" s="10">
        <v>2368.4</v>
      </c>
      <c r="P62" s="9">
        <v>0</v>
      </c>
      <c r="Q62" s="10">
        <v>2368.4</v>
      </c>
      <c r="R62" s="9">
        <v>0</v>
      </c>
      <c r="S62" s="9">
        <v>0</v>
      </c>
      <c r="T62" s="9">
        <v>0</v>
      </c>
      <c r="V62" s="10">
        <v>2368.4</v>
      </c>
      <c r="W62" s="10">
        <v>2350.5700000000002</v>
      </c>
      <c r="X62" s="11">
        <v>46237</v>
      </c>
      <c r="Y62" s="9" t="s">
        <v>2564</v>
      </c>
      <c r="Z62" s="11">
        <v>46253</v>
      </c>
      <c r="AA62" s="11">
        <v>46275</v>
      </c>
      <c r="AB62" s="9" t="s">
        <v>2559</v>
      </c>
      <c r="AC62" s="9">
        <v>260326210686920</v>
      </c>
      <c r="AD62" s="9" t="s">
        <v>3086</v>
      </c>
      <c r="AE62" s="9" t="s">
        <v>3095</v>
      </c>
      <c r="AF62" s="9" t="s">
        <v>2653</v>
      </c>
      <c r="AG62" s="9" t="s">
        <v>2570</v>
      </c>
      <c r="AH62" s="9" t="s">
        <v>2570</v>
      </c>
      <c r="AI62" s="9">
        <v>10</v>
      </c>
      <c r="AJ62" s="9" t="s">
        <v>2563</v>
      </c>
      <c r="AK62" s="9">
        <v>8000</v>
      </c>
      <c r="AM62" s="9" t="s">
        <v>2654</v>
      </c>
      <c r="AN62" s="11">
        <v>46274</v>
      </c>
      <c r="AO62" s="9">
        <v>2608858</v>
      </c>
      <c r="AP62" s="11">
        <v>46236</v>
      </c>
      <c r="AR62" s="9" t="s">
        <v>2577</v>
      </c>
      <c r="AS62" s="9" t="s">
        <v>2565</v>
      </c>
      <c r="AT62" s="9" t="s">
        <v>2566</v>
      </c>
      <c r="AU62" s="9" t="s">
        <v>262</v>
      </c>
      <c r="AV62" s="14">
        <v>46272</v>
      </c>
      <c r="AW62" s="9">
        <v>2608858</v>
      </c>
      <c r="AX62" s="9" t="s">
        <v>3117</v>
      </c>
      <c r="AY62" s="9">
        <v>7</v>
      </c>
      <c r="AZ62" s="9" t="s">
        <v>2679</v>
      </c>
      <c r="BA62" s="11">
        <v>46253</v>
      </c>
      <c r="BB62" s="9">
        <v>101</v>
      </c>
      <c r="BC62" s="9" t="s">
        <v>3100</v>
      </c>
      <c r="BD62" s="9">
        <v>844183</v>
      </c>
      <c r="BE62" s="11">
        <v>46252</v>
      </c>
      <c r="BF62" s="9">
        <v>1680</v>
      </c>
      <c r="BG62" s="9">
        <v>8</v>
      </c>
      <c r="BH62" s="9" t="s">
        <v>3099</v>
      </c>
      <c r="BI62" s="9">
        <v>1</v>
      </c>
    </row>
    <row r="63" spans="1:61" x14ac:dyDescent="0.25">
      <c r="A63" s="9">
        <v>947</v>
      </c>
      <c r="B63" s="9" t="s">
        <v>2644</v>
      </c>
      <c r="C63" s="9" t="s">
        <v>2645</v>
      </c>
      <c r="D63" s="9">
        <v>947</v>
      </c>
      <c r="E63" s="9">
        <v>1387</v>
      </c>
      <c r="F63" s="9">
        <v>2026</v>
      </c>
      <c r="G63" s="9">
        <v>9470013872026</v>
      </c>
      <c r="H63" s="9">
        <v>62071100</v>
      </c>
      <c r="I63" s="9">
        <v>2020</v>
      </c>
      <c r="J63" s="9" t="s">
        <v>2848</v>
      </c>
      <c r="K63" s="9">
        <v>1</v>
      </c>
      <c r="L63" s="9" t="s">
        <v>2558</v>
      </c>
      <c r="M63" s="9">
        <v>4</v>
      </c>
      <c r="N63" s="9" t="s">
        <v>3087</v>
      </c>
      <c r="O63" s="10">
        <v>2131.56</v>
      </c>
      <c r="P63" s="9">
        <v>0</v>
      </c>
      <c r="Q63" s="10">
        <v>2131.56</v>
      </c>
      <c r="R63" s="9">
        <v>0</v>
      </c>
      <c r="S63" s="9">
        <v>0</v>
      </c>
      <c r="T63" s="9">
        <v>0</v>
      </c>
      <c r="V63" s="10">
        <v>2131.56</v>
      </c>
      <c r="W63" s="10">
        <v>2115.5100000000002</v>
      </c>
      <c r="X63" s="11">
        <v>46237</v>
      </c>
      <c r="Y63" s="9" t="s">
        <v>2564</v>
      </c>
      <c r="Z63" s="11">
        <v>46253</v>
      </c>
      <c r="AA63" s="11">
        <v>46275</v>
      </c>
      <c r="AB63" s="9" t="s">
        <v>2559</v>
      </c>
      <c r="AC63" s="9">
        <v>260326210686920</v>
      </c>
      <c r="AD63" s="9" t="s">
        <v>3086</v>
      </c>
      <c r="AE63" s="9" t="s">
        <v>3095</v>
      </c>
      <c r="AF63" s="9" t="s">
        <v>2653</v>
      </c>
      <c r="AG63" s="9" t="s">
        <v>2570</v>
      </c>
      <c r="AH63" s="9" t="s">
        <v>2570</v>
      </c>
      <c r="AI63" s="9">
        <v>10</v>
      </c>
      <c r="AJ63" s="9" t="s">
        <v>2563</v>
      </c>
      <c r="AK63" s="9">
        <v>7200</v>
      </c>
      <c r="AM63" s="9" t="s">
        <v>2654</v>
      </c>
      <c r="AN63" s="11">
        <v>46274</v>
      </c>
      <c r="AO63" s="9">
        <v>2608859</v>
      </c>
      <c r="AP63" s="11">
        <v>46236</v>
      </c>
      <c r="AR63" s="9" t="s">
        <v>2577</v>
      </c>
      <c r="AS63" s="9" t="s">
        <v>2565</v>
      </c>
      <c r="AT63" s="9" t="s">
        <v>2566</v>
      </c>
      <c r="AU63" s="9" t="s">
        <v>262</v>
      </c>
      <c r="AV63" s="14">
        <v>46272</v>
      </c>
      <c r="AW63" s="9">
        <v>2608859</v>
      </c>
      <c r="AX63" s="9" t="s">
        <v>3117</v>
      </c>
      <c r="AY63" s="9">
        <v>7</v>
      </c>
      <c r="AZ63" s="9" t="s">
        <v>2681</v>
      </c>
      <c r="BA63" s="11">
        <v>46253</v>
      </c>
      <c r="BB63" s="9">
        <v>101</v>
      </c>
      <c r="BC63" s="9" t="s">
        <v>3100</v>
      </c>
      <c r="BD63" s="9">
        <v>843002</v>
      </c>
      <c r="BE63" s="11">
        <v>46252</v>
      </c>
      <c r="BF63" s="9">
        <v>1680</v>
      </c>
      <c r="BG63" s="9">
        <v>8</v>
      </c>
      <c r="BH63" s="9" t="s">
        <v>3099</v>
      </c>
      <c r="BI63" s="9">
        <v>1</v>
      </c>
    </row>
    <row r="64" spans="1:61" x14ac:dyDescent="0.25">
      <c r="A64" s="9">
        <v>947</v>
      </c>
      <c r="B64" s="9" t="s">
        <v>2644</v>
      </c>
      <c r="C64" s="9" t="s">
        <v>2645</v>
      </c>
      <c r="D64" s="9">
        <v>947</v>
      </c>
      <c r="E64" s="9">
        <v>1389</v>
      </c>
      <c r="F64" s="9">
        <v>2026</v>
      </c>
      <c r="G64" s="9">
        <v>9470013892026</v>
      </c>
      <c r="H64" s="9">
        <v>62071100</v>
      </c>
      <c r="I64" s="9">
        <v>0</v>
      </c>
      <c r="J64" s="9" t="s">
        <v>3098</v>
      </c>
      <c r="K64" s="9">
        <v>1</v>
      </c>
      <c r="L64" s="9" t="s">
        <v>2558</v>
      </c>
      <c r="M64" s="9">
        <v>4</v>
      </c>
      <c r="N64" s="9" t="s">
        <v>3087</v>
      </c>
      <c r="O64" s="9">
        <v>355.26</v>
      </c>
      <c r="P64" s="9">
        <v>0</v>
      </c>
      <c r="Q64" s="9">
        <v>355.26</v>
      </c>
      <c r="R64" s="9">
        <v>0</v>
      </c>
      <c r="S64" s="9">
        <v>0</v>
      </c>
      <c r="T64" s="9">
        <v>0</v>
      </c>
      <c r="V64" s="9">
        <v>355.26</v>
      </c>
      <c r="W64" s="9">
        <v>352.59</v>
      </c>
      <c r="X64" s="11">
        <v>46237</v>
      </c>
      <c r="Y64" s="9" t="s">
        <v>2564</v>
      </c>
      <c r="Z64" s="11">
        <v>46253</v>
      </c>
      <c r="AA64" s="11">
        <v>46275</v>
      </c>
      <c r="AB64" s="9" t="s">
        <v>2559</v>
      </c>
      <c r="AC64" s="9">
        <v>260326210686920</v>
      </c>
      <c r="AD64" s="9" t="s">
        <v>3086</v>
      </c>
      <c r="AE64" s="9" t="s">
        <v>3095</v>
      </c>
      <c r="AF64" s="9" t="s">
        <v>2653</v>
      </c>
      <c r="AG64" s="9" t="s">
        <v>2570</v>
      </c>
      <c r="AH64" s="9" t="s">
        <v>2570</v>
      </c>
      <c r="AI64" s="9">
        <v>10</v>
      </c>
      <c r="AJ64" s="9" t="s">
        <v>2563</v>
      </c>
      <c r="AK64" s="9">
        <v>1200</v>
      </c>
      <c r="AM64" s="9" t="s">
        <v>2654</v>
      </c>
      <c r="AN64" s="11">
        <v>46274</v>
      </c>
      <c r="AO64" s="9">
        <v>2608861</v>
      </c>
      <c r="AP64" s="11">
        <v>46236</v>
      </c>
      <c r="AR64" s="9" t="s">
        <v>2577</v>
      </c>
      <c r="AS64" s="9" t="s">
        <v>2565</v>
      </c>
      <c r="AT64" s="9" t="s">
        <v>2566</v>
      </c>
      <c r="AU64" s="9" t="s">
        <v>1994</v>
      </c>
      <c r="AV64" s="14">
        <v>46272</v>
      </c>
      <c r="AW64" s="9">
        <v>2608861</v>
      </c>
      <c r="AX64" s="9" t="s">
        <v>3117</v>
      </c>
      <c r="AY64" s="9">
        <v>7</v>
      </c>
      <c r="AZ64" s="9" t="s">
        <v>2725</v>
      </c>
      <c r="BA64" s="11">
        <v>46253</v>
      </c>
      <c r="BB64" s="9">
        <v>101</v>
      </c>
      <c r="BC64" s="9" t="s">
        <v>3100</v>
      </c>
      <c r="BD64" s="9">
        <v>843045</v>
      </c>
      <c r="BE64" s="11">
        <v>46252</v>
      </c>
      <c r="BF64" s="9">
        <v>1680</v>
      </c>
      <c r="BG64" s="9">
        <v>8</v>
      </c>
      <c r="BH64" s="9" t="s">
        <v>3099</v>
      </c>
      <c r="BI64" s="9">
        <v>1</v>
      </c>
    </row>
    <row r="65" spans="1:61" x14ac:dyDescent="0.25">
      <c r="A65" s="9">
        <v>1880</v>
      </c>
      <c r="B65" s="9" t="s">
        <v>2916</v>
      </c>
      <c r="C65" s="9" t="s">
        <v>2557</v>
      </c>
      <c r="D65" s="9">
        <v>1880</v>
      </c>
      <c r="E65" s="9">
        <v>1532</v>
      </c>
      <c r="F65" s="9">
        <v>2026</v>
      </c>
      <c r="G65" s="9">
        <v>18800015322026</v>
      </c>
      <c r="H65" s="9">
        <v>62052000</v>
      </c>
      <c r="I65" s="9">
        <v>2016</v>
      </c>
      <c r="J65" s="9" t="s">
        <v>2851</v>
      </c>
      <c r="K65" s="9">
        <v>1</v>
      </c>
      <c r="L65" s="9" t="s">
        <v>2558</v>
      </c>
      <c r="M65" s="9">
        <v>4</v>
      </c>
      <c r="N65" s="9" t="s">
        <v>3087</v>
      </c>
      <c r="O65" s="10">
        <v>11081.4</v>
      </c>
      <c r="P65" s="9">
        <v>0</v>
      </c>
      <c r="Q65" s="10">
        <v>11081.4</v>
      </c>
      <c r="R65" s="9">
        <v>0</v>
      </c>
      <c r="S65" s="9">
        <v>0</v>
      </c>
      <c r="T65" s="9">
        <v>0</v>
      </c>
      <c r="V65" s="10">
        <v>11081.4</v>
      </c>
      <c r="W65" s="10">
        <v>10842.94</v>
      </c>
      <c r="X65" s="11">
        <v>46247</v>
      </c>
      <c r="Y65" s="9" t="s">
        <v>2564</v>
      </c>
      <c r="Z65" s="11">
        <v>46253</v>
      </c>
      <c r="AA65" s="11">
        <v>46279</v>
      </c>
      <c r="AB65" s="9" t="s">
        <v>2559</v>
      </c>
      <c r="AC65" s="9">
        <v>260326210686920</v>
      </c>
      <c r="AD65" s="9" t="s">
        <v>3086</v>
      </c>
      <c r="AE65" s="9" t="s">
        <v>200</v>
      </c>
      <c r="AF65" s="9" t="s">
        <v>2919</v>
      </c>
      <c r="AG65" s="9" t="s">
        <v>2570</v>
      </c>
      <c r="AH65" s="9" t="s">
        <v>2570</v>
      </c>
      <c r="AI65" s="9">
        <v>10</v>
      </c>
      <c r="AJ65" s="9" t="s">
        <v>2563</v>
      </c>
      <c r="AK65" s="9">
        <v>1606</v>
      </c>
      <c r="AM65" s="9" t="s">
        <v>2982</v>
      </c>
      <c r="AN65" s="11">
        <v>46278</v>
      </c>
      <c r="AO65" s="9">
        <v>2609162</v>
      </c>
      <c r="AP65" s="11">
        <v>46246</v>
      </c>
      <c r="AS65" s="9" t="s">
        <v>2565</v>
      </c>
      <c r="AT65" s="9" t="s">
        <v>2566</v>
      </c>
      <c r="AU65" s="9" t="s">
        <v>183</v>
      </c>
      <c r="AV65" s="14">
        <v>46273</v>
      </c>
      <c r="AW65" s="9">
        <v>2609162</v>
      </c>
      <c r="AX65" s="9" t="s">
        <v>3085</v>
      </c>
      <c r="AY65" s="9">
        <v>1</v>
      </c>
      <c r="AZ65" s="9" t="s">
        <v>3012</v>
      </c>
      <c r="BA65" s="11">
        <v>46253</v>
      </c>
      <c r="BB65" s="9">
        <v>306</v>
      </c>
      <c r="BC65" s="9" t="s">
        <v>3084</v>
      </c>
      <c r="BD65" s="9">
        <v>303665</v>
      </c>
      <c r="BE65" s="11">
        <v>46247</v>
      </c>
      <c r="BF65" s="9">
        <v>1680</v>
      </c>
      <c r="BG65" s="9">
        <v>1</v>
      </c>
      <c r="BH65" s="9" t="s">
        <v>3083</v>
      </c>
    </row>
    <row r="66" spans="1:61" x14ac:dyDescent="0.25">
      <c r="A66" s="9">
        <v>1949</v>
      </c>
      <c r="B66" s="9" t="s">
        <v>2556</v>
      </c>
      <c r="C66" s="9" t="s">
        <v>2557</v>
      </c>
      <c r="D66" s="9">
        <v>1949</v>
      </c>
      <c r="E66" s="9">
        <v>1770</v>
      </c>
      <c r="F66" s="9">
        <v>2026</v>
      </c>
      <c r="G66" s="9">
        <v>19490017702026</v>
      </c>
      <c r="H66" s="9">
        <v>62063000</v>
      </c>
      <c r="I66" s="9">
        <v>1232</v>
      </c>
      <c r="J66" s="9" t="s">
        <v>3110</v>
      </c>
      <c r="K66" s="9">
        <v>1</v>
      </c>
      <c r="L66" s="9" t="s">
        <v>2558</v>
      </c>
      <c r="M66" s="9">
        <v>4</v>
      </c>
      <c r="N66" s="9" t="s">
        <v>3087</v>
      </c>
      <c r="O66" s="10">
        <v>70512</v>
      </c>
      <c r="P66" s="10">
        <v>25973.3</v>
      </c>
      <c r="Q66" s="10">
        <v>70512</v>
      </c>
      <c r="R66" s="9">
        <v>0</v>
      </c>
      <c r="S66" s="9">
        <v>0</v>
      </c>
      <c r="T66" s="9">
        <v>0</v>
      </c>
      <c r="U66" s="9">
        <v>25973.3</v>
      </c>
      <c r="V66" s="10">
        <v>25973.3</v>
      </c>
      <c r="W66" s="10">
        <v>25973.3</v>
      </c>
      <c r="X66" s="11">
        <v>46247</v>
      </c>
      <c r="Y66" s="9" t="s">
        <v>2564</v>
      </c>
      <c r="Z66" s="11">
        <v>46253</v>
      </c>
      <c r="AA66" s="11">
        <v>46258</v>
      </c>
      <c r="AB66" s="9" t="s">
        <v>2559</v>
      </c>
      <c r="AC66" s="9">
        <v>260326210686920</v>
      </c>
      <c r="AD66" s="9" t="s">
        <v>3086</v>
      </c>
      <c r="AE66" s="9" t="s">
        <v>3109</v>
      </c>
      <c r="AF66" s="9" t="s">
        <v>2585</v>
      </c>
      <c r="AG66" s="9" t="s">
        <v>2570</v>
      </c>
      <c r="AH66" s="9" t="s">
        <v>2570</v>
      </c>
      <c r="AI66" s="9">
        <v>10</v>
      </c>
      <c r="AJ66" s="9" t="s">
        <v>2563</v>
      </c>
      <c r="AK66" s="9">
        <v>10865</v>
      </c>
      <c r="AM66" s="9" t="s">
        <v>2606</v>
      </c>
      <c r="AN66" s="11">
        <v>46257</v>
      </c>
      <c r="AO66" s="9">
        <v>2609261</v>
      </c>
      <c r="AP66" s="11">
        <v>46247</v>
      </c>
      <c r="AR66" s="9" t="s">
        <v>2577</v>
      </c>
      <c r="AT66" s="9" t="s">
        <v>2566</v>
      </c>
      <c r="AV66" s="14">
        <v>46256</v>
      </c>
      <c r="AX66" s="9" t="s">
        <v>3085</v>
      </c>
      <c r="AY66" s="9">
        <v>1</v>
      </c>
      <c r="AZ66" s="9" t="s">
        <v>2607</v>
      </c>
      <c r="BA66" s="11">
        <v>46253</v>
      </c>
      <c r="BB66" s="9">
        <v>306</v>
      </c>
      <c r="BC66" s="9" t="s">
        <v>3084</v>
      </c>
      <c r="BD66" s="9">
        <v>318443</v>
      </c>
      <c r="BE66" s="11">
        <v>46250</v>
      </c>
      <c r="BF66" s="9">
        <v>1680</v>
      </c>
      <c r="BG66" s="9">
        <v>1</v>
      </c>
      <c r="BH66" s="9" t="s">
        <v>3083</v>
      </c>
      <c r="BI66" s="9">
        <v>1</v>
      </c>
    </row>
    <row r="67" spans="1:61" x14ac:dyDescent="0.25">
      <c r="A67" s="9">
        <v>1880</v>
      </c>
      <c r="B67" s="9" t="s">
        <v>2916</v>
      </c>
      <c r="C67" s="9" t="s">
        <v>2557</v>
      </c>
      <c r="D67" s="9">
        <v>1880</v>
      </c>
      <c r="E67" s="9">
        <v>1561</v>
      </c>
      <c r="F67" s="9">
        <v>2026</v>
      </c>
      <c r="G67" s="9">
        <v>18800015612026</v>
      </c>
      <c r="H67" s="9">
        <v>62044200</v>
      </c>
      <c r="I67" s="9">
        <v>2016</v>
      </c>
      <c r="J67" s="9" t="s">
        <v>2851</v>
      </c>
      <c r="K67" s="9">
        <v>1</v>
      </c>
      <c r="L67" s="9" t="s">
        <v>2558</v>
      </c>
      <c r="M67" s="9">
        <v>9</v>
      </c>
      <c r="N67" s="9" t="s">
        <v>3104</v>
      </c>
      <c r="O67" s="10">
        <v>4092</v>
      </c>
      <c r="Q67" s="10">
        <v>4092</v>
      </c>
      <c r="R67" s="9">
        <v>1811.62</v>
      </c>
      <c r="S67" s="9">
        <v>0</v>
      </c>
      <c r="T67" s="9">
        <v>0</v>
      </c>
      <c r="V67" s="10">
        <v>4092</v>
      </c>
      <c r="X67" s="11">
        <v>46250</v>
      </c>
      <c r="Y67" s="9" t="s">
        <v>2564</v>
      </c>
      <c r="Z67" s="11">
        <v>46254</v>
      </c>
      <c r="AB67" s="9" t="s">
        <v>2559</v>
      </c>
      <c r="AC67" s="9">
        <v>260326210686920</v>
      </c>
      <c r="AD67" s="9" t="s">
        <v>3086</v>
      </c>
      <c r="AE67" s="9" t="s">
        <v>200</v>
      </c>
      <c r="AF67" s="9" t="s">
        <v>2919</v>
      </c>
      <c r="AG67" s="9" t="s">
        <v>2570</v>
      </c>
      <c r="AI67" s="9">
        <v>10</v>
      </c>
      <c r="AJ67" s="9" t="s">
        <v>2563</v>
      </c>
      <c r="AK67" s="9">
        <v>1056</v>
      </c>
      <c r="AO67" s="9">
        <v>2609152</v>
      </c>
      <c r="AP67" s="11">
        <v>46246</v>
      </c>
      <c r="AR67" s="9" t="s">
        <v>2577</v>
      </c>
      <c r="AS67" s="9" t="s">
        <v>2967</v>
      </c>
      <c r="AT67" s="9" t="s">
        <v>2566</v>
      </c>
      <c r="AV67" s="14">
        <v>46261</v>
      </c>
      <c r="AX67" s="9" t="s">
        <v>3117</v>
      </c>
      <c r="AY67" s="9">
        <v>7</v>
      </c>
      <c r="AZ67" s="9" t="s">
        <v>2968</v>
      </c>
      <c r="BA67" s="11">
        <v>46254</v>
      </c>
      <c r="BB67" s="9">
        <v>101</v>
      </c>
      <c r="BC67" s="9" t="s">
        <v>3100</v>
      </c>
      <c r="BD67" s="9">
        <v>847581</v>
      </c>
      <c r="BE67" s="11">
        <v>46253</v>
      </c>
      <c r="BF67" s="9">
        <v>1680</v>
      </c>
      <c r="BG67" s="9">
        <v>8</v>
      </c>
      <c r="BH67" s="9" t="s">
        <v>3099</v>
      </c>
    </row>
    <row r="68" spans="1:61" x14ac:dyDescent="0.25">
      <c r="A68" s="9">
        <v>947</v>
      </c>
      <c r="B68" s="9" t="s">
        <v>2644</v>
      </c>
      <c r="C68" s="9" t="s">
        <v>2645</v>
      </c>
      <c r="D68" s="9">
        <v>947</v>
      </c>
      <c r="E68" s="9">
        <v>1388</v>
      </c>
      <c r="F68" s="9">
        <v>2026</v>
      </c>
      <c r="G68" s="9">
        <v>9470013882026</v>
      </c>
      <c r="H68" s="9">
        <v>62071100</v>
      </c>
      <c r="I68" s="9">
        <v>0</v>
      </c>
      <c r="J68" s="9" t="s">
        <v>3098</v>
      </c>
      <c r="K68" s="9">
        <v>1</v>
      </c>
      <c r="L68" s="9" t="s">
        <v>2558</v>
      </c>
      <c r="M68" s="9">
        <v>4</v>
      </c>
      <c r="N68" s="9" t="s">
        <v>3087</v>
      </c>
      <c r="O68" s="10">
        <v>1065.78</v>
      </c>
      <c r="P68" s="9">
        <v>0</v>
      </c>
      <c r="Q68" s="10">
        <v>1065.78</v>
      </c>
      <c r="R68" s="9">
        <v>0</v>
      </c>
      <c r="S68" s="9">
        <v>0</v>
      </c>
      <c r="T68" s="9">
        <v>0</v>
      </c>
      <c r="V68" s="10">
        <v>1065.78</v>
      </c>
      <c r="W68" s="10">
        <v>1057.76</v>
      </c>
      <c r="X68" s="11">
        <v>46237</v>
      </c>
      <c r="Y68" s="9" t="s">
        <v>2564</v>
      </c>
      <c r="Z68" s="11">
        <v>46254</v>
      </c>
      <c r="AA68" s="11">
        <v>46275</v>
      </c>
      <c r="AB68" s="9" t="s">
        <v>2559</v>
      </c>
      <c r="AC68" s="9">
        <v>260326210686920</v>
      </c>
      <c r="AD68" s="9" t="s">
        <v>3086</v>
      </c>
      <c r="AE68" s="9" t="s">
        <v>3095</v>
      </c>
      <c r="AF68" s="9" t="s">
        <v>2653</v>
      </c>
      <c r="AG68" s="9" t="s">
        <v>2570</v>
      </c>
      <c r="AH68" s="9" t="s">
        <v>2570</v>
      </c>
      <c r="AI68" s="9">
        <v>10</v>
      </c>
      <c r="AJ68" s="9" t="s">
        <v>2563</v>
      </c>
      <c r="AK68" s="9">
        <v>3600</v>
      </c>
      <c r="AM68" s="9" t="s">
        <v>2654</v>
      </c>
      <c r="AN68" s="11">
        <v>46274</v>
      </c>
      <c r="AO68" s="9">
        <v>2608860</v>
      </c>
      <c r="AP68" s="11">
        <v>46236</v>
      </c>
      <c r="AR68" s="9" t="s">
        <v>2577</v>
      </c>
      <c r="AS68" s="9" t="s">
        <v>2565</v>
      </c>
      <c r="AT68" s="9" t="s">
        <v>2566</v>
      </c>
      <c r="AU68" s="9" t="s">
        <v>269</v>
      </c>
      <c r="AV68" s="14">
        <v>46272</v>
      </c>
      <c r="AW68" s="9">
        <v>2608860</v>
      </c>
      <c r="AX68" s="9" t="s">
        <v>3117</v>
      </c>
      <c r="AY68" s="9">
        <v>7</v>
      </c>
      <c r="AZ68" s="9" t="s">
        <v>2723</v>
      </c>
      <c r="BA68" s="11">
        <v>46254</v>
      </c>
      <c r="BB68" s="9">
        <v>101</v>
      </c>
      <c r="BC68" s="9" t="s">
        <v>3100</v>
      </c>
      <c r="BD68" s="9">
        <v>849943</v>
      </c>
      <c r="BE68" s="11">
        <v>46254</v>
      </c>
      <c r="BF68" s="9">
        <v>1680</v>
      </c>
      <c r="BG68" s="9">
        <v>8</v>
      </c>
      <c r="BH68" s="9" t="s">
        <v>3099</v>
      </c>
      <c r="BI68" s="9">
        <v>1</v>
      </c>
    </row>
    <row r="69" spans="1:61" x14ac:dyDescent="0.25">
      <c r="A69" s="9">
        <v>1880</v>
      </c>
      <c r="B69" s="9" t="s">
        <v>2916</v>
      </c>
      <c r="C69" s="9" t="s">
        <v>2557</v>
      </c>
      <c r="D69" s="9">
        <v>1880</v>
      </c>
      <c r="E69" s="9">
        <v>1559</v>
      </c>
      <c r="F69" s="9">
        <v>2026</v>
      </c>
      <c r="G69" s="9">
        <v>18800015592026</v>
      </c>
      <c r="H69" s="9">
        <v>62044200</v>
      </c>
      <c r="I69" s="9">
        <v>2016</v>
      </c>
      <c r="J69" s="9" t="s">
        <v>2851</v>
      </c>
      <c r="K69" s="9">
        <v>1</v>
      </c>
      <c r="L69" s="9" t="s">
        <v>2558</v>
      </c>
      <c r="M69" s="9">
        <v>9</v>
      </c>
      <c r="N69" s="9" t="s">
        <v>3104</v>
      </c>
      <c r="O69" s="10">
        <v>8368.7999999999993</v>
      </c>
      <c r="Q69" s="10">
        <v>8368.7999999999993</v>
      </c>
      <c r="R69" s="9">
        <v>3030.52</v>
      </c>
      <c r="S69" s="9">
        <v>0</v>
      </c>
      <c r="T69" s="9">
        <v>0</v>
      </c>
      <c r="V69" s="10">
        <v>8368.7999999999993</v>
      </c>
      <c r="X69" s="11">
        <v>46250</v>
      </c>
      <c r="Y69" s="9" t="s">
        <v>2564</v>
      </c>
      <c r="Z69" s="11">
        <v>46254</v>
      </c>
      <c r="AB69" s="9" t="s">
        <v>2559</v>
      </c>
      <c r="AC69" s="9">
        <v>260326210686920</v>
      </c>
      <c r="AD69" s="9" t="s">
        <v>3086</v>
      </c>
      <c r="AE69" s="9" t="s">
        <v>200</v>
      </c>
      <c r="AF69" s="9" t="s">
        <v>2919</v>
      </c>
      <c r="AG69" s="9" t="s">
        <v>2570</v>
      </c>
      <c r="AI69" s="9">
        <v>10</v>
      </c>
      <c r="AJ69" s="9" t="s">
        <v>2563</v>
      </c>
      <c r="AK69" s="9">
        <v>2112</v>
      </c>
      <c r="AO69" s="9">
        <v>2609151</v>
      </c>
      <c r="AP69" s="11">
        <v>46246</v>
      </c>
      <c r="AR69" s="9" t="s">
        <v>2577</v>
      </c>
      <c r="AS69" s="9" t="s">
        <v>2967</v>
      </c>
      <c r="AT69" s="9" t="s">
        <v>2566</v>
      </c>
      <c r="AV69" s="14">
        <v>46261</v>
      </c>
      <c r="AX69" s="9" t="s">
        <v>3117</v>
      </c>
      <c r="AY69" s="9">
        <v>7</v>
      </c>
      <c r="AZ69" s="9" t="s">
        <v>3044</v>
      </c>
      <c r="BA69" s="11">
        <v>46254</v>
      </c>
      <c r="BB69" s="9">
        <v>101</v>
      </c>
      <c r="BC69" s="9" t="s">
        <v>3100</v>
      </c>
      <c r="BD69" s="9">
        <v>847567</v>
      </c>
      <c r="BE69" s="11">
        <v>46253</v>
      </c>
      <c r="BF69" s="9">
        <v>1680</v>
      </c>
      <c r="BG69" s="9">
        <v>8</v>
      </c>
      <c r="BH69" s="9" t="s">
        <v>3099</v>
      </c>
    </row>
    <row r="70" spans="1:61" x14ac:dyDescent="0.25">
      <c r="A70" s="9">
        <v>1880</v>
      </c>
      <c r="B70" s="9" t="s">
        <v>2916</v>
      </c>
      <c r="C70" s="9" t="s">
        <v>2557</v>
      </c>
      <c r="D70" s="9">
        <v>1880</v>
      </c>
      <c r="E70" s="9">
        <v>1498</v>
      </c>
      <c r="F70" s="9">
        <v>2026</v>
      </c>
      <c r="G70" s="9">
        <v>18800014982026</v>
      </c>
      <c r="H70" s="9">
        <v>62063000</v>
      </c>
      <c r="I70" s="9">
        <v>2016</v>
      </c>
      <c r="J70" s="9" t="s">
        <v>2851</v>
      </c>
      <c r="K70" s="9">
        <v>1</v>
      </c>
      <c r="L70" s="9" t="s">
        <v>2558</v>
      </c>
      <c r="M70" s="9">
        <v>4</v>
      </c>
      <c r="N70" s="9" t="s">
        <v>3087</v>
      </c>
      <c r="O70" s="10">
        <v>2306.25</v>
      </c>
      <c r="Q70" s="10">
        <v>2306.25</v>
      </c>
      <c r="R70" s="9">
        <v>0</v>
      </c>
      <c r="S70" s="9">
        <v>0</v>
      </c>
      <c r="T70" s="9">
        <v>0</v>
      </c>
      <c r="V70" s="10">
        <v>2306.25</v>
      </c>
      <c r="W70" s="10">
        <v>2262.81</v>
      </c>
      <c r="X70" s="11">
        <v>46243</v>
      </c>
      <c r="Y70" s="9" t="s">
        <v>2564</v>
      </c>
      <c r="Z70" s="11">
        <v>46255</v>
      </c>
      <c r="AA70" s="11">
        <v>46286</v>
      </c>
      <c r="AB70" s="9" t="s">
        <v>2559</v>
      </c>
      <c r="AC70" s="9">
        <v>260326210686920</v>
      </c>
      <c r="AD70" s="9" t="s">
        <v>3086</v>
      </c>
      <c r="AE70" s="9" t="s">
        <v>200</v>
      </c>
      <c r="AF70" s="9" t="s">
        <v>2919</v>
      </c>
      <c r="AG70" s="9" t="s">
        <v>2570</v>
      </c>
      <c r="AH70" s="9" t="s">
        <v>2570</v>
      </c>
      <c r="AI70" s="9">
        <v>10</v>
      </c>
      <c r="AJ70" s="9" t="s">
        <v>2563</v>
      </c>
      <c r="AK70" s="9">
        <v>450</v>
      </c>
      <c r="AM70" s="9" t="s">
        <v>2985</v>
      </c>
      <c r="AN70" s="11">
        <v>46285</v>
      </c>
      <c r="AO70" s="9">
        <v>2609043</v>
      </c>
      <c r="AP70" s="11">
        <v>46242</v>
      </c>
      <c r="AT70" s="9" t="s">
        <v>2566</v>
      </c>
      <c r="AV70" s="14">
        <v>46284</v>
      </c>
      <c r="AX70" s="9" t="s">
        <v>3085</v>
      </c>
      <c r="AY70" s="9">
        <v>1</v>
      </c>
      <c r="AZ70" s="9" t="s">
        <v>2986</v>
      </c>
      <c r="BA70" s="11">
        <v>46255</v>
      </c>
      <c r="BB70" s="9">
        <v>306</v>
      </c>
      <c r="BC70" s="9" t="s">
        <v>3084</v>
      </c>
      <c r="BD70" s="9">
        <v>282883</v>
      </c>
      <c r="BE70" s="11">
        <v>46243</v>
      </c>
      <c r="BF70" s="9">
        <v>1680</v>
      </c>
      <c r="BG70" s="9">
        <v>1</v>
      </c>
      <c r="BH70" s="9" t="s">
        <v>3083</v>
      </c>
    </row>
    <row r="71" spans="1:61" x14ac:dyDescent="0.25">
      <c r="A71" s="9">
        <v>947</v>
      </c>
      <c r="B71" s="9" t="s">
        <v>2644</v>
      </c>
      <c r="C71" s="9" t="s">
        <v>2645</v>
      </c>
      <c r="D71" s="9">
        <v>947</v>
      </c>
      <c r="E71" s="9">
        <v>1432</v>
      </c>
      <c r="F71" s="9">
        <v>2026</v>
      </c>
      <c r="G71" s="9">
        <v>9470014322026</v>
      </c>
      <c r="H71" s="9">
        <v>62071100</v>
      </c>
      <c r="I71" s="9">
        <v>2020</v>
      </c>
      <c r="J71" s="9" t="s">
        <v>2848</v>
      </c>
      <c r="K71" s="9">
        <v>1</v>
      </c>
      <c r="L71" s="9" t="s">
        <v>2558</v>
      </c>
      <c r="M71" s="9">
        <v>4</v>
      </c>
      <c r="N71" s="9" t="s">
        <v>3087</v>
      </c>
      <c r="O71" s="10">
        <v>24352.5</v>
      </c>
      <c r="P71" s="9">
        <v>0</v>
      </c>
      <c r="Q71" s="10">
        <v>24352.5</v>
      </c>
      <c r="R71" s="9">
        <v>0</v>
      </c>
      <c r="S71" s="9">
        <v>0</v>
      </c>
      <c r="T71" s="9">
        <v>0</v>
      </c>
      <c r="V71" s="10">
        <v>24352.5</v>
      </c>
      <c r="W71" s="10">
        <v>24169.18</v>
      </c>
      <c r="X71" s="11">
        <v>46245</v>
      </c>
      <c r="Y71" s="9" t="s">
        <v>2564</v>
      </c>
      <c r="Z71" s="11">
        <v>46255</v>
      </c>
      <c r="AA71" s="11">
        <v>46275</v>
      </c>
      <c r="AB71" s="9" t="s">
        <v>2559</v>
      </c>
      <c r="AC71" s="9">
        <v>260326210686920</v>
      </c>
      <c r="AD71" s="9" t="s">
        <v>3086</v>
      </c>
      <c r="AE71" s="9" t="s">
        <v>3095</v>
      </c>
      <c r="AF71" s="9" t="s">
        <v>2653</v>
      </c>
      <c r="AG71" s="9" t="s">
        <v>2570</v>
      </c>
      <c r="AH71" s="9" t="s">
        <v>2570</v>
      </c>
      <c r="AI71" s="9">
        <v>10</v>
      </c>
      <c r="AJ71" s="9" t="s">
        <v>2563</v>
      </c>
      <c r="AK71" s="9">
        <v>50000</v>
      </c>
      <c r="AM71" s="9" t="s">
        <v>2654</v>
      </c>
      <c r="AN71" s="11">
        <v>46274</v>
      </c>
      <c r="AO71" s="9">
        <v>2609140</v>
      </c>
      <c r="AP71" s="11">
        <v>46245</v>
      </c>
      <c r="AR71" s="9" t="s">
        <v>2577</v>
      </c>
      <c r="AS71" s="9" t="s">
        <v>2565</v>
      </c>
      <c r="AT71" s="9" t="s">
        <v>2566</v>
      </c>
      <c r="AU71" s="9" t="s">
        <v>252</v>
      </c>
      <c r="AV71" s="14">
        <v>46272</v>
      </c>
      <c r="AW71" s="9">
        <v>2609140</v>
      </c>
      <c r="AX71" s="9" t="s">
        <v>3094</v>
      </c>
      <c r="AY71" s="9">
        <v>6</v>
      </c>
      <c r="AZ71" s="9" t="s">
        <v>2721</v>
      </c>
      <c r="BA71" s="11">
        <v>46255</v>
      </c>
      <c r="BB71" s="9">
        <v>306</v>
      </c>
      <c r="BC71" s="9" t="s">
        <v>3084</v>
      </c>
      <c r="BD71" s="9">
        <v>314115</v>
      </c>
      <c r="BE71" s="11">
        <v>46249</v>
      </c>
      <c r="BF71" s="9">
        <v>1680</v>
      </c>
      <c r="BG71" s="9">
        <v>1</v>
      </c>
      <c r="BH71" s="9" t="s">
        <v>3083</v>
      </c>
      <c r="BI71" s="9">
        <v>1</v>
      </c>
    </row>
    <row r="72" spans="1:61" x14ac:dyDescent="0.25">
      <c r="A72" s="9">
        <v>1949</v>
      </c>
      <c r="B72" s="9" t="s">
        <v>2556</v>
      </c>
      <c r="C72" s="9" t="s">
        <v>2557</v>
      </c>
      <c r="D72" s="9">
        <v>1949</v>
      </c>
      <c r="E72" s="9">
        <v>1771</v>
      </c>
      <c r="F72" s="9">
        <v>2026</v>
      </c>
      <c r="G72" s="9">
        <v>19490017712026</v>
      </c>
      <c r="H72" s="9">
        <v>62052000</v>
      </c>
      <c r="I72" s="9">
        <v>2016</v>
      </c>
      <c r="J72" s="9" t="s">
        <v>2851</v>
      </c>
      <c r="K72" s="9">
        <v>1</v>
      </c>
      <c r="L72" s="9" t="s">
        <v>2558</v>
      </c>
      <c r="M72" s="9">
        <v>4</v>
      </c>
      <c r="N72" s="9" t="s">
        <v>3087</v>
      </c>
      <c r="O72" s="10">
        <v>18715</v>
      </c>
      <c r="Q72" s="10">
        <v>18715</v>
      </c>
      <c r="R72" s="9">
        <v>0</v>
      </c>
      <c r="S72" s="9">
        <v>0</v>
      </c>
      <c r="T72" s="9">
        <v>0</v>
      </c>
      <c r="V72" s="10">
        <v>18715</v>
      </c>
      <c r="W72" s="10">
        <v>18352.57</v>
      </c>
      <c r="X72" s="11">
        <v>46248</v>
      </c>
      <c r="Y72" s="9" t="s">
        <v>2564</v>
      </c>
      <c r="Z72" s="11">
        <v>46255</v>
      </c>
      <c r="AA72" s="11">
        <v>46285</v>
      </c>
      <c r="AB72" s="9" t="s">
        <v>2559</v>
      </c>
      <c r="AC72" s="9">
        <v>260326210686920</v>
      </c>
      <c r="AD72" s="9" t="s">
        <v>3086</v>
      </c>
      <c r="AE72" s="9" t="s">
        <v>3097</v>
      </c>
      <c r="AF72" s="9" t="s">
        <v>2569</v>
      </c>
      <c r="AG72" s="9" t="s">
        <v>2570</v>
      </c>
      <c r="AH72" s="9" t="s">
        <v>2570</v>
      </c>
      <c r="AI72" s="9">
        <v>10</v>
      </c>
      <c r="AJ72" s="9" t="s">
        <v>2563</v>
      </c>
      <c r="AK72" s="9">
        <v>3940</v>
      </c>
      <c r="AM72" s="9" t="s">
        <v>2602</v>
      </c>
      <c r="AN72" s="11">
        <v>46285</v>
      </c>
      <c r="AO72" s="9">
        <v>2609276</v>
      </c>
      <c r="AP72" s="11">
        <v>46247</v>
      </c>
      <c r="AR72" s="9" t="s">
        <v>2603</v>
      </c>
      <c r="AT72" s="9" t="s">
        <v>2566</v>
      </c>
      <c r="AV72" s="14">
        <v>46284</v>
      </c>
      <c r="AX72" s="9" t="s">
        <v>3085</v>
      </c>
      <c r="AY72" s="9">
        <v>1</v>
      </c>
      <c r="AZ72" s="9" t="s">
        <v>2604</v>
      </c>
      <c r="BA72" s="11">
        <v>46255</v>
      </c>
      <c r="BB72" s="9">
        <v>306</v>
      </c>
      <c r="BC72" s="9" t="s">
        <v>3084</v>
      </c>
      <c r="BD72" s="9">
        <v>310958</v>
      </c>
      <c r="BE72" s="11">
        <v>46248</v>
      </c>
      <c r="BF72" s="9">
        <v>1680</v>
      </c>
      <c r="BG72" s="9">
        <v>1</v>
      </c>
      <c r="BH72" s="9" t="s">
        <v>3083</v>
      </c>
    </row>
    <row r="73" spans="1:61" x14ac:dyDescent="0.25">
      <c r="A73" s="9">
        <v>1880</v>
      </c>
      <c r="B73" s="9" t="s">
        <v>2916</v>
      </c>
      <c r="C73" s="9" t="s">
        <v>2557</v>
      </c>
      <c r="D73" s="9">
        <v>1880</v>
      </c>
      <c r="E73" s="9">
        <v>1544</v>
      </c>
      <c r="F73" s="9">
        <v>2026</v>
      </c>
      <c r="G73" s="9">
        <v>18800015442026</v>
      </c>
      <c r="H73" s="9">
        <v>62052000</v>
      </c>
      <c r="I73" s="9">
        <v>2016</v>
      </c>
      <c r="J73" s="9" t="s">
        <v>2851</v>
      </c>
      <c r="K73" s="9">
        <v>1</v>
      </c>
      <c r="L73" s="9" t="s">
        <v>2558</v>
      </c>
      <c r="M73" s="9">
        <v>4</v>
      </c>
      <c r="N73" s="9" t="s">
        <v>3087</v>
      </c>
      <c r="O73" s="10">
        <v>22425</v>
      </c>
      <c r="Q73" s="10">
        <v>22425</v>
      </c>
      <c r="R73" s="9">
        <v>0</v>
      </c>
      <c r="S73" s="9">
        <v>0</v>
      </c>
      <c r="T73" s="9">
        <v>0</v>
      </c>
      <c r="V73" s="10">
        <v>22425</v>
      </c>
      <c r="W73" s="10">
        <v>22002.59</v>
      </c>
      <c r="X73" s="11">
        <v>46248</v>
      </c>
      <c r="Y73" s="9" t="s">
        <v>2564</v>
      </c>
      <c r="Z73" s="11">
        <v>46255</v>
      </c>
      <c r="AA73" s="11">
        <v>46286</v>
      </c>
      <c r="AB73" s="9" t="s">
        <v>2559</v>
      </c>
      <c r="AC73" s="9">
        <v>260326210686920</v>
      </c>
      <c r="AD73" s="9" t="s">
        <v>3086</v>
      </c>
      <c r="AE73" s="9" t="s">
        <v>200</v>
      </c>
      <c r="AF73" s="9" t="s">
        <v>2919</v>
      </c>
      <c r="AG73" s="9" t="s">
        <v>2570</v>
      </c>
      <c r="AH73" s="9" t="s">
        <v>2570</v>
      </c>
      <c r="AI73" s="9">
        <v>10</v>
      </c>
      <c r="AJ73" s="9" t="s">
        <v>2563</v>
      </c>
      <c r="AK73" s="9">
        <v>4600</v>
      </c>
      <c r="AM73" s="9" t="s">
        <v>2985</v>
      </c>
      <c r="AN73" s="11">
        <v>46285</v>
      </c>
      <c r="AO73" s="9">
        <v>2609278</v>
      </c>
      <c r="AP73" s="11">
        <v>46248</v>
      </c>
      <c r="AR73" s="9" t="s">
        <v>2614</v>
      </c>
      <c r="AT73" s="9" t="s">
        <v>2566</v>
      </c>
      <c r="AV73" s="14">
        <v>46284</v>
      </c>
      <c r="AX73" s="9" t="s">
        <v>3085</v>
      </c>
      <c r="AY73" s="9">
        <v>1</v>
      </c>
      <c r="AZ73" s="9" t="s">
        <v>3060</v>
      </c>
      <c r="BA73" s="11">
        <v>46255</v>
      </c>
      <c r="BB73" s="9">
        <v>306</v>
      </c>
      <c r="BC73" s="9" t="s">
        <v>3084</v>
      </c>
      <c r="BD73" s="9">
        <v>310941</v>
      </c>
      <c r="BE73" s="11">
        <v>46248</v>
      </c>
      <c r="BF73" s="9">
        <v>1680</v>
      </c>
      <c r="BG73" s="9">
        <v>1</v>
      </c>
      <c r="BH73" s="9" t="s">
        <v>3083</v>
      </c>
    </row>
    <row r="74" spans="1:61" x14ac:dyDescent="0.25">
      <c r="A74" s="9">
        <v>947</v>
      </c>
      <c r="B74" s="9" t="s">
        <v>2644</v>
      </c>
      <c r="C74" s="9" t="s">
        <v>2645</v>
      </c>
      <c r="D74" s="9">
        <v>947</v>
      </c>
      <c r="E74" s="9">
        <v>1470</v>
      </c>
      <c r="F74" s="9">
        <v>2026</v>
      </c>
      <c r="G74" s="9">
        <v>9470014702026</v>
      </c>
      <c r="H74" s="9">
        <v>62071100</v>
      </c>
      <c r="I74" s="9">
        <v>2020</v>
      </c>
      <c r="J74" s="9" t="s">
        <v>2848</v>
      </c>
      <c r="K74" s="9">
        <v>1</v>
      </c>
      <c r="L74" s="9" t="s">
        <v>2558</v>
      </c>
      <c r="M74" s="9">
        <v>4</v>
      </c>
      <c r="N74" s="9" t="s">
        <v>3087</v>
      </c>
      <c r="O74" s="10">
        <v>10130.64</v>
      </c>
      <c r="Q74" s="10">
        <v>10130.64</v>
      </c>
      <c r="R74" s="9">
        <v>0</v>
      </c>
      <c r="S74" s="9">
        <v>0</v>
      </c>
      <c r="T74" s="9">
        <v>0</v>
      </c>
      <c r="V74" s="10">
        <v>10130.64</v>
      </c>
      <c r="W74" s="10">
        <v>10054.379999999999</v>
      </c>
      <c r="X74" s="11">
        <v>46250</v>
      </c>
      <c r="Y74" s="9" t="s">
        <v>2564</v>
      </c>
      <c r="Z74" s="11">
        <v>46256</v>
      </c>
      <c r="AA74" s="11">
        <v>46275</v>
      </c>
      <c r="AB74" s="9" t="s">
        <v>2559</v>
      </c>
      <c r="AC74" s="9">
        <v>260326210686920</v>
      </c>
      <c r="AD74" s="9" t="s">
        <v>3086</v>
      </c>
      <c r="AE74" s="9" t="s">
        <v>3095</v>
      </c>
      <c r="AF74" s="9" t="s">
        <v>2653</v>
      </c>
      <c r="AG74" s="9" t="s">
        <v>2570</v>
      </c>
      <c r="AH74" s="9" t="s">
        <v>2570</v>
      </c>
      <c r="AI74" s="9">
        <v>10</v>
      </c>
      <c r="AJ74" s="9" t="s">
        <v>2563</v>
      </c>
      <c r="AK74" s="9">
        <v>20800</v>
      </c>
      <c r="AM74" s="9" t="s">
        <v>2654</v>
      </c>
      <c r="AN74" s="11">
        <v>46274</v>
      </c>
      <c r="AO74" s="9">
        <v>2609281</v>
      </c>
      <c r="AP74" s="11">
        <v>46250</v>
      </c>
      <c r="AT74" s="9" t="s">
        <v>2566</v>
      </c>
      <c r="AV74" s="14">
        <v>46272</v>
      </c>
      <c r="AX74" s="9" t="s">
        <v>3094</v>
      </c>
      <c r="AY74" s="9">
        <v>6</v>
      </c>
      <c r="AZ74" s="9" t="s">
        <v>2688</v>
      </c>
      <c r="BA74" s="11">
        <v>46256</v>
      </c>
      <c r="BB74" s="9">
        <v>306</v>
      </c>
      <c r="BC74" s="9" t="s">
        <v>3084</v>
      </c>
      <c r="BD74" s="9">
        <v>335187</v>
      </c>
      <c r="BE74" s="11">
        <v>46254</v>
      </c>
      <c r="BF74" s="9">
        <v>1680</v>
      </c>
      <c r="BG74" s="9">
        <v>1</v>
      </c>
      <c r="BH74" s="9" t="s">
        <v>3083</v>
      </c>
      <c r="BI74" s="9">
        <v>1</v>
      </c>
    </row>
    <row r="75" spans="1:61" x14ac:dyDescent="0.25">
      <c r="A75" s="9">
        <v>1949</v>
      </c>
      <c r="B75" s="9" t="s">
        <v>2556</v>
      </c>
      <c r="C75" s="9" t="s">
        <v>2557</v>
      </c>
      <c r="D75" s="9">
        <v>1949</v>
      </c>
      <c r="E75" s="9">
        <v>1820</v>
      </c>
      <c r="F75" s="9">
        <v>2026</v>
      </c>
      <c r="G75" s="9">
        <v>19490018202026</v>
      </c>
      <c r="H75" s="9">
        <v>62052000</v>
      </c>
      <c r="I75" s="9">
        <v>1232</v>
      </c>
      <c r="J75" s="9" t="s">
        <v>3110</v>
      </c>
      <c r="K75" s="9">
        <v>1</v>
      </c>
      <c r="L75" s="9" t="s">
        <v>2558</v>
      </c>
      <c r="M75" s="9">
        <v>4</v>
      </c>
      <c r="N75" s="9" t="s">
        <v>3087</v>
      </c>
      <c r="O75" s="10">
        <v>36900</v>
      </c>
      <c r="P75" s="10">
        <v>14716.1</v>
      </c>
      <c r="Q75" s="10">
        <v>36900</v>
      </c>
      <c r="R75" s="9">
        <v>0</v>
      </c>
      <c r="S75" s="9">
        <v>0</v>
      </c>
      <c r="T75" s="9">
        <v>0</v>
      </c>
      <c r="U75" s="9">
        <v>14716.1</v>
      </c>
      <c r="V75" s="10">
        <v>14716.1</v>
      </c>
      <c r="W75" s="10">
        <v>14696.1</v>
      </c>
      <c r="X75" s="11">
        <v>46254</v>
      </c>
      <c r="Y75" s="9" t="s">
        <v>2564</v>
      </c>
      <c r="Z75" s="11">
        <v>46256</v>
      </c>
      <c r="AA75" s="11">
        <v>46265</v>
      </c>
      <c r="AB75" s="9" t="s">
        <v>2559</v>
      </c>
      <c r="AC75" s="9">
        <v>260326210686920</v>
      </c>
      <c r="AD75" s="9" t="s">
        <v>3086</v>
      </c>
      <c r="AE75" s="9" t="s">
        <v>3109</v>
      </c>
      <c r="AF75" s="9" t="s">
        <v>2585</v>
      </c>
      <c r="AG75" s="9" t="s">
        <v>2570</v>
      </c>
      <c r="AH75" s="9" t="s">
        <v>2570</v>
      </c>
      <c r="AI75" s="9">
        <v>10</v>
      </c>
      <c r="AJ75" s="9" t="s">
        <v>2563</v>
      </c>
      <c r="AK75" s="9">
        <v>6281</v>
      </c>
      <c r="AM75" s="9" t="s">
        <v>2619</v>
      </c>
      <c r="AN75" s="11">
        <v>46264</v>
      </c>
      <c r="AO75" s="9">
        <v>2609439</v>
      </c>
      <c r="AP75" s="11">
        <v>46252</v>
      </c>
      <c r="AT75" s="9" t="s">
        <v>2566</v>
      </c>
      <c r="AV75" s="14">
        <v>46264</v>
      </c>
      <c r="AX75" s="9" t="s">
        <v>3085</v>
      </c>
      <c r="AY75" s="9">
        <v>1</v>
      </c>
      <c r="AZ75" s="9" t="s">
        <v>2620</v>
      </c>
      <c r="BA75" s="11">
        <v>46256</v>
      </c>
      <c r="BB75" s="9">
        <v>306</v>
      </c>
      <c r="BC75" s="9" t="s">
        <v>3084</v>
      </c>
      <c r="BD75" s="9">
        <v>336990</v>
      </c>
      <c r="BE75" s="11">
        <v>46254</v>
      </c>
      <c r="BF75" s="9">
        <v>1680</v>
      </c>
      <c r="BG75" s="9">
        <v>1</v>
      </c>
      <c r="BH75" s="9" t="s">
        <v>3083</v>
      </c>
      <c r="BI75" s="9">
        <v>1</v>
      </c>
    </row>
    <row r="76" spans="1:61" x14ac:dyDescent="0.25">
      <c r="A76" s="9">
        <v>947</v>
      </c>
      <c r="B76" s="9" t="s">
        <v>2644</v>
      </c>
      <c r="C76" s="9" t="s">
        <v>2645</v>
      </c>
      <c r="D76" s="9">
        <v>947</v>
      </c>
      <c r="E76" s="9">
        <v>1471</v>
      </c>
      <c r="F76" s="9">
        <v>2026</v>
      </c>
      <c r="G76" s="9">
        <v>9470014712026</v>
      </c>
      <c r="H76" s="9">
        <v>62071100</v>
      </c>
      <c r="I76" s="9">
        <v>2020</v>
      </c>
      <c r="J76" s="9" t="s">
        <v>2848</v>
      </c>
      <c r="K76" s="9">
        <v>1</v>
      </c>
      <c r="L76" s="9" t="s">
        <v>2558</v>
      </c>
      <c r="M76" s="9">
        <v>4</v>
      </c>
      <c r="N76" s="9" t="s">
        <v>3087</v>
      </c>
      <c r="O76" s="10">
        <v>9546.18</v>
      </c>
      <c r="Q76" s="10">
        <v>9546.18</v>
      </c>
      <c r="R76" s="9">
        <v>0</v>
      </c>
      <c r="S76" s="9">
        <v>0</v>
      </c>
      <c r="T76" s="9">
        <v>0</v>
      </c>
      <c r="V76" s="10">
        <v>9546.18</v>
      </c>
      <c r="W76" s="10">
        <v>9474.32</v>
      </c>
      <c r="X76" s="11">
        <v>46250</v>
      </c>
      <c r="Y76" s="9" t="s">
        <v>2564</v>
      </c>
      <c r="Z76" s="11">
        <v>46256</v>
      </c>
      <c r="AA76" s="11">
        <v>46275</v>
      </c>
      <c r="AB76" s="9" t="s">
        <v>2559</v>
      </c>
      <c r="AC76" s="9">
        <v>260326210686920</v>
      </c>
      <c r="AD76" s="9" t="s">
        <v>3086</v>
      </c>
      <c r="AE76" s="9" t="s">
        <v>3095</v>
      </c>
      <c r="AF76" s="9" t="s">
        <v>2653</v>
      </c>
      <c r="AG76" s="9" t="s">
        <v>2570</v>
      </c>
      <c r="AH76" s="9" t="s">
        <v>2570</v>
      </c>
      <c r="AI76" s="9">
        <v>10</v>
      </c>
      <c r="AJ76" s="9" t="s">
        <v>2563</v>
      </c>
      <c r="AK76" s="9">
        <v>19600</v>
      </c>
      <c r="AM76" s="9" t="s">
        <v>2654</v>
      </c>
      <c r="AN76" s="11">
        <v>46274</v>
      </c>
      <c r="AO76" s="9">
        <v>2609282</v>
      </c>
      <c r="AP76" s="11">
        <v>46250</v>
      </c>
      <c r="AT76" s="9" t="s">
        <v>2566</v>
      </c>
      <c r="AV76" s="14">
        <v>46272</v>
      </c>
      <c r="AX76" s="9" t="s">
        <v>3094</v>
      </c>
      <c r="AY76" s="9">
        <v>6</v>
      </c>
      <c r="AZ76" s="9" t="s">
        <v>2797</v>
      </c>
      <c r="BA76" s="11">
        <v>46256</v>
      </c>
      <c r="BB76" s="9">
        <v>306</v>
      </c>
      <c r="BC76" s="9" t="s">
        <v>3084</v>
      </c>
      <c r="BD76" s="9">
        <v>335199</v>
      </c>
      <c r="BE76" s="11">
        <v>46254</v>
      </c>
      <c r="BF76" s="9">
        <v>1680</v>
      </c>
      <c r="BG76" s="9">
        <v>1</v>
      </c>
      <c r="BH76" s="9" t="s">
        <v>3083</v>
      </c>
      <c r="BI76" s="9">
        <v>1</v>
      </c>
    </row>
    <row r="77" spans="1:61" x14ac:dyDescent="0.25">
      <c r="A77" s="9">
        <v>1880</v>
      </c>
      <c r="B77" s="9" t="s">
        <v>2916</v>
      </c>
      <c r="C77" s="9" t="s">
        <v>2557</v>
      </c>
      <c r="D77" s="9">
        <v>1880</v>
      </c>
      <c r="E77" s="9">
        <v>1525</v>
      </c>
      <c r="F77" s="9">
        <v>2026</v>
      </c>
      <c r="G77" s="9">
        <v>18800015252026</v>
      </c>
      <c r="H77" s="9">
        <v>62052000</v>
      </c>
      <c r="I77" s="9">
        <v>110</v>
      </c>
      <c r="J77" s="9" t="s">
        <v>3096</v>
      </c>
      <c r="K77" s="9">
        <v>1</v>
      </c>
      <c r="L77" s="9" t="s">
        <v>2558</v>
      </c>
      <c r="M77" s="9">
        <v>4</v>
      </c>
      <c r="N77" s="9" t="s">
        <v>3087</v>
      </c>
      <c r="O77" s="10">
        <v>8625</v>
      </c>
      <c r="P77" s="9">
        <v>0</v>
      </c>
      <c r="Q77" s="10">
        <v>8625</v>
      </c>
      <c r="R77" s="9">
        <v>0</v>
      </c>
      <c r="S77" s="9">
        <v>0</v>
      </c>
      <c r="T77" s="9">
        <v>0</v>
      </c>
      <c r="V77" s="10">
        <v>8625</v>
      </c>
      <c r="X77" s="11">
        <v>46246</v>
      </c>
      <c r="Y77" s="9" t="s">
        <v>2564</v>
      </c>
      <c r="Z77" s="11">
        <v>46257</v>
      </c>
      <c r="AB77" s="9" t="s">
        <v>2559</v>
      </c>
      <c r="AC77" s="9">
        <v>260326210686920</v>
      </c>
      <c r="AD77" s="9" t="s">
        <v>3086</v>
      </c>
      <c r="AE77" s="9" t="s">
        <v>200</v>
      </c>
      <c r="AF77" s="9" t="s">
        <v>2919</v>
      </c>
      <c r="AG77" s="9" t="s">
        <v>2570</v>
      </c>
      <c r="AI77" s="9">
        <v>10</v>
      </c>
      <c r="AJ77" s="9" t="s">
        <v>2563</v>
      </c>
      <c r="AK77" s="9">
        <v>1500</v>
      </c>
      <c r="AO77" s="9">
        <v>2609154</v>
      </c>
      <c r="AP77" s="11">
        <v>46246</v>
      </c>
      <c r="AR77" s="9" t="s">
        <v>2571</v>
      </c>
      <c r="AS77" s="9" t="s">
        <v>2999</v>
      </c>
      <c r="AT77" s="9" t="s">
        <v>2566</v>
      </c>
      <c r="AU77" s="9" t="s">
        <v>190</v>
      </c>
      <c r="AV77" s="14">
        <v>46295</v>
      </c>
      <c r="AW77" s="9">
        <v>2609154</v>
      </c>
      <c r="AX77" s="9" t="s">
        <v>3085</v>
      </c>
      <c r="AY77" s="9">
        <v>1</v>
      </c>
      <c r="AZ77" s="9" t="s">
        <v>3000</v>
      </c>
      <c r="BA77" s="11">
        <v>46257</v>
      </c>
      <c r="BB77" s="9">
        <v>306</v>
      </c>
      <c r="BC77" s="9" t="s">
        <v>3084</v>
      </c>
      <c r="BD77" s="9">
        <v>303963</v>
      </c>
      <c r="BE77" s="11">
        <v>46247</v>
      </c>
      <c r="BF77" s="9">
        <v>1680</v>
      </c>
      <c r="BG77" s="9">
        <v>1</v>
      </c>
      <c r="BH77" s="9" t="s">
        <v>3083</v>
      </c>
    </row>
    <row r="78" spans="1:61" x14ac:dyDescent="0.25">
      <c r="A78" s="9">
        <v>1880</v>
      </c>
      <c r="B78" s="9" t="s">
        <v>2916</v>
      </c>
      <c r="C78" s="9" t="s">
        <v>2557</v>
      </c>
      <c r="D78" s="9">
        <v>1880</v>
      </c>
      <c r="E78" s="9">
        <v>1527</v>
      </c>
      <c r="F78" s="9">
        <v>2026</v>
      </c>
      <c r="G78" s="9">
        <v>18800015272026</v>
      </c>
      <c r="H78" s="9">
        <v>62052000</v>
      </c>
      <c r="I78" s="9">
        <v>110</v>
      </c>
      <c r="J78" s="9" t="s">
        <v>3096</v>
      </c>
      <c r="K78" s="9">
        <v>1</v>
      </c>
      <c r="L78" s="9" t="s">
        <v>2558</v>
      </c>
      <c r="M78" s="9">
        <v>4</v>
      </c>
      <c r="N78" s="9" t="s">
        <v>3087</v>
      </c>
      <c r="O78" s="10">
        <v>9775</v>
      </c>
      <c r="P78" s="9">
        <v>0</v>
      </c>
      <c r="Q78" s="10">
        <v>9775</v>
      </c>
      <c r="R78" s="9">
        <v>0</v>
      </c>
      <c r="S78" s="9">
        <v>0</v>
      </c>
      <c r="T78" s="9">
        <v>0</v>
      </c>
      <c r="V78" s="10">
        <v>9775</v>
      </c>
      <c r="X78" s="11">
        <v>46246</v>
      </c>
      <c r="Y78" s="9" t="s">
        <v>2564</v>
      </c>
      <c r="Z78" s="11">
        <v>46257</v>
      </c>
      <c r="AB78" s="9" t="s">
        <v>2559</v>
      </c>
      <c r="AC78" s="9">
        <v>260326210686920</v>
      </c>
      <c r="AD78" s="9" t="s">
        <v>3086</v>
      </c>
      <c r="AE78" s="9" t="s">
        <v>200</v>
      </c>
      <c r="AF78" s="9" t="s">
        <v>2919</v>
      </c>
      <c r="AG78" s="9" t="s">
        <v>2570</v>
      </c>
      <c r="AI78" s="9">
        <v>10</v>
      </c>
      <c r="AJ78" s="9" t="s">
        <v>2563</v>
      </c>
      <c r="AK78" s="9">
        <v>1700</v>
      </c>
      <c r="AO78" s="9">
        <v>2609156</v>
      </c>
      <c r="AP78" s="11">
        <v>46246</v>
      </c>
      <c r="AR78" s="9" t="s">
        <v>2571</v>
      </c>
      <c r="AS78" s="9" t="s">
        <v>2999</v>
      </c>
      <c r="AT78" s="9" t="s">
        <v>2566</v>
      </c>
      <c r="AU78" s="9" t="s">
        <v>190</v>
      </c>
      <c r="AV78" s="14">
        <v>46295</v>
      </c>
      <c r="AW78" s="9">
        <v>2609156</v>
      </c>
      <c r="AX78" s="9" t="s">
        <v>3085</v>
      </c>
      <c r="AY78" s="9">
        <v>1</v>
      </c>
      <c r="AZ78" s="9" t="s">
        <v>3004</v>
      </c>
      <c r="BA78" s="11">
        <v>46257</v>
      </c>
      <c r="BB78" s="9">
        <v>306</v>
      </c>
      <c r="BC78" s="9" t="s">
        <v>3084</v>
      </c>
      <c r="BD78" s="9">
        <v>303962</v>
      </c>
      <c r="BE78" s="11">
        <v>46247</v>
      </c>
      <c r="BF78" s="9">
        <v>1680</v>
      </c>
      <c r="BG78" s="9">
        <v>1</v>
      </c>
      <c r="BH78" s="9" t="s">
        <v>3083</v>
      </c>
    </row>
    <row r="79" spans="1:61" x14ac:dyDescent="0.25">
      <c r="A79" s="9">
        <v>1880</v>
      </c>
      <c r="B79" s="9" t="s">
        <v>2916</v>
      </c>
      <c r="C79" s="9" t="s">
        <v>2557</v>
      </c>
      <c r="D79" s="9">
        <v>1880</v>
      </c>
      <c r="E79" s="9">
        <v>1534</v>
      </c>
      <c r="F79" s="9">
        <v>2026</v>
      </c>
      <c r="G79" s="9">
        <v>18800015342026</v>
      </c>
      <c r="H79" s="9">
        <v>62052000</v>
      </c>
      <c r="I79" s="9">
        <v>110</v>
      </c>
      <c r="J79" s="9" t="s">
        <v>3096</v>
      </c>
      <c r="K79" s="9">
        <v>1</v>
      </c>
      <c r="L79" s="9" t="s">
        <v>2558</v>
      </c>
      <c r="M79" s="9">
        <v>4</v>
      </c>
      <c r="N79" s="9" t="s">
        <v>3087</v>
      </c>
      <c r="O79" s="10">
        <v>11590</v>
      </c>
      <c r="P79" s="9">
        <v>0</v>
      </c>
      <c r="Q79" s="10">
        <v>11590</v>
      </c>
      <c r="R79" s="9">
        <v>0</v>
      </c>
      <c r="S79" s="9">
        <v>0</v>
      </c>
      <c r="T79" s="9">
        <v>0</v>
      </c>
      <c r="V79" s="10">
        <v>11590</v>
      </c>
      <c r="X79" s="11">
        <v>46247</v>
      </c>
      <c r="Y79" s="9" t="s">
        <v>2564</v>
      </c>
      <c r="Z79" s="11">
        <v>46257</v>
      </c>
      <c r="AB79" s="9" t="s">
        <v>2559</v>
      </c>
      <c r="AC79" s="9">
        <v>260326210686920</v>
      </c>
      <c r="AD79" s="9" t="s">
        <v>3086</v>
      </c>
      <c r="AE79" s="9" t="s">
        <v>200</v>
      </c>
      <c r="AF79" s="9" t="s">
        <v>2919</v>
      </c>
      <c r="AG79" s="9" t="s">
        <v>2570</v>
      </c>
      <c r="AI79" s="9">
        <v>10</v>
      </c>
      <c r="AJ79" s="9" t="s">
        <v>2563</v>
      </c>
      <c r="AK79" s="9">
        <v>1900</v>
      </c>
      <c r="AO79" s="9">
        <v>2609164</v>
      </c>
      <c r="AP79" s="11">
        <v>46246</v>
      </c>
      <c r="AR79" s="9" t="s">
        <v>2571</v>
      </c>
      <c r="AS79" s="9" t="s">
        <v>2999</v>
      </c>
      <c r="AT79" s="9" t="s">
        <v>2566</v>
      </c>
      <c r="AU79" s="9" t="s">
        <v>190</v>
      </c>
      <c r="AV79" s="14">
        <v>46295</v>
      </c>
      <c r="AW79" s="9">
        <v>2609164</v>
      </c>
      <c r="AX79" s="9" t="s">
        <v>3085</v>
      </c>
      <c r="AY79" s="9">
        <v>1</v>
      </c>
      <c r="AZ79" s="9" t="s">
        <v>3016</v>
      </c>
      <c r="BA79" s="11">
        <v>46257</v>
      </c>
      <c r="BB79" s="9">
        <v>306</v>
      </c>
      <c r="BC79" s="9" t="s">
        <v>3084</v>
      </c>
      <c r="BD79" s="9">
        <v>303955</v>
      </c>
      <c r="BE79" s="11">
        <v>46247</v>
      </c>
      <c r="BF79" s="9">
        <v>1680</v>
      </c>
      <c r="BG79" s="9">
        <v>1</v>
      </c>
      <c r="BH79" s="9" t="s">
        <v>3083</v>
      </c>
    </row>
    <row r="80" spans="1:61" x14ac:dyDescent="0.25">
      <c r="A80" s="9">
        <v>1880</v>
      </c>
      <c r="B80" s="9" t="s">
        <v>2916</v>
      </c>
      <c r="C80" s="9" t="s">
        <v>2557</v>
      </c>
      <c r="D80" s="9">
        <v>1880</v>
      </c>
      <c r="E80" s="9">
        <v>1536</v>
      </c>
      <c r="F80" s="9">
        <v>2026</v>
      </c>
      <c r="G80" s="9">
        <v>18800015362026</v>
      </c>
      <c r="H80" s="9">
        <v>62052000</v>
      </c>
      <c r="I80" s="9">
        <v>110</v>
      </c>
      <c r="J80" s="9" t="s">
        <v>3096</v>
      </c>
      <c r="K80" s="9">
        <v>1</v>
      </c>
      <c r="L80" s="9" t="s">
        <v>2558</v>
      </c>
      <c r="M80" s="9">
        <v>4</v>
      </c>
      <c r="N80" s="9" t="s">
        <v>3087</v>
      </c>
      <c r="O80" s="10">
        <v>9420</v>
      </c>
      <c r="P80" s="9">
        <v>0</v>
      </c>
      <c r="Q80" s="10">
        <v>9420</v>
      </c>
      <c r="R80" s="9">
        <v>0</v>
      </c>
      <c r="S80" s="9">
        <v>0</v>
      </c>
      <c r="T80" s="9">
        <v>0</v>
      </c>
      <c r="V80" s="10">
        <v>9420</v>
      </c>
      <c r="X80" s="11">
        <v>46247</v>
      </c>
      <c r="Y80" s="9" t="s">
        <v>2564</v>
      </c>
      <c r="Z80" s="11">
        <v>46257</v>
      </c>
      <c r="AB80" s="9" t="s">
        <v>2559</v>
      </c>
      <c r="AC80" s="9">
        <v>260326210686920</v>
      </c>
      <c r="AD80" s="9" t="s">
        <v>3086</v>
      </c>
      <c r="AE80" s="9" t="s">
        <v>200</v>
      </c>
      <c r="AF80" s="9" t="s">
        <v>2919</v>
      </c>
      <c r="AG80" s="9" t="s">
        <v>2570</v>
      </c>
      <c r="AI80" s="9">
        <v>10</v>
      </c>
      <c r="AJ80" s="9" t="s">
        <v>2563</v>
      </c>
      <c r="AK80" s="9">
        <v>1200</v>
      </c>
      <c r="AO80" s="9">
        <v>2609166</v>
      </c>
      <c r="AP80" s="11">
        <v>46246</v>
      </c>
      <c r="AS80" s="9" t="s">
        <v>2565</v>
      </c>
      <c r="AT80" s="9" t="s">
        <v>2566</v>
      </c>
      <c r="AU80" s="9" t="s">
        <v>190</v>
      </c>
      <c r="AV80" s="14">
        <v>46295</v>
      </c>
      <c r="AW80" s="9">
        <v>2609166</v>
      </c>
      <c r="AX80" s="9" t="s">
        <v>3085</v>
      </c>
      <c r="AY80" s="9">
        <v>1</v>
      </c>
      <c r="AZ80" s="9" t="s">
        <v>3020</v>
      </c>
      <c r="BA80" s="11">
        <v>46257</v>
      </c>
      <c r="BB80" s="9">
        <v>306</v>
      </c>
      <c r="BC80" s="9" t="s">
        <v>3084</v>
      </c>
      <c r="BD80" s="9">
        <v>303958</v>
      </c>
      <c r="BE80" s="11">
        <v>46247</v>
      </c>
      <c r="BF80" s="9">
        <v>1680</v>
      </c>
      <c r="BG80" s="9">
        <v>1</v>
      </c>
      <c r="BH80" s="9" t="s">
        <v>3083</v>
      </c>
    </row>
    <row r="81" spans="1:61" ht="90" x14ac:dyDescent="0.25">
      <c r="A81" s="9">
        <v>947</v>
      </c>
      <c r="B81" s="9" t="s">
        <v>2644</v>
      </c>
      <c r="C81" s="9" t="s">
        <v>2645</v>
      </c>
      <c r="D81" s="9">
        <v>947</v>
      </c>
      <c r="E81" s="9">
        <v>1472</v>
      </c>
      <c r="F81" s="9">
        <v>2026</v>
      </c>
      <c r="G81" s="9">
        <v>9470014722026</v>
      </c>
      <c r="H81" s="9">
        <v>62052000</v>
      </c>
      <c r="I81" s="9">
        <v>2000</v>
      </c>
      <c r="J81" s="9" t="s">
        <v>3092</v>
      </c>
      <c r="K81" s="9">
        <v>1</v>
      </c>
      <c r="L81" s="9" t="s">
        <v>2558</v>
      </c>
      <c r="M81" s="9">
        <v>4</v>
      </c>
      <c r="N81" s="9" t="s">
        <v>3087</v>
      </c>
      <c r="O81" s="10">
        <v>5680.11</v>
      </c>
      <c r="Q81" s="10">
        <v>5680.11</v>
      </c>
      <c r="R81" s="9">
        <v>0</v>
      </c>
      <c r="S81" s="9">
        <v>0</v>
      </c>
      <c r="T81" s="9">
        <v>0</v>
      </c>
      <c r="V81" s="10">
        <v>5680.11</v>
      </c>
      <c r="W81" s="10">
        <v>5680.11</v>
      </c>
      <c r="X81" s="11">
        <v>46250</v>
      </c>
      <c r="Y81" s="9" t="s">
        <v>2564</v>
      </c>
      <c r="Z81" s="11">
        <v>46257</v>
      </c>
      <c r="AA81" s="11">
        <v>46282</v>
      </c>
      <c r="AB81" s="9" t="s">
        <v>2559</v>
      </c>
      <c r="AC81" s="9">
        <v>260326210686920</v>
      </c>
      <c r="AD81" s="9" t="s">
        <v>3086</v>
      </c>
      <c r="AE81" s="9" t="s">
        <v>139</v>
      </c>
      <c r="AF81" s="12" t="s">
        <v>2662</v>
      </c>
      <c r="AG81" s="9" t="s">
        <v>2570</v>
      </c>
      <c r="AH81" s="9" t="s">
        <v>2570</v>
      </c>
      <c r="AI81" s="9">
        <v>10</v>
      </c>
      <c r="AJ81" s="9" t="s">
        <v>2563</v>
      </c>
      <c r="AK81" s="9">
        <v>1906</v>
      </c>
      <c r="AM81" s="9" t="s">
        <v>2751</v>
      </c>
      <c r="AN81" s="11">
        <v>46282</v>
      </c>
      <c r="AO81" s="9">
        <v>2609390</v>
      </c>
      <c r="AP81" s="11">
        <v>46250</v>
      </c>
      <c r="AR81" s="9" t="s">
        <v>2577</v>
      </c>
      <c r="AT81" s="9" t="s">
        <v>2566</v>
      </c>
      <c r="AV81" s="14">
        <v>46282</v>
      </c>
      <c r="AX81" s="9" t="s">
        <v>3085</v>
      </c>
      <c r="AY81" s="9">
        <v>1</v>
      </c>
      <c r="AZ81" s="9" t="s">
        <v>2752</v>
      </c>
      <c r="BA81" s="11">
        <v>46257</v>
      </c>
      <c r="BB81" s="9">
        <v>306</v>
      </c>
      <c r="BC81" s="9" t="s">
        <v>3084</v>
      </c>
      <c r="BD81" s="9">
        <v>330863</v>
      </c>
      <c r="BE81" s="11">
        <v>46252</v>
      </c>
      <c r="BF81" s="9">
        <v>1680</v>
      </c>
      <c r="BG81" s="9">
        <v>1</v>
      </c>
      <c r="BH81" s="9" t="s">
        <v>3083</v>
      </c>
      <c r="BI81" s="9">
        <v>1</v>
      </c>
    </row>
    <row r="82" spans="1:61" x14ac:dyDescent="0.25">
      <c r="A82" s="9">
        <v>947</v>
      </c>
      <c r="B82" s="9" t="s">
        <v>2644</v>
      </c>
      <c r="C82" s="9" t="s">
        <v>2645</v>
      </c>
      <c r="D82" s="9">
        <v>947</v>
      </c>
      <c r="E82" s="9">
        <v>1473</v>
      </c>
      <c r="F82" s="9">
        <v>2026</v>
      </c>
      <c r="G82" s="9">
        <v>9470014732026</v>
      </c>
      <c r="H82" s="9">
        <v>61034900</v>
      </c>
      <c r="I82" s="9">
        <v>2109</v>
      </c>
      <c r="J82" s="9" t="s">
        <v>3088</v>
      </c>
      <c r="K82" s="9">
        <v>1</v>
      </c>
      <c r="L82" s="9" t="s">
        <v>2558</v>
      </c>
      <c r="M82" s="9">
        <v>4</v>
      </c>
      <c r="N82" s="9" t="s">
        <v>3087</v>
      </c>
      <c r="O82" s="10">
        <v>35069.760000000002</v>
      </c>
      <c r="Q82" s="10">
        <v>35069.760000000002</v>
      </c>
      <c r="R82" s="9">
        <v>0</v>
      </c>
      <c r="S82" s="9">
        <v>0</v>
      </c>
      <c r="T82" s="9">
        <v>0</v>
      </c>
      <c r="V82" s="10">
        <v>35069.760000000002</v>
      </c>
      <c r="W82" s="10">
        <v>35014.720000000001</v>
      </c>
      <c r="X82" s="11">
        <v>46251</v>
      </c>
      <c r="Y82" s="9" t="s">
        <v>2564</v>
      </c>
      <c r="Z82" s="11">
        <v>46257</v>
      </c>
      <c r="AA82" s="11">
        <v>46289</v>
      </c>
      <c r="AB82" s="9" t="s">
        <v>2559</v>
      </c>
      <c r="AC82" s="9">
        <v>260326210686920</v>
      </c>
      <c r="AD82" s="9" t="s">
        <v>3086</v>
      </c>
      <c r="AE82" s="9" t="s">
        <v>1780</v>
      </c>
      <c r="AF82" s="9" t="s">
        <v>2757</v>
      </c>
      <c r="AG82" s="9" t="s">
        <v>2570</v>
      </c>
      <c r="AH82" s="9" t="s">
        <v>2570</v>
      </c>
      <c r="AI82" s="9">
        <v>10</v>
      </c>
      <c r="AJ82" s="9" t="s">
        <v>2563</v>
      </c>
      <c r="AK82" s="9">
        <v>26568</v>
      </c>
      <c r="AM82" s="9">
        <v>526</v>
      </c>
      <c r="AN82" s="11">
        <v>46264</v>
      </c>
      <c r="AO82" s="9">
        <v>2609400</v>
      </c>
      <c r="AP82" s="11">
        <v>46250</v>
      </c>
      <c r="AR82" s="9" t="s">
        <v>2571</v>
      </c>
      <c r="AS82" s="9" t="s">
        <v>2758</v>
      </c>
      <c r="AT82" s="9" t="s">
        <v>2566</v>
      </c>
      <c r="AV82" s="14">
        <v>46263</v>
      </c>
      <c r="AX82" s="9" t="s">
        <v>3085</v>
      </c>
      <c r="AY82" s="9">
        <v>1</v>
      </c>
      <c r="AZ82" s="9" t="s">
        <v>2759</v>
      </c>
      <c r="BA82" s="11">
        <v>46257</v>
      </c>
      <c r="BB82" s="9">
        <v>306</v>
      </c>
      <c r="BC82" s="9" t="s">
        <v>3084</v>
      </c>
      <c r="BD82" s="9">
        <v>324262</v>
      </c>
      <c r="BE82" s="11">
        <v>46251</v>
      </c>
      <c r="BF82" s="9">
        <v>1680</v>
      </c>
      <c r="BG82" s="9">
        <v>1</v>
      </c>
      <c r="BH82" s="9" t="s">
        <v>3083</v>
      </c>
      <c r="BI82" s="9">
        <v>1</v>
      </c>
    </row>
    <row r="83" spans="1:61" x14ac:dyDescent="0.25">
      <c r="A83" s="9">
        <v>1880</v>
      </c>
      <c r="B83" s="9" t="s">
        <v>2916</v>
      </c>
      <c r="C83" s="9" t="s">
        <v>2557</v>
      </c>
      <c r="D83" s="9">
        <v>1880</v>
      </c>
      <c r="E83" s="9">
        <v>1545</v>
      </c>
      <c r="F83" s="9">
        <v>2026</v>
      </c>
      <c r="G83" s="9">
        <v>18800015452026</v>
      </c>
      <c r="H83" s="9">
        <v>62052000</v>
      </c>
      <c r="I83" s="9">
        <v>110</v>
      </c>
      <c r="J83" s="9" t="s">
        <v>3096</v>
      </c>
      <c r="K83" s="9">
        <v>1</v>
      </c>
      <c r="L83" s="9" t="s">
        <v>2558</v>
      </c>
      <c r="M83" s="9">
        <v>4</v>
      </c>
      <c r="N83" s="9" t="s">
        <v>3087</v>
      </c>
      <c r="O83" s="10">
        <v>3678.15</v>
      </c>
      <c r="Q83" s="10">
        <v>3678.15</v>
      </c>
      <c r="R83" s="9">
        <v>0</v>
      </c>
      <c r="S83" s="9">
        <v>0</v>
      </c>
      <c r="T83" s="9">
        <v>0</v>
      </c>
      <c r="V83" s="10">
        <v>3678.15</v>
      </c>
      <c r="X83" s="11">
        <v>46248</v>
      </c>
      <c r="Y83" s="9" t="s">
        <v>2564</v>
      </c>
      <c r="Z83" s="11">
        <v>46257</v>
      </c>
      <c r="AB83" s="9" t="s">
        <v>2559</v>
      </c>
      <c r="AC83" s="9">
        <v>260326210686920</v>
      </c>
      <c r="AD83" s="9" t="s">
        <v>3086</v>
      </c>
      <c r="AE83" s="9" t="s">
        <v>200</v>
      </c>
      <c r="AF83" s="9" t="s">
        <v>2919</v>
      </c>
      <c r="AG83" s="9" t="s">
        <v>2570</v>
      </c>
      <c r="AI83" s="9">
        <v>10</v>
      </c>
      <c r="AJ83" s="9" t="s">
        <v>2563</v>
      </c>
      <c r="AK83" s="9">
        <v>651</v>
      </c>
      <c r="AO83" s="9">
        <v>2609279</v>
      </c>
      <c r="AP83" s="11">
        <v>46248</v>
      </c>
      <c r="AR83" s="9" t="s">
        <v>2685</v>
      </c>
      <c r="AT83" s="9" t="s">
        <v>2566</v>
      </c>
      <c r="AV83" s="14">
        <v>46295</v>
      </c>
      <c r="AX83" s="9" t="s">
        <v>3085</v>
      </c>
      <c r="AY83" s="9">
        <v>1</v>
      </c>
      <c r="AZ83" s="9" t="s">
        <v>3058</v>
      </c>
      <c r="BA83" s="11">
        <v>46257</v>
      </c>
      <c r="BB83" s="9">
        <v>306</v>
      </c>
      <c r="BC83" s="9" t="s">
        <v>3084</v>
      </c>
      <c r="BD83" s="9">
        <v>312509</v>
      </c>
      <c r="BE83" s="11">
        <v>46248</v>
      </c>
      <c r="BF83" s="9">
        <v>1680</v>
      </c>
      <c r="BG83" s="9">
        <v>1</v>
      </c>
      <c r="BH83" s="9" t="s">
        <v>3083</v>
      </c>
    </row>
    <row r="84" spans="1:61" ht="210" x14ac:dyDescent="0.25">
      <c r="A84" s="9">
        <v>1880</v>
      </c>
      <c r="B84" s="9" t="s">
        <v>2916</v>
      </c>
      <c r="C84" s="9" t="s">
        <v>2557</v>
      </c>
      <c r="D84" s="9">
        <v>1880</v>
      </c>
      <c r="E84" s="9">
        <v>1568</v>
      </c>
      <c r="F84" s="9">
        <v>2026</v>
      </c>
      <c r="G84" s="9">
        <v>18800015682026</v>
      </c>
      <c r="H84" s="9">
        <v>62052000</v>
      </c>
      <c r="I84" s="9">
        <v>1204</v>
      </c>
      <c r="J84" s="9" t="s">
        <v>3118</v>
      </c>
      <c r="K84" s="9">
        <v>86</v>
      </c>
      <c r="L84" s="9" t="s">
        <v>2574</v>
      </c>
      <c r="M84" s="9">
        <v>4</v>
      </c>
      <c r="N84" s="9" t="s">
        <v>3087</v>
      </c>
      <c r="O84" s="9">
        <v>388.62</v>
      </c>
      <c r="P84" s="9">
        <v>0</v>
      </c>
      <c r="Q84" s="9">
        <v>388.62</v>
      </c>
      <c r="R84" s="9">
        <v>0</v>
      </c>
      <c r="S84" s="9">
        <v>0</v>
      </c>
      <c r="T84" s="9">
        <v>0</v>
      </c>
      <c r="V84" s="9">
        <v>388.62</v>
      </c>
      <c r="W84" s="9">
        <v>370.79</v>
      </c>
      <c r="X84" s="11">
        <v>46252</v>
      </c>
      <c r="Y84" s="9" t="s">
        <v>2564</v>
      </c>
      <c r="Z84" s="11">
        <v>46258</v>
      </c>
      <c r="AA84" s="11">
        <v>46287</v>
      </c>
      <c r="AB84" s="9" t="s">
        <v>2559</v>
      </c>
      <c r="AC84" s="9">
        <v>260326210686920</v>
      </c>
      <c r="AD84" s="9" t="s">
        <v>3086</v>
      </c>
      <c r="AE84" s="9" t="s">
        <v>181</v>
      </c>
      <c r="AF84" s="12" t="s">
        <v>2952</v>
      </c>
      <c r="AG84" s="9" t="s">
        <v>2570</v>
      </c>
      <c r="AH84" s="9" t="s">
        <v>2570</v>
      </c>
      <c r="AI84" s="9">
        <v>10</v>
      </c>
      <c r="AJ84" s="9" t="s">
        <v>2563</v>
      </c>
      <c r="AK84" s="9">
        <v>77</v>
      </c>
      <c r="AM84" s="9" t="s">
        <v>2990</v>
      </c>
      <c r="AN84" s="11">
        <v>46285</v>
      </c>
      <c r="AO84" s="9">
        <v>2609434</v>
      </c>
      <c r="AP84" s="11">
        <v>46252</v>
      </c>
      <c r="AR84" s="9" t="s">
        <v>2592</v>
      </c>
      <c r="AS84" s="9" t="s">
        <v>2565</v>
      </c>
      <c r="AT84" s="9" t="s">
        <v>2566</v>
      </c>
      <c r="AU84" s="9" t="s">
        <v>195</v>
      </c>
      <c r="AV84" s="14">
        <v>46284</v>
      </c>
      <c r="AW84" s="9">
        <v>2609434</v>
      </c>
      <c r="AX84" s="9" t="s">
        <v>3094</v>
      </c>
      <c r="AY84" s="9">
        <v>6</v>
      </c>
      <c r="AZ84" s="9" t="s">
        <v>3074</v>
      </c>
      <c r="BA84" s="11">
        <v>46258</v>
      </c>
      <c r="BB84" s="9">
        <v>306</v>
      </c>
      <c r="BC84" s="9" t="s">
        <v>3084</v>
      </c>
      <c r="BD84" s="9">
        <v>330886</v>
      </c>
      <c r="BE84" s="11">
        <v>46252</v>
      </c>
      <c r="BF84" s="9">
        <v>1680</v>
      </c>
      <c r="BG84" s="9">
        <v>1</v>
      </c>
      <c r="BH84" s="9" t="s">
        <v>3083</v>
      </c>
    </row>
    <row r="85" spans="1:61" ht="210" x14ac:dyDescent="0.25">
      <c r="A85" s="9">
        <v>1880</v>
      </c>
      <c r="B85" s="9" t="s">
        <v>2916</v>
      </c>
      <c r="C85" s="9" t="s">
        <v>2557</v>
      </c>
      <c r="D85" s="9">
        <v>1880</v>
      </c>
      <c r="E85" s="9">
        <v>1570</v>
      </c>
      <c r="F85" s="9">
        <v>2026</v>
      </c>
      <c r="G85" s="9">
        <v>18800015702026</v>
      </c>
      <c r="H85" s="9">
        <v>62052000</v>
      </c>
      <c r="I85" s="9">
        <v>1204</v>
      </c>
      <c r="J85" s="9" t="s">
        <v>3118</v>
      </c>
      <c r="K85" s="9">
        <v>86</v>
      </c>
      <c r="L85" s="9" t="s">
        <v>2574</v>
      </c>
      <c r="M85" s="9">
        <v>4</v>
      </c>
      <c r="N85" s="9" t="s">
        <v>3087</v>
      </c>
      <c r="O85" s="10">
        <v>1260.97</v>
      </c>
      <c r="P85" s="9">
        <v>0</v>
      </c>
      <c r="Q85" s="10">
        <v>1260.97</v>
      </c>
      <c r="R85" s="9">
        <v>0</v>
      </c>
      <c r="S85" s="9">
        <v>0</v>
      </c>
      <c r="T85" s="9">
        <v>0</v>
      </c>
      <c r="V85" s="10">
        <v>1260.97</v>
      </c>
      <c r="X85" s="11">
        <v>46252</v>
      </c>
      <c r="Y85" s="9" t="s">
        <v>2564</v>
      </c>
      <c r="Z85" s="11">
        <v>46258</v>
      </c>
      <c r="AB85" s="9" t="s">
        <v>2559</v>
      </c>
      <c r="AC85" s="9">
        <v>260326210686920</v>
      </c>
      <c r="AD85" s="9" t="s">
        <v>3086</v>
      </c>
      <c r="AE85" s="9" t="s">
        <v>181</v>
      </c>
      <c r="AF85" s="12" t="s">
        <v>2952</v>
      </c>
      <c r="AG85" s="9" t="s">
        <v>2570</v>
      </c>
      <c r="AI85" s="9">
        <v>10</v>
      </c>
      <c r="AJ85" s="9" t="s">
        <v>2563</v>
      </c>
      <c r="AK85" s="9">
        <v>237</v>
      </c>
      <c r="AO85" s="9">
        <v>2609436</v>
      </c>
      <c r="AP85" s="11">
        <v>46252</v>
      </c>
      <c r="AR85" s="9" t="s">
        <v>2592</v>
      </c>
      <c r="AS85" s="9" t="s">
        <v>2565</v>
      </c>
      <c r="AT85" s="9" t="s">
        <v>2566</v>
      </c>
      <c r="AU85" s="9" t="s">
        <v>195</v>
      </c>
      <c r="AV85" s="14">
        <v>46284</v>
      </c>
      <c r="AW85" s="9">
        <v>2609436</v>
      </c>
      <c r="AX85" s="9" t="s">
        <v>3094</v>
      </c>
      <c r="AY85" s="9">
        <v>6</v>
      </c>
      <c r="AZ85" s="9" t="s">
        <v>3078</v>
      </c>
      <c r="BA85" s="11">
        <v>46258</v>
      </c>
      <c r="BB85" s="9">
        <v>306</v>
      </c>
      <c r="BC85" s="9" t="s">
        <v>3084</v>
      </c>
      <c r="BD85" s="9">
        <v>330891</v>
      </c>
      <c r="BE85" s="11">
        <v>46252</v>
      </c>
      <c r="BF85" s="9">
        <v>1680</v>
      </c>
      <c r="BG85" s="9">
        <v>1</v>
      </c>
      <c r="BH85" s="9" t="s">
        <v>3083</v>
      </c>
    </row>
    <row r="86" spans="1:61" x14ac:dyDescent="0.25">
      <c r="A86" s="9">
        <v>1949</v>
      </c>
      <c r="B86" s="9" t="s">
        <v>2556</v>
      </c>
      <c r="C86" s="9" t="s">
        <v>2557</v>
      </c>
      <c r="D86" s="9">
        <v>1949</v>
      </c>
      <c r="E86" s="9">
        <v>1842</v>
      </c>
      <c r="F86" s="9">
        <v>2026</v>
      </c>
      <c r="G86" s="9">
        <v>19490018422026</v>
      </c>
      <c r="H86" s="9">
        <v>62063000</v>
      </c>
      <c r="I86" s="9">
        <v>1232</v>
      </c>
      <c r="J86" s="9" t="s">
        <v>3110</v>
      </c>
      <c r="K86" s="9">
        <v>1</v>
      </c>
      <c r="L86" s="9" t="s">
        <v>2558</v>
      </c>
      <c r="M86" s="9">
        <v>4</v>
      </c>
      <c r="N86" s="9" t="s">
        <v>3087</v>
      </c>
      <c r="O86" s="10">
        <v>2073.75</v>
      </c>
      <c r="P86" s="9">
        <v>829.5</v>
      </c>
      <c r="Q86" s="10">
        <v>2073.75</v>
      </c>
      <c r="R86" s="9">
        <v>0</v>
      </c>
      <c r="S86" s="9">
        <v>0</v>
      </c>
      <c r="T86" s="9">
        <v>0</v>
      </c>
      <c r="U86" s="9">
        <v>829.5</v>
      </c>
      <c r="V86" s="9">
        <v>829.5</v>
      </c>
      <c r="W86" s="9">
        <v>809.5</v>
      </c>
      <c r="X86" s="11">
        <v>46258</v>
      </c>
      <c r="Y86" s="9" t="s">
        <v>2564</v>
      </c>
      <c r="Z86" s="11">
        <v>46258</v>
      </c>
      <c r="AA86" s="11">
        <v>46264</v>
      </c>
      <c r="AB86" s="9" t="s">
        <v>2559</v>
      </c>
      <c r="AC86" s="9">
        <v>260326210686920</v>
      </c>
      <c r="AD86" s="9" t="s">
        <v>3086</v>
      </c>
      <c r="AE86" s="9" t="s">
        <v>3109</v>
      </c>
      <c r="AF86" s="9" t="s">
        <v>2585</v>
      </c>
      <c r="AG86" s="9" t="s">
        <v>2570</v>
      </c>
      <c r="AH86" s="9" t="s">
        <v>2570</v>
      </c>
      <c r="AI86" s="9">
        <v>10</v>
      </c>
      <c r="AJ86" s="9" t="s">
        <v>2563</v>
      </c>
      <c r="AK86" s="9">
        <v>358</v>
      </c>
      <c r="AM86" s="9" t="s">
        <v>2629</v>
      </c>
      <c r="AN86" s="11">
        <v>46261</v>
      </c>
      <c r="AO86" s="9">
        <v>2609730</v>
      </c>
      <c r="AP86" s="11">
        <v>46257</v>
      </c>
      <c r="AR86" s="9" t="s">
        <v>2577</v>
      </c>
      <c r="AT86" s="9" t="s">
        <v>2566</v>
      </c>
      <c r="AV86" s="14">
        <v>46259</v>
      </c>
      <c r="AX86" s="9" t="s">
        <v>3117</v>
      </c>
      <c r="AY86" s="9">
        <v>7</v>
      </c>
      <c r="AZ86" s="9" t="s">
        <v>2630</v>
      </c>
      <c r="BA86" s="11">
        <v>46258</v>
      </c>
      <c r="BB86" s="9">
        <v>101</v>
      </c>
      <c r="BC86" s="9" t="s">
        <v>3100</v>
      </c>
      <c r="BD86" s="9">
        <v>868671</v>
      </c>
      <c r="BE86" s="11">
        <v>46258</v>
      </c>
      <c r="BF86" s="9">
        <v>1680</v>
      </c>
      <c r="BG86" s="9">
        <v>8</v>
      </c>
      <c r="BH86" s="9" t="s">
        <v>3099</v>
      </c>
      <c r="BI86" s="9">
        <v>1</v>
      </c>
    </row>
    <row r="87" spans="1:61" x14ac:dyDescent="0.25">
      <c r="A87" s="9">
        <v>947</v>
      </c>
      <c r="B87" s="9" t="s">
        <v>2644</v>
      </c>
      <c r="C87" s="9" t="s">
        <v>2645</v>
      </c>
      <c r="D87" s="9">
        <v>947</v>
      </c>
      <c r="E87" s="9">
        <v>1495</v>
      </c>
      <c r="F87" s="9">
        <v>2026</v>
      </c>
      <c r="G87" s="9">
        <v>9470014952026</v>
      </c>
      <c r="H87" s="9">
        <v>62052000</v>
      </c>
      <c r="I87" s="9">
        <v>2005</v>
      </c>
      <c r="J87" s="9" t="s">
        <v>3105</v>
      </c>
      <c r="K87" s="9">
        <v>1</v>
      </c>
      <c r="L87" s="9" t="s">
        <v>2558</v>
      </c>
      <c r="M87" s="9">
        <v>4</v>
      </c>
      <c r="N87" s="9" t="s">
        <v>3087</v>
      </c>
      <c r="O87" s="10">
        <v>28716.6</v>
      </c>
      <c r="P87" s="9">
        <v>0</v>
      </c>
      <c r="Q87" s="10">
        <v>28716.6</v>
      </c>
      <c r="R87" s="9">
        <v>0</v>
      </c>
      <c r="S87" s="9">
        <v>0</v>
      </c>
      <c r="T87" s="9">
        <v>0</v>
      </c>
      <c r="V87" s="10">
        <v>28716.6</v>
      </c>
      <c r="W87" s="10">
        <v>27383.91</v>
      </c>
      <c r="X87" s="11">
        <v>46254</v>
      </c>
      <c r="Y87" s="9" t="s">
        <v>2564</v>
      </c>
      <c r="Z87" s="11">
        <v>46259</v>
      </c>
      <c r="AA87" s="11">
        <v>46282</v>
      </c>
      <c r="AB87" s="9" t="s">
        <v>2559</v>
      </c>
      <c r="AC87" s="9">
        <v>260326210686920</v>
      </c>
      <c r="AD87" s="9" t="s">
        <v>3086</v>
      </c>
      <c r="AE87" s="9" t="s">
        <v>47</v>
      </c>
      <c r="AF87" s="9" t="s">
        <v>2772</v>
      </c>
      <c r="AG87" s="9" t="s">
        <v>2570</v>
      </c>
      <c r="AH87" s="9" t="s">
        <v>2570</v>
      </c>
      <c r="AI87" s="9">
        <v>10</v>
      </c>
      <c r="AJ87" s="9" t="s">
        <v>2563</v>
      </c>
      <c r="AK87" s="9">
        <v>9036</v>
      </c>
      <c r="AM87" s="9" t="s">
        <v>2773</v>
      </c>
      <c r="AN87" s="11">
        <v>46281</v>
      </c>
      <c r="AO87" s="9">
        <v>2609476</v>
      </c>
      <c r="AP87" s="11">
        <v>46254</v>
      </c>
      <c r="AR87" s="9" t="s">
        <v>2774</v>
      </c>
      <c r="AS87" s="9" t="s">
        <v>2565</v>
      </c>
      <c r="AT87" s="9" t="s">
        <v>2566</v>
      </c>
      <c r="AU87" s="9" t="s">
        <v>49</v>
      </c>
      <c r="AV87" s="14">
        <v>46280</v>
      </c>
      <c r="AW87" s="9">
        <v>2609476</v>
      </c>
      <c r="AX87" s="9" t="s">
        <v>3085</v>
      </c>
      <c r="AY87" s="9">
        <v>1</v>
      </c>
      <c r="AZ87" s="9" t="s">
        <v>2775</v>
      </c>
      <c r="BA87" s="11">
        <v>46259</v>
      </c>
      <c r="BB87" s="9">
        <v>306</v>
      </c>
      <c r="BC87" s="9" t="s">
        <v>3084</v>
      </c>
      <c r="BD87" s="9">
        <v>338219</v>
      </c>
      <c r="BE87" s="11">
        <v>46254</v>
      </c>
      <c r="BF87" s="9">
        <v>1680</v>
      </c>
      <c r="BG87" s="9">
        <v>1</v>
      </c>
      <c r="BH87" s="9" t="s">
        <v>3083</v>
      </c>
      <c r="BI87" s="9">
        <v>1</v>
      </c>
    </row>
    <row r="88" spans="1:61" ht="360" x14ac:dyDescent="0.25">
      <c r="A88" s="9">
        <v>1880</v>
      </c>
      <c r="B88" s="9" t="s">
        <v>2916</v>
      </c>
      <c r="C88" s="9" t="s">
        <v>2557</v>
      </c>
      <c r="D88" s="9">
        <v>1880</v>
      </c>
      <c r="E88" s="9">
        <v>1569</v>
      </c>
      <c r="F88" s="9">
        <v>2026</v>
      </c>
      <c r="G88" s="9">
        <v>18800015692026</v>
      </c>
      <c r="H88" s="9">
        <v>62052000</v>
      </c>
      <c r="I88" s="9">
        <v>110</v>
      </c>
      <c r="J88" s="9" t="s">
        <v>3096</v>
      </c>
      <c r="K88" s="9">
        <v>86</v>
      </c>
      <c r="L88" s="9" t="s">
        <v>2574</v>
      </c>
      <c r="M88" s="9">
        <v>4</v>
      </c>
      <c r="N88" s="9" t="s">
        <v>3087</v>
      </c>
      <c r="O88" s="10">
        <v>21600.77</v>
      </c>
      <c r="P88" s="9">
        <v>0</v>
      </c>
      <c r="Q88" s="10">
        <v>21600.77</v>
      </c>
      <c r="R88" s="9">
        <v>0</v>
      </c>
      <c r="S88" s="9">
        <v>0</v>
      </c>
      <c r="T88" s="9">
        <v>0</v>
      </c>
      <c r="V88" s="10">
        <v>21600.77</v>
      </c>
      <c r="W88" s="10">
        <v>20609.560000000001</v>
      </c>
      <c r="X88" s="11">
        <v>46252</v>
      </c>
      <c r="Y88" s="9" t="s">
        <v>2564</v>
      </c>
      <c r="Z88" s="11">
        <v>46259</v>
      </c>
      <c r="AA88" s="11">
        <v>46287</v>
      </c>
      <c r="AB88" s="9" t="s">
        <v>2559</v>
      </c>
      <c r="AC88" s="9">
        <v>260326210686920</v>
      </c>
      <c r="AD88" s="9" t="s">
        <v>3086</v>
      </c>
      <c r="AE88" s="9" t="s">
        <v>181</v>
      </c>
      <c r="AF88" s="12" t="s">
        <v>2576</v>
      </c>
      <c r="AG88" s="9" t="s">
        <v>2570</v>
      </c>
      <c r="AH88" s="9" t="s">
        <v>2570</v>
      </c>
      <c r="AI88" s="9">
        <v>10</v>
      </c>
      <c r="AJ88" s="9" t="s">
        <v>2563</v>
      </c>
      <c r="AK88" s="9">
        <v>3936</v>
      </c>
      <c r="AM88" s="9" t="s">
        <v>2990</v>
      </c>
      <c r="AN88" s="11">
        <v>46285</v>
      </c>
      <c r="AO88" s="9">
        <v>2609435</v>
      </c>
      <c r="AP88" s="11">
        <v>46252</v>
      </c>
      <c r="AR88" s="9" t="s">
        <v>2592</v>
      </c>
      <c r="AS88" s="9" t="s">
        <v>2565</v>
      </c>
      <c r="AT88" s="9" t="s">
        <v>2566</v>
      </c>
      <c r="AU88" s="9" t="s">
        <v>190</v>
      </c>
      <c r="AV88" s="14">
        <v>46284</v>
      </c>
      <c r="AW88" s="9">
        <v>2609435</v>
      </c>
      <c r="AX88" s="9" t="s">
        <v>3094</v>
      </c>
      <c r="AY88" s="9">
        <v>6</v>
      </c>
      <c r="AZ88" s="9" t="s">
        <v>3076</v>
      </c>
      <c r="BA88" s="11">
        <v>46259</v>
      </c>
      <c r="BB88" s="9">
        <v>306</v>
      </c>
      <c r="BC88" s="9" t="s">
        <v>3084</v>
      </c>
      <c r="BD88" s="9">
        <v>330869</v>
      </c>
      <c r="BE88" s="11">
        <v>46252</v>
      </c>
      <c r="BF88" s="9">
        <v>1680</v>
      </c>
      <c r="BG88" s="9">
        <v>1</v>
      </c>
      <c r="BH88" s="9" t="s">
        <v>3083</v>
      </c>
    </row>
    <row r="89" spans="1:61" x14ac:dyDescent="0.25">
      <c r="A89" s="9">
        <v>1880</v>
      </c>
      <c r="B89" s="9" t="s">
        <v>2916</v>
      </c>
      <c r="C89" s="9" t="s">
        <v>2557</v>
      </c>
      <c r="D89" s="9">
        <v>1880</v>
      </c>
      <c r="E89" s="9">
        <v>1575</v>
      </c>
      <c r="F89" s="9">
        <v>2026</v>
      </c>
      <c r="G89" s="9">
        <v>18800015752026</v>
      </c>
      <c r="H89" s="9">
        <v>62052000</v>
      </c>
      <c r="I89" s="9">
        <v>110</v>
      </c>
      <c r="J89" s="9" t="s">
        <v>3096</v>
      </c>
      <c r="K89" s="9">
        <v>1</v>
      </c>
      <c r="L89" s="9" t="s">
        <v>2558</v>
      </c>
      <c r="M89" s="9">
        <v>9</v>
      </c>
      <c r="N89" s="9" t="s">
        <v>3104</v>
      </c>
      <c r="O89" s="10">
        <v>21645</v>
      </c>
      <c r="Q89" s="10">
        <v>21645</v>
      </c>
      <c r="R89" s="9">
        <v>12772.8</v>
      </c>
      <c r="S89" s="9">
        <v>0</v>
      </c>
      <c r="T89" s="9">
        <v>0</v>
      </c>
      <c r="V89" s="10">
        <v>21645</v>
      </c>
      <c r="X89" s="11">
        <v>46253</v>
      </c>
      <c r="Y89" s="9" t="s">
        <v>2564</v>
      </c>
      <c r="Z89" s="11">
        <v>46259</v>
      </c>
      <c r="AB89" s="9" t="s">
        <v>2559</v>
      </c>
      <c r="AC89" s="9">
        <v>260326210686920</v>
      </c>
      <c r="AD89" s="9" t="s">
        <v>3086</v>
      </c>
      <c r="AE89" s="9" t="s">
        <v>200</v>
      </c>
      <c r="AF89" s="9" t="s">
        <v>2919</v>
      </c>
      <c r="AG89" s="9" t="s">
        <v>2570</v>
      </c>
      <c r="AI89" s="9">
        <v>10</v>
      </c>
      <c r="AJ89" s="9" t="s">
        <v>2563</v>
      </c>
      <c r="AK89" s="9">
        <v>3900</v>
      </c>
      <c r="AO89" s="9">
        <v>2609446</v>
      </c>
      <c r="AP89" s="11">
        <v>46252</v>
      </c>
      <c r="AR89" s="9" t="s">
        <v>2577</v>
      </c>
      <c r="AS89" s="9" t="s">
        <v>2920</v>
      </c>
      <c r="AT89" s="9" t="s">
        <v>2566</v>
      </c>
      <c r="AV89" s="14">
        <v>46274</v>
      </c>
      <c r="AX89" s="9" t="s">
        <v>3117</v>
      </c>
      <c r="AY89" s="9">
        <v>7</v>
      </c>
      <c r="AZ89" s="9" t="s">
        <v>2921</v>
      </c>
      <c r="BA89" s="11">
        <v>46253</v>
      </c>
      <c r="BB89" s="9">
        <v>101</v>
      </c>
      <c r="BC89" s="9" t="s">
        <v>3100</v>
      </c>
      <c r="BD89" s="9">
        <v>864109</v>
      </c>
      <c r="BE89" s="11">
        <v>46258</v>
      </c>
      <c r="BF89" s="9">
        <v>1680</v>
      </c>
      <c r="BG89" s="9">
        <v>8</v>
      </c>
      <c r="BH89" s="9" t="s">
        <v>3099</v>
      </c>
    </row>
    <row r="90" spans="1:61" x14ac:dyDescent="0.25">
      <c r="A90" s="9">
        <v>1949</v>
      </c>
      <c r="B90" s="9" t="s">
        <v>2556</v>
      </c>
      <c r="C90" s="9" t="s">
        <v>2557</v>
      </c>
      <c r="D90" s="9">
        <v>1949</v>
      </c>
      <c r="E90" s="9">
        <v>1812</v>
      </c>
      <c r="F90" s="9">
        <v>2026</v>
      </c>
      <c r="G90" s="9">
        <v>19490018122026</v>
      </c>
      <c r="H90" s="9">
        <v>62052000</v>
      </c>
      <c r="I90" s="9">
        <v>2016</v>
      </c>
      <c r="J90" s="9" t="s">
        <v>2851</v>
      </c>
      <c r="K90" s="9">
        <v>1</v>
      </c>
      <c r="L90" s="9" t="s">
        <v>2558</v>
      </c>
      <c r="M90" s="9">
        <v>9</v>
      </c>
      <c r="N90" s="9" t="s">
        <v>3104</v>
      </c>
      <c r="O90" s="10">
        <v>14079</v>
      </c>
      <c r="Q90" s="10">
        <v>14079</v>
      </c>
      <c r="R90" s="9">
        <v>4841</v>
      </c>
      <c r="S90" s="9">
        <v>0</v>
      </c>
      <c r="V90" s="10">
        <v>14079</v>
      </c>
      <c r="X90" s="11">
        <v>46253</v>
      </c>
      <c r="Y90" s="9" t="s">
        <v>2564</v>
      </c>
      <c r="Z90" s="11">
        <v>46260</v>
      </c>
      <c r="AB90" s="9" t="s">
        <v>2559</v>
      </c>
      <c r="AC90" s="9">
        <v>260326210686920</v>
      </c>
      <c r="AD90" s="9" t="s">
        <v>3086</v>
      </c>
      <c r="AE90" s="9" t="s">
        <v>3097</v>
      </c>
      <c r="AF90" s="9" t="s">
        <v>2569</v>
      </c>
      <c r="AG90" s="9" t="s">
        <v>2570</v>
      </c>
      <c r="AI90" s="9">
        <v>10</v>
      </c>
      <c r="AJ90" s="9" t="s">
        <v>2563</v>
      </c>
      <c r="AK90" s="9">
        <v>2964</v>
      </c>
      <c r="AO90" s="9">
        <v>2609447</v>
      </c>
      <c r="AP90" s="11">
        <v>46252</v>
      </c>
      <c r="AR90" s="9" t="s">
        <v>2571</v>
      </c>
      <c r="AS90" s="9" t="s">
        <v>2572</v>
      </c>
      <c r="AT90" s="9" t="s">
        <v>2566</v>
      </c>
      <c r="AV90" s="14">
        <v>46271</v>
      </c>
      <c r="AX90" s="9" t="s">
        <v>3117</v>
      </c>
      <c r="AY90" s="9">
        <v>7</v>
      </c>
      <c r="AZ90" s="9" t="s">
        <v>2573</v>
      </c>
      <c r="BA90" s="11">
        <v>46259</v>
      </c>
      <c r="BB90" s="9">
        <v>101</v>
      </c>
      <c r="BC90" s="9" t="s">
        <v>3100</v>
      </c>
      <c r="BD90" s="9">
        <v>871960</v>
      </c>
      <c r="BE90" s="11">
        <v>46259</v>
      </c>
      <c r="BF90" s="9">
        <v>1680</v>
      </c>
      <c r="BG90" s="9">
        <v>8</v>
      </c>
      <c r="BH90" s="9" t="s">
        <v>3099</v>
      </c>
    </row>
    <row r="91" spans="1:61" x14ac:dyDescent="0.25">
      <c r="A91" s="9">
        <v>1949</v>
      </c>
      <c r="B91" s="9" t="s">
        <v>2556</v>
      </c>
      <c r="C91" s="9" t="s">
        <v>2557</v>
      </c>
      <c r="D91" s="9">
        <v>1949</v>
      </c>
      <c r="E91" s="9">
        <v>1813</v>
      </c>
      <c r="F91" s="9">
        <v>2026</v>
      </c>
      <c r="G91" s="9">
        <v>19490018132026</v>
      </c>
      <c r="H91" s="9">
        <v>62063000</v>
      </c>
      <c r="I91" s="9">
        <v>2016</v>
      </c>
      <c r="J91" s="9" t="s">
        <v>2851</v>
      </c>
      <c r="K91" s="9">
        <v>1</v>
      </c>
      <c r="L91" s="9" t="s">
        <v>2558</v>
      </c>
      <c r="M91" s="9">
        <v>9</v>
      </c>
      <c r="N91" s="9" t="s">
        <v>3104</v>
      </c>
      <c r="O91" s="10">
        <v>2126.6999999999998</v>
      </c>
      <c r="Q91" s="10">
        <v>2126.6999999999998</v>
      </c>
      <c r="R91" s="9">
        <v>272.60000000000002</v>
      </c>
      <c r="S91" s="9">
        <v>0</v>
      </c>
      <c r="V91" s="10">
        <v>2126.6999999999998</v>
      </c>
      <c r="X91" s="11">
        <v>46253</v>
      </c>
      <c r="Y91" s="9" t="s">
        <v>2564</v>
      </c>
      <c r="Z91" s="11">
        <v>46260</v>
      </c>
      <c r="AB91" s="9" t="s">
        <v>2559</v>
      </c>
      <c r="AC91" s="9">
        <v>260326210686920</v>
      </c>
      <c r="AD91" s="9" t="s">
        <v>3086</v>
      </c>
      <c r="AE91" s="9" t="s">
        <v>3097</v>
      </c>
      <c r="AF91" s="9" t="s">
        <v>2569</v>
      </c>
      <c r="AG91" s="9" t="s">
        <v>2570</v>
      </c>
      <c r="AI91" s="9">
        <v>10</v>
      </c>
      <c r="AJ91" s="9" t="s">
        <v>2563</v>
      </c>
      <c r="AK91" s="9">
        <v>834</v>
      </c>
      <c r="AO91" s="9">
        <v>2609453</v>
      </c>
      <c r="AP91" s="11">
        <v>46252</v>
      </c>
      <c r="AR91" s="9" t="s">
        <v>2577</v>
      </c>
      <c r="AS91" s="9" t="s">
        <v>2572</v>
      </c>
      <c r="AT91" s="9" t="s">
        <v>2566</v>
      </c>
      <c r="AV91" s="14">
        <v>46271</v>
      </c>
      <c r="AX91" s="9" t="s">
        <v>3117</v>
      </c>
      <c r="AY91" s="9">
        <v>7</v>
      </c>
      <c r="AZ91" s="9" t="s">
        <v>2609</v>
      </c>
      <c r="BA91" s="11">
        <v>46260</v>
      </c>
      <c r="BB91" s="9">
        <v>101</v>
      </c>
      <c r="BC91" s="9" t="s">
        <v>3100</v>
      </c>
      <c r="BD91" s="9">
        <v>871789</v>
      </c>
      <c r="BE91" s="11">
        <v>46259</v>
      </c>
      <c r="BF91" s="9">
        <v>1680</v>
      </c>
      <c r="BG91" s="9">
        <v>8</v>
      </c>
      <c r="BH91" s="9" t="s">
        <v>3099</v>
      </c>
    </row>
    <row r="92" spans="1:61" x14ac:dyDescent="0.25">
      <c r="A92" s="9">
        <v>1949</v>
      </c>
      <c r="B92" s="9" t="s">
        <v>2556</v>
      </c>
      <c r="C92" s="9" t="s">
        <v>2557</v>
      </c>
      <c r="D92" s="9">
        <v>1949</v>
      </c>
      <c r="E92" s="9">
        <v>1815</v>
      </c>
      <c r="F92" s="9">
        <v>2026</v>
      </c>
      <c r="G92" s="9">
        <v>19490018152026</v>
      </c>
      <c r="H92" s="9">
        <v>62046200</v>
      </c>
      <c r="I92" s="9">
        <v>2016</v>
      </c>
      <c r="J92" s="9" t="s">
        <v>2851</v>
      </c>
      <c r="K92" s="9">
        <v>1</v>
      </c>
      <c r="L92" s="9" t="s">
        <v>2558</v>
      </c>
      <c r="M92" s="9">
        <v>9</v>
      </c>
      <c r="N92" s="9" t="s">
        <v>3104</v>
      </c>
      <c r="O92" s="10">
        <v>6200.04</v>
      </c>
      <c r="Q92" s="10">
        <v>6200.04</v>
      </c>
      <c r="R92" s="9">
        <v>2798.85</v>
      </c>
      <c r="S92" s="9">
        <v>0</v>
      </c>
      <c r="V92" s="10">
        <v>6200.04</v>
      </c>
      <c r="X92" s="11">
        <v>46253</v>
      </c>
      <c r="Y92" s="9" t="s">
        <v>2564</v>
      </c>
      <c r="Z92" s="11">
        <v>46260</v>
      </c>
      <c r="AB92" s="9" t="s">
        <v>2559</v>
      </c>
      <c r="AC92" s="9">
        <v>260326210686920</v>
      </c>
      <c r="AD92" s="9" t="s">
        <v>3086</v>
      </c>
      <c r="AE92" s="9" t="s">
        <v>3097</v>
      </c>
      <c r="AF92" s="9" t="s">
        <v>2569</v>
      </c>
      <c r="AG92" s="9" t="s">
        <v>2570</v>
      </c>
      <c r="AI92" s="9">
        <v>10</v>
      </c>
      <c r="AJ92" s="9" t="s">
        <v>2563</v>
      </c>
      <c r="AK92" s="9">
        <v>1452</v>
      </c>
      <c r="AO92" s="9">
        <v>2609455</v>
      </c>
      <c r="AP92" s="11">
        <v>46252</v>
      </c>
      <c r="AR92" s="9" t="s">
        <v>2571</v>
      </c>
      <c r="AS92" s="9" t="s">
        <v>2572</v>
      </c>
      <c r="AT92" s="9" t="s">
        <v>2566</v>
      </c>
      <c r="AV92" s="14">
        <v>46271</v>
      </c>
      <c r="AX92" s="9" t="s">
        <v>3117</v>
      </c>
      <c r="AY92" s="9">
        <v>7</v>
      </c>
      <c r="AZ92" s="9" t="s">
        <v>2611</v>
      </c>
      <c r="BA92" s="11">
        <v>46259</v>
      </c>
      <c r="BB92" s="9">
        <v>101</v>
      </c>
      <c r="BC92" s="9" t="s">
        <v>3100</v>
      </c>
      <c r="BD92" s="9">
        <v>871945</v>
      </c>
      <c r="BE92" s="11">
        <v>46259</v>
      </c>
      <c r="BF92" s="9">
        <v>1680</v>
      </c>
      <c r="BG92" s="9">
        <v>8</v>
      </c>
      <c r="BH92" s="9" t="s">
        <v>3099</v>
      </c>
    </row>
    <row r="93" spans="1:61" x14ac:dyDescent="0.25">
      <c r="A93" s="9">
        <v>1949</v>
      </c>
      <c r="B93" s="9" t="s">
        <v>2556</v>
      </c>
      <c r="C93" s="9" t="s">
        <v>2557</v>
      </c>
      <c r="D93" s="9">
        <v>1949</v>
      </c>
      <c r="E93" s="9">
        <v>1841</v>
      </c>
      <c r="F93" s="9">
        <v>2026</v>
      </c>
      <c r="G93" s="9">
        <v>19490018412026</v>
      </c>
      <c r="H93" s="9">
        <v>61091000</v>
      </c>
      <c r="I93" s="9">
        <v>2016</v>
      </c>
      <c r="J93" s="9" t="s">
        <v>2851</v>
      </c>
      <c r="K93" s="9">
        <v>1</v>
      </c>
      <c r="L93" s="9" t="s">
        <v>2558</v>
      </c>
      <c r="M93" s="9">
        <v>9</v>
      </c>
      <c r="N93" s="9" t="s">
        <v>3104</v>
      </c>
      <c r="O93" s="10">
        <v>6882</v>
      </c>
      <c r="Q93" s="10">
        <v>6882</v>
      </c>
      <c r="R93" s="9">
        <v>2858.44</v>
      </c>
      <c r="S93" s="9">
        <v>0</v>
      </c>
      <c r="V93" s="10">
        <v>6882</v>
      </c>
      <c r="X93" s="11">
        <v>46258</v>
      </c>
      <c r="Y93" s="9" t="s">
        <v>2564</v>
      </c>
      <c r="Z93" s="11">
        <v>46260</v>
      </c>
      <c r="AB93" s="9" t="s">
        <v>2559</v>
      </c>
      <c r="AC93" s="9">
        <v>260326210686920</v>
      </c>
      <c r="AD93" s="9" t="s">
        <v>3086</v>
      </c>
      <c r="AE93" s="9" t="s">
        <v>3097</v>
      </c>
      <c r="AF93" s="9" t="s">
        <v>2569</v>
      </c>
      <c r="AG93" s="9" t="s">
        <v>2570</v>
      </c>
      <c r="AI93" s="9">
        <v>10</v>
      </c>
      <c r="AJ93" s="9" t="s">
        <v>2563</v>
      </c>
      <c r="AK93" s="9">
        <v>1776</v>
      </c>
      <c r="AO93" s="9">
        <v>2609642</v>
      </c>
      <c r="AP93" s="11">
        <v>46256</v>
      </c>
      <c r="AR93" s="9" t="s">
        <v>2571</v>
      </c>
      <c r="AS93" s="9" t="s">
        <v>2572</v>
      </c>
      <c r="AT93" s="9" t="s">
        <v>2566</v>
      </c>
      <c r="AV93" s="14">
        <v>46271</v>
      </c>
      <c r="AX93" s="9" t="s">
        <v>3117</v>
      </c>
      <c r="AY93" s="9">
        <v>7</v>
      </c>
      <c r="AZ93" s="9" t="s">
        <v>2617</v>
      </c>
      <c r="BA93" s="11">
        <v>46260</v>
      </c>
      <c r="BB93" s="9">
        <v>101</v>
      </c>
      <c r="BC93" s="9" t="s">
        <v>3100</v>
      </c>
      <c r="BD93" s="9">
        <v>872004</v>
      </c>
      <c r="BE93" s="11">
        <v>46259</v>
      </c>
      <c r="BF93" s="9">
        <v>1680</v>
      </c>
      <c r="BG93" s="9">
        <v>8</v>
      </c>
      <c r="BH93" s="9" t="s">
        <v>3099</v>
      </c>
    </row>
    <row r="94" spans="1:61" x14ac:dyDescent="0.25">
      <c r="A94" s="9">
        <v>1880</v>
      </c>
      <c r="B94" s="9" t="s">
        <v>2916</v>
      </c>
      <c r="C94" s="9" t="s">
        <v>2557</v>
      </c>
      <c r="D94" s="9">
        <v>1880</v>
      </c>
      <c r="E94" s="9">
        <v>1578</v>
      </c>
      <c r="F94" s="9">
        <v>2026</v>
      </c>
      <c r="G94" s="9">
        <v>18800015782026</v>
      </c>
      <c r="H94" s="9">
        <v>62044200</v>
      </c>
      <c r="I94" s="9">
        <v>2016</v>
      </c>
      <c r="J94" s="9" t="s">
        <v>2851</v>
      </c>
      <c r="K94" s="9">
        <v>1</v>
      </c>
      <c r="L94" s="9" t="s">
        <v>2558</v>
      </c>
      <c r="M94" s="9">
        <v>9</v>
      </c>
      <c r="N94" s="9" t="s">
        <v>3104</v>
      </c>
      <c r="O94" s="10">
        <v>5490</v>
      </c>
      <c r="Q94" s="10">
        <v>5490</v>
      </c>
      <c r="R94" s="9">
        <v>1889.4</v>
      </c>
      <c r="S94" s="9">
        <v>0</v>
      </c>
      <c r="V94" s="10">
        <v>5490</v>
      </c>
      <c r="X94" s="11">
        <v>46253</v>
      </c>
      <c r="Y94" s="9" t="s">
        <v>2564</v>
      </c>
      <c r="Z94" s="11">
        <v>46260</v>
      </c>
      <c r="AB94" s="9" t="s">
        <v>2559</v>
      </c>
      <c r="AC94" s="9">
        <v>260326210686920</v>
      </c>
      <c r="AD94" s="9" t="s">
        <v>3086</v>
      </c>
      <c r="AE94" s="9" t="s">
        <v>200</v>
      </c>
      <c r="AF94" s="9" t="s">
        <v>2919</v>
      </c>
      <c r="AG94" s="9" t="s">
        <v>2570</v>
      </c>
      <c r="AI94" s="9">
        <v>10</v>
      </c>
      <c r="AJ94" s="9" t="s">
        <v>2563</v>
      </c>
      <c r="AK94" s="9">
        <v>1800</v>
      </c>
      <c r="AM94" s="9" t="s">
        <v>2925</v>
      </c>
      <c r="AN94" s="11">
        <v>46274</v>
      </c>
      <c r="AO94" s="9">
        <v>2609449</v>
      </c>
      <c r="AP94" s="11">
        <v>46252</v>
      </c>
      <c r="AR94" s="9" t="s">
        <v>2571</v>
      </c>
      <c r="AS94" s="9" t="s">
        <v>2572</v>
      </c>
      <c r="AT94" s="9" t="s">
        <v>2566</v>
      </c>
      <c r="AV94" s="14">
        <v>46271</v>
      </c>
      <c r="AX94" s="9" t="s">
        <v>3117</v>
      </c>
      <c r="AY94" s="9">
        <v>7</v>
      </c>
      <c r="AZ94" s="9" t="s">
        <v>3064</v>
      </c>
      <c r="BA94" s="11">
        <v>46259</v>
      </c>
      <c r="BB94" s="9">
        <v>101</v>
      </c>
      <c r="BC94" s="9" t="s">
        <v>3100</v>
      </c>
      <c r="BD94" s="9">
        <v>871918</v>
      </c>
      <c r="BE94" s="11">
        <v>46259</v>
      </c>
      <c r="BF94" s="9">
        <v>1680</v>
      </c>
      <c r="BG94" s="9">
        <v>8</v>
      </c>
      <c r="BH94" s="9" t="s">
        <v>3099</v>
      </c>
    </row>
    <row r="95" spans="1:61" x14ac:dyDescent="0.25">
      <c r="A95" s="9">
        <v>1880</v>
      </c>
      <c r="B95" s="9" t="s">
        <v>2916</v>
      </c>
      <c r="C95" s="9" t="s">
        <v>2557</v>
      </c>
      <c r="D95" s="9">
        <v>1880</v>
      </c>
      <c r="E95" s="9">
        <v>1573</v>
      </c>
      <c r="F95" s="9">
        <v>2026</v>
      </c>
      <c r="G95" s="9">
        <v>18800015732026</v>
      </c>
      <c r="H95" s="9">
        <v>62052000</v>
      </c>
      <c r="I95" s="9">
        <v>2016</v>
      </c>
      <c r="J95" s="9" t="s">
        <v>2851</v>
      </c>
      <c r="K95" s="9">
        <v>1</v>
      </c>
      <c r="L95" s="9" t="s">
        <v>2558</v>
      </c>
      <c r="M95" s="9">
        <v>9</v>
      </c>
      <c r="N95" s="9" t="s">
        <v>3104</v>
      </c>
      <c r="O95" s="10">
        <v>15338.4</v>
      </c>
      <c r="Q95" s="10">
        <v>15338.4</v>
      </c>
      <c r="R95" s="9">
        <v>5118.3</v>
      </c>
      <c r="S95" s="9">
        <v>0</v>
      </c>
      <c r="T95" s="9">
        <v>0</v>
      </c>
      <c r="V95" s="10">
        <v>15338.4</v>
      </c>
      <c r="X95" s="11">
        <v>46253</v>
      </c>
      <c r="Y95" s="9" t="s">
        <v>2564</v>
      </c>
      <c r="Z95" s="11">
        <v>46260</v>
      </c>
      <c r="AB95" s="9" t="s">
        <v>2559</v>
      </c>
      <c r="AC95" s="9">
        <v>260326210686920</v>
      </c>
      <c r="AD95" s="9" t="s">
        <v>3086</v>
      </c>
      <c r="AE95" s="9" t="s">
        <v>200</v>
      </c>
      <c r="AF95" s="9" t="s">
        <v>2919</v>
      </c>
      <c r="AG95" s="9" t="s">
        <v>2570</v>
      </c>
      <c r="AI95" s="9">
        <v>10</v>
      </c>
      <c r="AJ95" s="9" t="s">
        <v>2563</v>
      </c>
      <c r="AK95" s="9">
        <v>2324</v>
      </c>
      <c r="AM95" s="9" t="s">
        <v>2925</v>
      </c>
      <c r="AN95" s="11">
        <v>46274</v>
      </c>
      <c r="AO95" s="9">
        <v>2609445</v>
      </c>
      <c r="AP95" s="11">
        <v>46252</v>
      </c>
      <c r="AR95" s="9" t="s">
        <v>2577</v>
      </c>
      <c r="AS95" s="9" t="s">
        <v>2572</v>
      </c>
      <c r="AT95" s="9" t="s">
        <v>2566</v>
      </c>
      <c r="AV95" s="14">
        <v>46271</v>
      </c>
      <c r="AX95" s="9" t="s">
        <v>3117</v>
      </c>
      <c r="AY95" s="9">
        <v>7</v>
      </c>
      <c r="AZ95" s="9" t="s">
        <v>3066</v>
      </c>
      <c r="BA95" s="11">
        <v>46260</v>
      </c>
      <c r="BB95" s="9">
        <v>101</v>
      </c>
      <c r="BC95" s="9" t="s">
        <v>3100</v>
      </c>
      <c r="BD95" s="9">
        <v>871987</v>
      </c>
      <c r="BE95" s="11">
        <v>46259</v>
      </c>
      <c r="BF95" s="9">
        <v>1680</v>
      </c>
      <c r="BG95" s="9">
        <v>8</v>
      </c>
      <c r="BH95" s="9" t="s">
        <v>3099</v>
      </c>
    </row>
    <row r="96" spans="1:61" x14ac:dyDescent="0.25">
      <c r="A96" s="9">
        <v>1949</v>
      </c>
      <c r="B96" s="9" t="s">
        <v>2556</v>
      </c>
      <c r="C96" s="9" t="s">
        <v>2557</v>
      </c>
      <c r="D96" s="9">
        <v>1949</v>
      </c>
      <c r="E96" s="9">
        <v>1814</v>
      </c>
      <c r="F96" s="9">
        <v>2026</v>
      </c>
      <c r="G96" s="9">
        <v>19490018142026</v>
      </c>
      <c r="H96" s="9">
        <v>62063000</v>
      </c>
      <c r="I96" s="9">
        <v>2016</v>
      </c>
      <c r="J96" s="9" t="s">
        <v>2851</v>
      </c>
      <c r="K96" s="9">
        <v>1</v>
      </c>
      <c r="L96" s="9" t="s">
        <v>2558</v>
      </c>
      <c r="M96" s="9">
        <v>9</v>
      </c>
      <c r="N96" s="9" t="s">
        <v>3104</v>
      </c>
      <c r="O96" s="9">
        <v>912.9</v>
      </c>
      <c r="Q96" s="9">
        <v>912.9</v>
      </c>
      <c r="R96" s="9">
        <v>122.2</v>
      </c>
      <c r="S96" s="9">
        <v>0</v>
      </c>
      <c r="V96" s="9">
        <v>912.9</v>
      </c>
      <c r="X96" s="11">
        <v>46253</v>
      </c>
      <c r="Y96" s="9" t="s">
        <v>2564</v>
      </c>
      <c r="Z96" s="11">
        <v>46260</v>
      </c>
      <c r="AB96" s="9" t="s">
        <v>2559</v>
      </c>
      <c r="AC96" s="9">
        <v>260326210686920</v>
      </c>
      <c r="AD96" s="9" t="s">
        <v>3086</v>
      </c>
      <c r="AE96" s="9" t="s">
        <v>3097</v>
      </c>
      <c r="AF96" s="9" t="s">
        <v>2569</v>
      </c>
      <c r="AG96" s="9" t="s">
        <v>2570</v>
      </c>
      <c r="AI96" s="9">
        <v>10</v>
      </c>
      <c r="AJ96" s="9" t="s">
        <v>2563</v>
      </c>
      <c r="AK96" s="9">
        <v>358</v>
      </c>
      <c r="AO96" s="9">
        <v>2609454</v>
      </c>
      <c r="AP96" s="11">
        <v>46252</v>
      </c>
      <c r="AR96" s="9" t="s">
        <v>2571</v>
      </c>
      <c r="AS96" s="9" t="s">
        <v>2572</v>
      </c>
      <c r="AT96" s="9" t="s">
        <v>2566</v>
      </c>
      <c r="AV96" s="14">
        <v>46271</v>
      </c>
      <c r="AX96" s="9" t="s">
        <v>3117</v>
      </c>
      <c r="AY96" s="9">
        <v>7</v>
      </c>
      <c r="AZ96" s="9" t="s">
        <v>2623</v>
      </c>
      <c r="BA96" s="11">
        <v>46260</v>
      </c>
      <c r="BB96" s="9">
        <v>101</v>
      </c>
      <c r="BC96" s="9" t="s">
        <v>3100</v>
      </c>
      <c r="BD96" s="9">
        <v>871775</v>
      </c>
      <c r="BE96" s="11">
        <v>46259</v>
      </c>
      <c r="BF96" s="9">
        <v>1680</v>
      </c>
      <c r="BG96" s="9">
        <v>8</v>
      </c>
      <c r="BH96" s="9" t="s">
        <v>3099</v>
      </c>
    </row>
    <row r="97" spans="1:61" x14ac:dyDescent="0.25">
      <c r="A97" s="9">
        <v>1880</v>
      </c>
      <c r="B97" s="9" t="s">
        <v>2916</v>
      </c>
      <c r="C97" s="9" t="s">
        <v>2557</v>
      </c>
      <c r="D97" s="9">
        <v>1880</v>
      </c>
      <c r="E97" s="9">
        <v>1577</v>
      </c>
      <c r="F97" s="9">
        <v>2026</v>
      </c>
      <c r="G97" s="9">
        <v>18800015772026</v>
      </c>
      <c r="H97" s="9">
        <v>62044200</v>
      </c>
      <c r="I97" s="9">
        <v>2016</v>
      </c>
      <c r="J97" s="9" t="s">
        <v>2851</v>
      </c>
      <c r="K97" s="9">
        <v>1</v>
      </c>
      <c r="L97" s="9" t="s">
        <v>2558</v>
      </c>
      <c r="M97" s="9">
        <v>9</v>
      </c>
      <c r="N97" s="9" t="s">
        <v>3104</v>
      </c>
      <c r="O97" s="10">
        <v>2453.1</v>
      </c>
      <c r="Q97" s="10">
        <v>2453.1</v>
      </c>
      <c r="R97" s="9">
        <v>794.3</v>
      </c>
      <c r="S97" s="9">
        <v>0</v>
      </c>
      <c r="V97" s="10">
        <v>2453.1</v>
      </c>
      <c r="X97" s="11">
        <v>46253</v>
      </c>
      <c r="Y97" s="9" t="s">
        <v>2564</v>
      </c>
      <c r="Z97" s="11">
        <v>46260</v>
      </c>
      <c r="AB97" s="9" t="s">
        <v>2559</v>
      </c>
      <c r="AC97" s="9">
        <v>260326210686920</v>
      </c>
      <c r="AD97" s="9" t="s">
        <v>3086</v>
      </c>
      <c r="AE97" s="9" t="s">
        <v>200</v>
      </c>
      <c r="AF97" s="9" t="s">
        <v>2919</v>
      </c>
      <c r="AG97" s="9" t="s">
        <v>2570</v>
      </c>
      <c r="AI97" s="9">
        <v>10</v>
      </c>
      <c r="AJ97" s="9" t="s">
        <v>2563</v>
      </c>
      <c r="AK97" s="9">
        <v>663</v>
      </c>
      <c r="AM97" s="9" t="s">
        <v>2925</v>
      </c>
      <c r="AN97" s="11">
        <v>46274</v>
      </c>
      <c r="AO97" s="9">
        <v>2609448</v>
      </c>
      <c r="AP97" s="11">
        <v>46252</v>
      </c>
      <c r="AR97" s="9" t="s">
        <v>3080</v>
      </c>
      <c r="AS97" s="9" t="s">
        <v>2572</v>
      </c>
      <c r="AT97" s="9" t="s">
        <v>2566</v>
      </c>
      <c r="AV97" s="14">
        <v>46271</v>
      </c>
      <c r="AX97" s="9" t="s">
        <v>3117</v>
      </c>
      <c r="AY97" s="9">
        <v>7</v>
      </c>
      <c r="AZ97" s="9" t="s">
        <v>3081</v>
      </c>
      <c r="BA97" s="11">
        <v>46259</v>
      </c>
      <c r="BB97" s="9">
        <v>101</v>
      </c>
      <c r="BC97" s="9" t="s">
        <v>3100</v>
      </c>
      <c r="BD97" s="9">
        <v>871901</v>
      </c>
      <c r="BE97" s="11">
        <v>46259</v>
      </c>
      <c r="BF97" s="9">
        <v>1680</v>
      </c>
      <c r="BG97" s="9">
        <v>8</v>
      </c>
      <c r="BH97" s="9" t="s">
        <v>3099</v>
      </c>
    </row>
    <row r="98" spans="1:61" x14ac:dyDescent="0.25">
      <c r="A98" s="9">
        <v>1880</v>
      </c>
      <c r="B98" s="9" t="s">
        <v>2916</v>
      </c>
      <c r="C98" s="9" t="s">
        <v>2557</v>
      </c>
      <c r="D98" s="9">
        <v>1880</v>
      </c>
      <c r="E98" s="9">
        <v>1579</v>
      </c>
      <c r="F98" s="9">
        <v>2026</v>
      </c>
      <c r="G98" s="9">
        <v>18800015792026</v>
      </c>
      <c r="H98" s="9">
        <v>62052000</v>
      </c>
      <c r="I98" s="9">
        <v>2016</v>
      </c>
      <c r="J98" s="9" t="s">
        <v>2851</v>
      </c>
      <c r="K98" s="9">
        <v>1</v>
      </c>
      <c r="L98" s="9" t="s">
        <v>2558</v>
      </c>
      <c r="M98" s="9">
        <v>9</v>
      </c>
      <c r="N98" s="9" t="s">
        <v>3104</v>
      </c>
      <c r="O98" s="10">
        <v>7148.4</v>
      </c>
      <c r="Q98" s="10">
        <v>7148.4</v>
      </c>
      <c r="R98" s="9">
        <v>2683.7</v>
      </c>
      <c r="S98" s="9">
        <v>0</v>
      </c>
      <c r="V98" s="10">
        <v>7148.4</v>
      </c>
      <c r="X98" s="11">
        <v>46253</v>
      </c>
      <c r="Y98" s="9" t="s">
        <v>2564</v>
      </c>
      <c r="Z98" s="11">
        <v>46260</v>
      </c>
      <c r="AB98" s="9" t="s">
        <v>2559</v>
      </c>
      <c r="AC98" s="9">
        <v>260326210686920</v>
      </c>
      <c r="AD98" s="9" t="s">
        <v>3086</v>
      </c>
      <c r="AE98" s="9" t="s">
        <v>200</v>
      </c>
      <c r="AF98" s="9" t="s">
        <v>2919</v>
      </c>
      <c r="AG98" s="9" t="s">
        <v>2570</v>
      </c>
      <c r="AI98" s="9">
        <v>10</v>
      </c>
      <c r="AJ98" s="9" t="s">
        <v>2563</v>
      </c>
      <c r="AK98" s="9">
        <v>1036</v>
      </c>
      <c r="AM98" s="9" t="s">
        <v>2925</v>
      </c>
      <c r="AN98" s="11">
        <v>46274</v>
      </c>
      <c r="AO98" s="9">
        <v>2609450</v>
      </c>
      <c r="AP98" s="11">
        <v>46252</v>
      </c>
      <c r="AR98" s="9" t="s">
        <v>2571</v>
      </c>
      <c r="AS98" s="9" t="s">
        <v>2572</v>
      </c>
      <c r="AT98" s="9" t="s">
        <v>2566</v>
      </c>
      <c r="AV98" s="14">
        <v>46271</v>
      </c>
      <c r="AX98" s="9" t="s">
        <v>3117</v>
      </c>
      <c r="AY98" s="9">
        <v>7</v>
      </c>
      <c r="AZ98" s="9" t="s">
        <v>2926</v>
      </c>
      <c r="BA98" s="11">
        <v>46259</v>
      </c>
      <c r="BB98" s="9">
        <v>101</v>
      </c>
      <c r="BC98" s="9" t="s">
        <v>3100</v>
      </c>
      <c r="BD98" s="9">
        <v>871972</v>
      </c>
      <c r="BE98" s="11">
        <v>46259</v>
      </c>
      <c r="BF98" s="9">
        <v>1680</v>
      </c>
      <c r="BG98" s="9">
        <v>8</v>
      </c>
      <c r="BH98" s="9" t="s">
        <v>3099</v>
      </c>
    </row>
    <row r="99" spans="1:61" x14ac:dyDescent="0.25">
      <c r="A99" s="9">
        <v>1880</v>
      </c>
      <c r="B99" s="9" t="s">
        <v>2916</v>
      </c>
      <c r="C99" s="9" t="s">
        <v>2557</v>
      </c>
      <c r="D99" s="9">
        <v>1880</v>
      </c>
      <c r="E99" s="9">
        <v>1581</v>
      </c>
      <c r="F99" s="9">
        <v>2026</v>
      </c>
      <c r="G99" s="9">
        <v>18800015812026</v>
      </c>
      <c r="H99" s="9">
        <v>62052000</v>
      </c>
      <c r="I99" s="9">
        <v>2016</v>
      </c>
      <c r="J99" s="9" t="s">
        <v>2851</v>
      </c>
      <c r="K99" s="9">
        <v>1</v>
      </c>
      <c r="L99" s="9" t="s">
        <v>2558</v>
      </c>
      <c r="M99" s="9">
        <v>9</v>
      </c>
      <c r="N99" s="9" t="s">
        <v>3104</v>
      </c>
      <c r="O99" s="10">
        <v>4687.2</v>
      </c>
      <c r="Q99" s="10">
        <v>4687.2</v>
      </c>
      <c r="R99" s="9">
        <v>1682.6</v>
      </c>
      <c r="S99" s="9">
        <v>0</v>
      </c>
      <c r="V99" s="10">
        <v>4687.2</v>
      </c>
      <c r="X99" s="11">
        <v>46253</v>
      </c>
      <c r="Y99" s="9" t="s">
        <v>2564</v>
      </c>
      <c r="Z99" s="11">
        <v>46260</v>
      </c>
      <c r="AB99" s="9" t="s">
        <v>2559</v>
      </c>
      <c r="AC99" s="9">
        <v>260326210686920</v>
      </c>
      <c r="AD99" s="9" t="s">
        <v>3086</v>
      </c>
      <c r="AE99" s="9" t="s">
        <v>200</v>
      </c>
      <c r="AF99" s="9" t="s">
        <v>2919</v>
      </c>
      <c r="AG99" s="9" t="s">
        <v>2570</v>
      </c>
      <c r="AI99" s="9">
        <v>10</v>
      </c>
      <c r="AJ99" s="9" t="s">
        <v>2563</v>
      </c>
      <c r="AK99" s="9">
        <v>756</v>
      </c>
      <c r="AM99" s="9" t="s">
        <v>2925</v>
      </c>
      <c r="AN99" s="11">
        <v>46274</v>
      </c>
      <c r="AO99" s="9">
        <v>2609452</v>
      </c>
      <c r="AP99" s="11">
        <v>46252</v>
      </c>
      <c r="AR99" s="9" t="s">
        <v>2571</v>
      </c>
      <c r="AS99" s="9" t="s">
        <v>2572</v>
      </c>
      <c r="AT99" s="9" t="s">
        <v>2566</v>
      </c>
      <c r="AV99" s="14">
        <v>46271</v>
      </c>
      <c r="AX99" s="9" t="s">
        <v>3117</v>
      </c>
      <c r="AY99" s="9">
        <v>7</v>
      </c>
      <c r="AZ99" s="9" t="s">
        <v>2936</v>
      </c>
      <c r="BA99" s="11">
        <v>46260</v>
      </c>
      <c r="BB99" s="9">
        <v>101</v>
      </c>
      <c r="BC99" s="9" t="s">
        <v>3100</v>
      </c>
      <c r="BD99" s="9">
        <v>871822</v>
      </c>
      <c r="BE99" s="11">
        <v>46259</v>
      </c>
      <c r="BF99" s="9">
        <v>1680</v>
      </c>
      <c r="BG99" s="9">
        <v>8</v>
      </c>
      <c r="BH99" s="9" t="s">
        <v>3099</v>
      </c>
    </row>
    <row r="100" spans="1:61" x14ac:dyDescent="0.25">
      <c r="A100" s="9">
        <v>1880</v>
      </c>
      <c r="B100" s="9" t="s">
        <v>2916</v>
      </c>
      <c r="C100" s="9" t="s">
        <v>2557</v>
      </c>
      <c r="D100" s="9">
        <v>1880</v>
      </c>
      <c r="E100" s="9">
        <v>1580</v>
      </c>
      <c r="F100" s="9">
        <v>2026</v>
      </c>
      <c r="G100" s="9">
        <v>18800015802026</v>
      </c>
      <c r="H100" s="9">
        <v>62052000</v>
      </c>
      <c r="I100" s="9">
        <v>2016</v>
      </c>
      <c r="J100" s="9" t="s">
        <v>2851</v>
      </c>
      <c r="K100" s="9">
        <v>1</v>
      </c>
      <c r="L100" s="9" t="s">
        <v>2558</v>
      </c>
      <c r="M100" s="9">
        <v>9</v>
      </c>
      <c r="N100" s="9" t="s">
        <v>3104</v>
      </c>
      <c r="O100" s="10">
        <v>11028.8</v>
      </c>
      <c r="Q100" s="10">
        <v>11028.8</v>
      </c>
      <c r="R100" s="9">
        <v>6878.45</v>
      </c>
      <c r="S100" s="9">
        <v>0</v>
      </c>
      <c r="V100" s="10">
        <v>11028.8</v>
      </c>
      <c r="X100" s="11">
        <v>46253</v>
      </c>
      <c r="Y100" s="9" t="s">
        <v>2564</v>
      </c>
      <c r="Z100" s="11">
        <v>46260</v>
      </c>
      <c r="AB100" s="9" t="s">
        <v>2559</v>
      </c>
      <c r="AC100" s="9">
        <v>260326210686920</v>
      </c>
      <c r="AD100" s="9" t="s">
        <v>3086</v>
      </c>
      <c r="AE100" s="9" t="s">
        <v>200</v>
      </c>
      <c r="AF100" s="9" t="s">
        <v>2919</v>
      </c>
      <c r="AG100" s="9" t="s">
        <v>2570</v>
      </c>
      <c r="AI100" s="9">
        <v>10</v>
      </c>
      <c r="AJ100" s="9" t="s">
        <v>2563</v>
      </c>
      <c r="AK100" s="9">
        <v>1952</v>
      </c>
      <c r="AM100" s="9" t="s">
        <v>2925</v>
      </c>
      <c r="AN100" s="11">
        <v>46274</v>
      </c>
      <c r="AO100" s="9">
        <v>2609451</v>
      </c>
      <c r="AP100" s="11">
        <v>46252</v>
      </c>
      <c r="AR100" s="9" t="s">
        <v>2571</v>
      </c>
      <c r="AS100" s="9" t="s">
        <v>2572</v>
      </c>
      <c r="AT100" s="9" t="s">
        <v>2566</v>
      </c>
      <c r="AV100" s="14">
        <v>46271</v>
      </c>
      <c r="AX100" s="9" t="s">
        <v>3117</v>
      </c>
      <c r="AY100" s="9">
        <v>7</v>
      </c>
      <c r="AZ100" s="9" t="s">
        <v>2950</v>
      </c>
      <c r="BA100" s="11">
        <v>46259</v>
      </c>
      <c r="BB100" s="9">
        <v>101</v>
      </c>
      <c r="BC100" s="9" t="s">
        <v>3100</v>
      </c>
      <c r="BD100" s="9">
        <v>871869</v>
      </c>
      <c r="BE100" s="11">
        <v>46259</v>
      </c>
      <c r="BF100" s="9">
        <v>1680</v>
      </c>
      <c r="BG100" s="9">
        <v>8</v>
      </c>
      <c r="BH100" s="9" t="s">
        <v>3099</v>
      </c>
    </row>
    <row r="101" spans="1:61" ht="105" x14ac:dyDescent="0.25">
      <c r="A101" s="9">
        <v>947</v>
      </c>
      <c r="B101" s="9" t="s">
        <v>2644</v>
      </c>
      <c r="C101" s="9" t="s">
        <v>2645</v>
      </c>
      <c r="D101" s="9">
        <v>947</v>
      </c>
      <c r="E101" s="9">
        <v>1441</v>
      </c>
      <c r="F101" s="9">
        <v>2026</v>
      </c>
      <c r="G101" s="9">
        <v>9470014412026</v>
      </c>
      <c r="H101" s="9">
        <v>62052000</v>
      </c>
      <c r="I101" s="9">
        <v>102</v>
      </c>
      <c r="J101" s="9" t="s">
        <v>3116</v>
      </c>
      <c r="K101" s="9">
        <v>1</v>
      </c>
      <c r="L101" s="9" t="s">
        <v>2558</v>
      </c>
      <c r="M101" s="9">
        <v>4</v>
      </c>
      <c r="N101" s="9" t="s">
        <v>3087</v>
      </c>
      <c r="O101" s="10">
        <v>9183.9</v>
      </c>
      <c r="P101" s="10">
        <v>3321.45</v>
      </c>
      <c r="Q101" s="10">
        <v>9183.9</v>
      </c>
      <c r="R101" s="9">
        <v>0</v>
      </c>
      <c r="S101" s="9">
        <v>0</v>
      </c>
      <c r="T101" s="9">
        <v>0</v>
      </c>
      <c r="U101" s="9">
        <v>3321.45</v>
      </c>
      <c r="V101" s="10">
        <v>3321.45</v>
      </c>
      <c r="W101" s="10">
        <v>3286.6</v>
      </c>
      <c r="X101" s="11">
        <v>46245</v>
      </c>
      <c r="Y101" s="9" t="s">
        <v>2564</v>
      </c>
      <c r="Z101" s="11">
        <v>46261</v>
      </c>
      <c r="AA101" s="11">
        <v>46287</v>
      </c>
      <c r="AB101" s="9" t="s">
        <v>2559</v>
      </c>
      <c r="AC101" s="9">
        <v>260326210686920</v>
      </c>
      <c r="AD101" s="9" t="s">
        <v>3086</v>
      </c>
      <c r="AE101" s="9" t="s">
        <v>3115</v>
      </c>
      <c r="AF101" s="12" t="s">
        <v>2675</v>
      </c>
      <c r="AG101" s="9" t="s">
        <v>2570</v>
      </c>
      <c r="AH101" s="9" t="s">
        <v>2570</v>
      </c>
      <c r="AI101" s="9">
        <v>10</v>
      </c>
      <c r="AJ101" s="9" t="s">
        <v>2563</v>
      </c>
      <c r="AK101" s="9">
        <v>1815</v>
      </c>
      <c r="AM101" s="9" t="s">
        <v>2676</v>
      </c>
      <c r="AN101" s="11">
        <v>46285</v>
      </c>
      <c r="AO101" s="9">
        <v>2609146</v>
      </c>
      <c r="AP101" s="11">
        <v>46245</v>
      </c>
      <c r="AR101" s="9" t="s">
        <v>2577</v>
      </c>
      <c r="AT101" s="9" t="s">
        <v>2566</v>
      </c>
      <c r="AV101" s="14">
        <v>46284</v>
      </c>
      <c r="AX101" s="9" t="s">
        <v>3085</v>
      </c>
      <c r="AY101" s="9">
        <v>1</v>
      </c>
      <c r="AZ101" s="9" t="s">
        <v>2677</v>
      </c>
      <c r="BA101" s="11">
        <v>46261</v>
      </c>
      <c r="BB101" s="9">
        <v>306</v>
      </c>
      <c r="BC101" s="9" t="s">
        <v>3084</v>
      </c>
      <c r="BD101" s="9">
        <v>314526</v>
      </c>
      <c r="BE101" s="11">
        <v>46249</v>
      </c>
      <c r="BF101" s="9">
        <v>1680</v>
      </c>
      <c r="BG101" s="9">
        <v>1</v>
      </c>
      <c r="BH101" s="9" t="s">
        <v>3083</v>
      </c>
      <c r="BI101" s="9">
        <v>1</v>
      </c>
    </row>
    <row r="102" spans="1:61" x14ac:dyDescent="0.25">
      <c r="A102" s="9">
        <v>947</v>
      </c>
      <c r="B102" s="9" t="s">
        <v>2644</v>
      </c>
      <c r="C102" s="9" t="s">
        <v>2645</v>
      </c>
      <c r="D102" s="9">
        <v>947</v>
      </c>
      <c r="E102" s="9">
        <v>1477</v>
      </c>
      <c r="F102" s="9">
        <v>2026</v>
      </c>
      <c r="G102" s="9">
        <v>9470014772026</v>
      </c>
      <c r="H102" s="9">
        <v>62071100</v>
      </c>
      <c r="I102" s="9">
        <v>2020</v>
      </c>
      <c r="J102" s="9" t="s">
        <v>2848</v>
      </c>
      <c r="K102" s="9">
        <v>1</v>
      </c>
      <c r="L102" s="9" t="s">
        <v>2558</v>
      </c>
      <c r="M102" s="9">
        <v>4</v>
      </c>
      <c r="N102" s="9" t="s">
        <v>3087</v>
      </c>
      <c r="O102" s="10">
        <v>2486.8200000000002</v>
      </c>
      <c r="P102" s="9">
        <v>0</v>
      </c>
      <c r="Q102" s="10">
        <v>2486.8200000000002</v>
      </c>
      <c r="R102" s="9">
        <v>0</v>
      </c>
      <c r="S102" s="9">
        <v>0</v>
      </c>
      <c r="T102" s="9">
        <v>0</v>
      </c>
      <c r="V102" s="10">
        <v>2486.8200000000002</v>
      </c>
      <c r="W102" s="10">
        <v>2468.1</v>
      </c>
      <c r="X102" s="11">
        <v>46252</v>
      </c>
      <c r="Y102" s="9" t="s">
        <v>2564</v>
      </c>
      <c r="Z102" s="11">
        <v>46262</v>
      </c>
      <c r="AA102" s="11">
        <v>46275</v>
      </c>
      <c r="AB102" s="9" t="s">
        <v>2559</v>
      </c>
      <c r="AC102" s="9">
        <v>260326210686920</v>
      </c>
      <c r="AD102" s="9" t="s">
        <v>3086</v>
      </c>
      <c r="AE102" s="9" t="s">
        <v>3095</v>
      </c>
      <c r="AF102" s="9" t="s">
        <v>2653</v>
      </c>
      <c r="AG102" s="9" t="s">
        <v>2570</v>
      </c>
      <c r="AH102" s="9" t="s">
        <v>2570</v>
      </c>
      <c r="AI102" s="9">
        <v>10</v>
      </c>
      <c r="AJ102" s="9" t="s">
        <v>2563</v>
      </c>
      <c r="AK102" s="9">
        <v>8400</v>
      </c>
      <c r="AM102" s="9" t="s">
        <v>2654</v>
      </c>
      <c r="AN102" s="11">
        <v>46274</v>
      </c>
      <c r="AO102" s="9">
        <v>2609410</v>
      </c>
      <c r="AP102" s="11">
        <v>46251</v>
      </c>
      <c r="AS102" s="9" t="s">
        <v>2565</v>
      </c>
      <c r="AT102" s="9" t="s">
        <v>2566</v>
      </c>
      <c r="AU102" s="9" t="s">
        <v>262</v>
      </c>
      <c r="AV102" s="14">
        <v>46272</v>
      </c>
      <c r="AW102" s="9">
        <v>2609410</v>
      </c>
      <c r="AX102" s="9" t="s">
        <v>3094</v>
      </c>
      <c r="AY102" s="9">
        <v>6</v>
      </c>
      <c r="AZ102" s="9" t="s">
        <v>2655</v>
      </c>
      <c r="BA102" s="11">
        <v>46262</v>
      </c>
      <c r="BB102" s="9">
        <v>306</v>
      </c>
      <c r="BC102" s="9" t="s">
        <v>3084</v>
      </c>
      <c r="BD102" s="9">
        <v>341997</v>
      </c>
      <c r="BE102" s="11">
        <v>46255</v>
      </c>
      <c r="BF102" s="9">
        <v>1680</v>
      </c>
      <c r="BG102" s="9">
        <v>1</v>
      </c>
      <c r="BH102" s="9" t="s">
        <v>3083</v>
      </c>
      <c r="BI102" s="9">
        <v>1</v>
      </c>
    </row>
    <row r="103" spans="1:61" ht="135" x14ac:dyDescent="0.25">
      <c r="A103" s="9">
        <v>947</v>
      </c>
      <c r="B103" s="9" t="s">
        <v>2644</v>
      </c>
      <c r="C103" s="9" t="s">
        <v>2645</v>
      </c>
      <c r="D103" s="9">
        <v>947</v>
      </c>
      <c r="E103" s="9">
        <v>1478</v>
      </c>
      <c r="F103" s="9">
        <v>2026</v>
      </c>
      <c r="G103" s="9">
        <v>9470014782026</v>
      </c>
      <c r="H103" s="9">
        <v>62071100</v>
      </c>
      <c r="I103" s="9">
        <v>2020</v>
      </c>
      <c r="J103" s="9" t="s">
        <v>2848</v>
      </c>
      <c r="K103" s="9">
        <v>1</v>
      </c>
      <c r="L103" s="9" t="s">
        <v>2558</v>
      </c>
      <c r="M103" s="9">
        <v>4</v>
      </c>
      <c r="N103" s="9" t="s">
        <v>3087</v>
      </c>
      <c r="O103" s="9">
        <v>825</v>
      </c>
      <c r="P103" s="9">
        <v>0</v>
      </c>
      <c r="Q103" s="9">
        <v>825</v>
      </c>
      <c r="R103" s="9">
        <v>0</v>
      </c>
      <c r="S103" s="9">
        <v>0</v>
      </c>
      <c r="T103" s="9">
        <v>0</v>
      </c>
      <c r="V103" s="9">
        <v>825</v>
      </c>
      <c r="W103" s="9">
        <v>824.87</v>
      </c>
      <c r="X103" s="11">
        <v>46252</v>
      </c>
      <c r="Y103" s="9" t="s">
        <v>2564</v>
      </c>
      <c r="Z103" s="11">
        <v>46262</v>
      </c>
      <c r="AA103" s="11">
        <v>46294</v>
      </c>
      <c r="AB103" s="9" t="s">
        <v>2559</v>
      </c>
      <c r="AC103" s="9">
        <v>260326210686920</v>
      </c>
      <c r="AD103" s="9" t="s">
        <v>3086</v>
      </c>
      <c r="AE103" s="9" t="s">
        <v>3114</v>
      </c>
      <c r="AF103" s="12" t="s">
        <v>2658</v>
      </c>
      <c r="AG103" s="9" t="s">
        <v>2570</v>
      </c>
      <c r="AH103" s="9" t="s">
        <v>2570</v>
      </c>
      <c r="AI103" s="9">
        <v>10</v>
      </c>
      <c r="AJ103" s="9" t="s">
        <v>2563</v>
      </c>
      <c r="AK103" s="9">
        <v>750</v>
      </c>
      <c r="AM103" s="9">
        <v>591</v>
      </c>
      <c r="AN103" s="11">
        <v>46294</v>
      </c>
      <c r="AO103" s="9">
        <v>2609411</v>
      </c>
      <c r="AP103" s="11">
        <v>46251</v>
      </c>
      <c r="AS103" s="9" t="s">
        <v>2565</v>
      </c>
      <c r="AT103" s="9" t="s">
        <v>2566</v>
      </c>
      <c r="AU103" s="9" t="s">
        <v>262</v>
      </c>
      <c r="AV103" s="14">
        <v>46294</v>
      </c>
      <c r="AW103" s="9">
        <v>2609411</v>
      </c>
      <c r="AX103" s="9" t="s">
        <v>3094</v>
      </c>
      <c r="AY103" s="9">
        <v>6</v>
      </c>
      <c r="AZ103" s="9" t="s">
        <v>2659</v>
      </c>
      <c r="BA103" s="11">
        <v>46262</v>
      </c>
      <c r="BB103" s="9">
        <v>306</v>
      </c>
      <c r="BC103" s="9" t="s">
        <v>3084</v>
      </c>
      <c r="BD103" s="9">
        <v>342183</v>
      </c>
      <c r="BE103" s="11">
        <v>46255</v>
      </c>
      <c r="BF103" s="9">
        <v>1680</v>
      </c>
      <c r="BG103" s="9">
        <v>1</v>
      </c>
      <c r="BH103" s="9" t="s">
        <v>3083</v>
      </c>
      <c r="BI103" s="9">
        <v>1</v>
      </c>
    </row>
    <row r="104" spans="1:61" x14ac:dyDescent="0.25">
      <c r="A104" s="9">
        <v>947</v>
      </c>
      <c r="B104" s="9" t="s">
        <v>2644</v>
      </c>
      <c r="C104" s="9" t="s">
        <v>2645</v>
      </c>
      <c r="D104" s="9">
        <v>947</v>
      </c>
      <c r="E104" s="9">
        <v>1348</v>
      </c>
      <c r="F104" s="9">
        <v>2026</v>
      </c>
      <c r="G104" s="9">
        <v>9470013482026</v>
      </c>
      <c r="H104" s="9">
        <v>62071100</v>
      </c>
      <c r="I104" s="9">
        <v>0</v>
      </c>
      <c r="J104" s="9" t="s">
        <v>3098</v>
      </c>
      <c r="K104" s="9">
        <v>1</v>
      </c>
      <c r="L104" s="9" t="s">
        <v>2558</v>
      </c>
      <c r="M104" s="9">
        <v>4</v>
      </c>
      <c r="N104" s="9" t="s">
        <v>3087</v>
      </c>
      <c r="O104" s="9">
        <v>584.46</v>
      </c>
      <c r="P104" s="9">
        <v>0</v>
      </c>
      <c r="Q104" s="9">
        <v>584.46</v>
      </c>
      <c r="R104" s="9">
        <v>0</v>
      </c>
      <c r="S104" s="9">
        <v>0</v>
      </c>
      <c r="T104" s="9">
        <v>0</v>
      </c>
      <c r="V104" s="9">
        <v>584.46</v>
      </c>
      <c r="W104" s="9">
        <v>580.05999999999995</v>
      </c>
      <c r="X104" s="11">
        <v>46231</v>
      </c>
      <c r="Y104" s="9" t="s">
        <v>2564</v>
      </c>
      <c r="Z104" s="11">
        <v>46262</v>
      </c>
      <c r="AA104" s="11">
        <v>46275</v>
      </c>
      <c r="AB104" s="9" t="s">
        <v>2559</v>
      </c>
      <c r="AC104" s="9">
        <v>260326210686920</v>
      </c>
      <c r="AD104" s="9" t="s">
        <v>3086</v>
      </c>
      <c r="AE104" s="9" t="s">
        <v>3095</v>
      </c>
      <c r="AF104" s="9" t="s">
        <v>2653</v>
      </c>
      <c r="AG104" s="9" t="s">
        <v>2570</v>
      </c>
      <c r="AH104" s="9" t="s">
        <v>2570</v>
      </c>
      <c r="AI104" s="9">
        <v>10</v>
      </c>
      <c r="AJ104" s="9" t="s">
        <v>2563</v>
      </c>
      <c r="AK104" s="9">
        <v>1200</v>
      </c>
      <c r="AM104" s="9" t="s">
        <v>2654</v>
      </c>
      <c r="AN104" s="11">
        <v>46274</v>
      </c>
      <c r="AO104" s="9">
        <v>2608648</v>
      </c>
      <c r="AP104" s="11">
        <v>46230</v>
      </c>
      <c r="AS104" s="9" t="s">
        <v>2565</v>
      </c>
      <c r="AT104" s="9" t="s">
        <v>2566</v>
      </c>
      <c r="AU104" s="9" t="s">
        <v>1994</v>
      </c>
      <c r="AV104" s="14">
        <v>46272</v>
      </c>
      <c r="AW104" s="9">
        <v>2608648</v>
      </c>
      <c r="AX104" s="9" t="s">
        <v>3094</v>
      </c>
      <c r="AY104" s="9">
        <v>6</v>
      </c>
      <c r="AZ104" s="9" t="s">
        <v>3113</v>
      </c>
      <c r="BA104" s="11">
        <v>46262</v>
      </c>
      <c r="BB104" s="9">
        <v>306</v>
      </c>
      <c r="BC104" s="9" t="s">
        <v>3084</v>
      </c>
      <c r="BD104" s="9">
        <v>335169</v>
      </c>
      <c r="BE104" s="11">
        <v>46254</v>
      </c>
      <c r="BF104" s="9">
        <v>1680</v>
      </c>
      <c r="BG104" s="9">
        <v>1</v>
      </c>
      <c r="BH104" s="9" t="s">
        <v>3083</v>
      </c>
      <c r="BI104" s="9">
        <v>1</v>
      </c>
    </row>
    <row r="105" spans="1:61" x14ac:dyDescent="0.25">
      <c r="A105" s="9">
        <v>1880</v>
      </c>
      <c r="B105" s="9" t="s">
        <v>2916</v>
      </c>
      <c r="C105" s="9" t="s">
        <v>2557</v>
      </c>
      <c r="D105" s="9">
        <v>1880</v>
      </c>
      <c r="E105" s="9">
        <v>1605</v>
      </c>
      <c r="F105" s="9">
        <v>2026</v>
      </c>
      <c r="G105" s="9">
        <v>18800016052026</v>
      </c>
      <c r="H105" s="9">
        <v>62072100</v>
      </c>
      <c r="I105" s="9">
        <v>2016</v>
      </c>
      <c r="J105" s="9" t="s">
        <v>2851</v>
      </c>
      <c r="K105" s="9">
        <v>1</v>
      </c>
      <c r="L105" s="9" t="s">
        <v>2558</v>
      </c>
      <c r="M105" s="9">
        <v>4</v>
      </c>
      <c r="N105" s="9" t="s">
        <v>3087</v>
      </c>
      <c r="O105" s="10">
        <v>2469.6</v>
      </c>
      <c r="Q105" s="10">
        <v>2646</v>
      </c>
      <c r="R105" s="9">
        <v>0</v>
      </c>
      <c r="S105" s="9">
        <v>0</v>
      </c>
      <c r="T105" s="9">
        <v>0</v>
      </c>
      <c r="V105" s="10">
        <v>2646</v>
      </c>
      <c r="W105" s="10">
        <v>2580.73</v>
      </c>
      <c r="X105" s="11">
        <v>46254</v>
      </c>
      <c r="Y105" s="9" t="s">
        <v>2564</v>
      </c>
      <c r="Z105" s="11">
        <v>46262</v>
      </c>
      <c r="AA105" s="11">
        <v>46287</v>
      </c>
      <c r="AB105" s="9" t="s">
        <v>2559</v>
      </c>
      <c r="AC105" s="9">
        <v>260326210686920</v>
      </c>
      <c r="AD105" s="9" t="s">
        <v>3086</v>
      </c>
      <c r="AE105" s="9" t="s">
        <v>200</v>
      </c>
      <c r="AF105" s="9" t="s">
        <v>2919</v>
      </c>
      <c r="AG105" s="9" t="s">
        <v>2570</v>
      </c>
      <c r="AH105" s="9" t="s">
        <v>2570</v>
      </c>
      <c r="AI105" s="9">
        <v>10</v>
      </c>
      <c r="AJ105" s="9" t="s">
        <v>2563</v>
      </c>
      <c r="AK105" s="9">
        <v>840</v>
      </c>
      <c r="AM105" s="9" t="s">
        <v>2928</v>
      </c>
      <c r="AN105" s="11">
        <v>46286</v>
      </c>
      <c r="AO105" s="9">
        <v>2609475</v>
      </c>
      <c r="AP105" s="11">
        <v>46254</v>
      </c>
      <c r="AR105" s="9" t="s">
        <v>2592</v>
      </c>
      <c r="AS105" s="9" t="s">
        <v>2632</v>
      </c>
      <c r="AT105" s="9" t="s">
        <v>2566</v>
      </c>
      <c r="AV105" s="14">
        <v>46272</v>
      </c>
      <c r="AX105" s="9" t="s">
        <v>3085</v>
      </c>
      <c r="AY105" s="9">
        <v>1</v>
      </c>
      <c r="AZ105" s="9" t="s">
        <v>3034</v>
      </c>
      <c r="BA105" s="11">
        <v>46262</v>
      </c>
      <c r="BB105" s="9">
        <v>306</v>
      </c>
      <c r="BC105" s="9" t="s">
        <v>3084</v>
      </c>
      <c r="BD105" s="9">
        <v>338288</v>
      </c>
      <c r="BE105" s="11">
        <v>46254</v>
      </c>
      <c r="BF105" s="9">
        <v>1680</v>
      </c>
      <c r="BG105" s="9">
        <v>1</v>
      </c>
      <c r="BH105" s="9" t="s">
        <v>3083</v>
      </c>
    </row>
    <row r="106" spans="1:61" x14ac:dyDescent="0.25">
      <c r="A106" s="9">
        <v>1880</v>
      </c>
      <c r="B106" s="9" t="s">
        <v>2916</v>
      </c>
      <c r="C106" s="9" t="s">
        <v>2557</v>
      </c>
      <c r="D106" s="9">
        <v>1880</v>
      </c>
      <c r="E106" s="9">
        <v>1592</v>
      </c>
      <c r="F106" s="9">
        <v>2026</v>
      </c>
      <c r="G106" s="9">
        <v>18800015922026</v>
      </c>
      <c r="H106" s="9">
        <v>62063000</v>
      </c>
      <c r="I106" s="9">
        <v>2016</v>
      </c>
      <c r="J106" s="9" t="s">
        <v>2851</v>
      </c>
      <c r="K106" s="9">
        <v>1</v>
      </c>
      <c r="L106" s="9" t="s">
        <v>2558</v>
      </c>
      <c r="M106" s="9">
        <v>4</v>
      </c>
      <c r="N106" s="9" t="s">
        <v>3087</v>
      </c>
      <c r="O106" s="10">
        <v>3679.2</v>
      </c>
      <c r="Q106" s="10">
        <v>3679.2</v>
      </c>
      <c r="R106" s="9">
        <v>0</v>
      </c>
      <c r="S106" s="9">
        <v>0</v>
      </c>
      <c r="T106" s="9">
        <v>0</v>
      </c>
      <c r="V106" s="10">
        <v>3679.2</v>
      </c>
      <c r="X106" s="11">
        <v>46253</v>
      </c>
      <c r="Y106" s="9" t="s">
        <v>2564</v>
      </c>
      <c r="Z106" s="11">
        <v>46262</v>
      </c>
      <c r="AB106" s="9" t="s">
        <v>2559</v>
      </c>
      <c r="AC106" s="9">
        <v>260326210686920</v>
      </c>
      <c r="AD106" s="9" t="s">
        <v>3086</v>
      </c>
      <c r="AE106" s="9" t="s">
        <v>200</v>
      </c>
      <c r="AF106" s="9" t="s">
        <v>2919</v>
      </c>
      <c r="AG106" s="9" t="s">
        <v>2570</v>
      </c>
      <c r="AI106" s="9">
        <v>10</v>
      </c>
      <c r="AJ106" s="9" t="s">
        <v>2563</v>
      </c>
      <c r="AK106" s="9">
        <v>840</v>
      </c>
      <c r="AO106" s="9">
        <v>2609463</v>
      </c>
      <c r="AP106" s="11">
        <v>46253</v>
      </c>
      <c r="AR106" s="9" t="s">
        <v>2571</v>
      </c>
      <c r="AS106" s="9" t="s">
        <v>2632</v>
      </c>
      <c r="AT106" s="9" t="s">
        <v>2566</v>
      </c>
      <c r="AV106" s="14">
        <v>46272</v>
      </c>
      <c r="AX106" s="9" t="s">
        <v>3085</v>
      </c>
      <c r="AY106" s="9">
        <v>1</v>
      </c>
      <c r="AZ106" s="9" t="s">
        <v>3038</v>
      </c>
      <c r="BA106" s="11">
        <v>46262</v>
      </c>
      <c r="BB106" s="9">
        <v>306</v>
      </c>
      <c r="BC106" s="9" t="s">
        <v>3084</v>
      </c>
      <c r="BD106" s="9">
        <v>338295</v>
      </c>
      <c r="BE106" s="11">
        <v>46254</v>
      </c>
      <c r="BF106" s="9">
        <v>1680</v>
      </c>
      <c r="BG106" s="9">
        <v>1</v>
      </c>
      <c r="BH106" s="9" t="s">
        <v>3083</v>
      </c>
    </row>
    <row r="107" spans="1:61" x14ac:dyDescent="0.25">
      <c r="A107" s="9">
        <v>1880</v>
      </c>
      <c r="B107" s="9" t="s">
        <v>2916</v>
      </c>
      <c r="C107" s="9" t="s">
        <v>2557</v>
      </c>
      <c r="D107" s="9">
        <v>1880</v>
      </c>
      <c r="E107" s="9">
        <v>1599</v>
      </c>
      <c r="F107" s="9">
        <v>2026</v>
      </c>
      <c r="G107" s="9">
        <v>18800015992026</v>
      </c>
      <c r="H107" s="9">
        <v>62072100</v>
      </c>
      <c r="I107" s="9">
        <v>2016</v>
      </c>
      <c r="J107" s="9" t="s">
        <v>2851</v>
      </c>
      <c r="K107" s="9">
        <v>1</v>
      </c>
      <c r="L107" s="9" t="s">
        <v>2558</v>
      </c>
      <c r="M107" s="9">
        <v>4</v>
      </c>
      <c r="N107" s="9" t="s">
        <v>3087</v>
      </c>
      <c r="O107" s="10">
        <v>6312.6</v>
      </c>
      <c r="Q107" s="10">
        <v>6312.6</v>
      </c>
      <c r="R107" s="9">
        <v>0</v>
      </c>
      <c r="S107" s="9">
        <v>0</v>
      </c>
      <c r="T107" s="9">
        <v>0</v>
      </c>
      <c r="V107" s="10">
        <v>6312.6</v>
      </c>
      <c r="W107" s="10">
        <v>6156.89</v>
      </c>
      <c r="X107" s="11">
        <v>46254</v>
      </c>
      <c r="Y107" s="9" t="s">
        <v>2564</v>
      </c>
      <c r="Z107" s="11">
        <v>46262</v>
      </c>
      <c r="AA107" s="11">
        <v>46287</v>
      </c>
      <c r="AB107" s="9" t="s">
        <v>2559</v>
      </c>
      <c r="AC107" s="9">
        <v>260326210686920</v>
      </c>
      <c r="AD107" s="9" t="s">
        <v>3086</v>
      </c>
      <c r="AE107" s="9" t="s">
        <v>200</v>
      </c>
      <c r="AF107" s="9" t="s">
        <v>2919</v>
      </c>
      <c r="AG107" s="9" t="s">
        <v>2570</v>
      </c>
      <c r="AH107" s="9" t="s">
        <v>2570</v>
      </c>
      <c r="AI107" s="9">
        <v>10</v>
      </c>
      <c r="AJ107" s="9" t="s">
        <v>2563</v>
      </c>
      <c r="AK107" s="9">
        <v>2004</v>
      </c>
      <c r="AM107" s="9" t="s">
        <v>2928</v>
      </c>
      <c r="AN107" s="11">
        <v>46286</v>
      </c>
      <c r="AO107" s="9">
        <v>2609466</v>
      </c>
      <c r="AP107" s="11">
        <v>46254</v>
      </c>
      <c r="AR107" s="9" t="s">
        <v>2571</v>
      </c>
      <c r="AS107" s="9" t="s">
        <v>2632</v>
      </c>
      <c r="AT107" s="9" t="s">
        <v>2566</v>
      </c>
      <c r="AV107" s="14">
        <v>46272</v>
      </c>
      <c r="AX107" s="9" t="s">
        <v>3085</v>
      </c>
      <c r="AY107" s="9">
        <v>1</v>
      </c>
      <c r="AZ107" s="9" t="s">
        <v>3042</v>
      </c>
      <c r="BA107" s="11">
        <v>46262</v>
      </c>
      <c r="BB107" s="9">
        <v>306</v>
      </c>
      <c r="BC107" s="9" t="s">
        <v>3084</v>
      </c>
      <c r="BD107" s="9">
        <v>338324</v>
      </c>
      <c r="BE107" s="11">
        <v>46254</v>
      </c>
      <c r="BF107" s="9">
        <v>1680</v>
      </c>
      <c r="BG107" s="9">
        <v>1</v>
      </c>
      <c r="BH107" s="9" t="s">
        <v>3083</v>
      </c>
    </row>
    <row r="108" spans="1:61" x14ac:dyDescent="0.25">
      <c r="A108" s="9">
        <v>1880</v>
      </c>
      <c r="B108" s="9" t="s">
        <v>2916</v>
      </c>
      <c r="C108" s="9" t="s">
        <v>2557</v>
      </c>
      <c r="D108" s="9">
        <v>1880</v>
      </c>
      <c r="E108" s="9">
        <v>1596</v>
      </c>
      <c r="F108" s="9">
        <v>2026</v>
      </c>
      <c r="G108" s="9">
        <v>18800015962026</v>
      </c>
      <c r="H108" s="9">
        <v>62052000</v>
      </c>
      <c r="I108" s="9">
        <v>2016</v>
      </c>
      <c r="J108" s="9" t="s">
        <v>2851</v>
      </c>
      <c r="K108" s="9">
        <v>1</v>
      </c>
      <c r="L108" s="9" t="s">
        <v>2558</v>
      </c>
      <c r="M108" s="9">
        <v>4</v>
      </c>
      <c r="N108" s="9" t="s">
        <v>3087</v>
      </c>
      <c r="O108" s="10">
        <v>2463.3000000000002</v>
      </c>
      <c r="P108" s="9">
        <v>0</v>
      </c>
      <c r="Q108" s="10">
        <v>2463.3000000000002</v>
      </c>
      <c r="R108" s="9">
        <v>0</v>
      </c>
      <c r="S108" s="9">
        <v>0</v>
      </c>
      <c r="T108" s="9">
        <v>0</v>
      </c>
      <c r="V108" s="10">
        <v>2463.3000000000002</v>
      </c>
      <c r="W108" s="10">
        <v>2402.54</v>
      </c>
      <c r="X108" s="11">
        <v>46254</v>
      </c>
      <c r="Y108" s="9" t="s">
        <v>2564</v>
      </c>
      <c r="Z108" s="11">
        <v>46262</v>
      </c>
      <c r="AA108" s="11">
        <v>46287</v>
      </c>
      <c r="AB108" s="9" t="s">
        <v>2559</v>
      </c>
      <c r="AC108" s="9">
        <v>260326210686920</v>
      </c>
      <c r="AD108" s="9" t="s">
        <v>3086</v>
      </c>
      <c r="AE108" s="9" t="s">
        <v>200</v>
      </c>
      <c r="AF108" s="9" t="s">
        <v>2919</v>
      </c>
      <c r="AG108" s="9" t="s">
        <v>2570</v>
      </c>
      <c r="AH108" s="9" t="s">
        <v>2570</v>
      </c>
      <c r="AI108" s="9">
        <v>10</v>
      </c>
      <c r="AJ108" s="9" t="s">
        <v>2563</v>
      </c>
      <c r="AK108" s="9">
        <v>782</v>
      </c>
      <c r="AM108" s="9" t="s">
        <v>2928</v>
      </c>
      <c r="AN108" s="11">
        <v>46286</v>
      </c>
      <c r="AO108" s="9">
        <v>2609473</v>
      </c>
      <c r="AP108" s="11">
        <v>46254</v>
      </c>
      <c r="AR108" s="9" t="s">
        <v>2571</v>
      </c>
      <c r="AS108" s="9" t="s">
        <v>2632</v>
      </c>
      <c r="AT108" s="9" t="s">
        <v>2566</v>
      </c>
      <c r="AU108" s="9" t="s">
        <v>206</v>
      </c>
      <c r="AV108" s="14">
        <v>46272</v>
      </c>
      <c r="AW108" s="9">
        <v>2609473</v>
      </c>
      <c r="AX108" s="9" t="s">
        <v>3085</v>
      </c>
      <c r="AY108" s="9">
        <v>1</v>
      </c>
      <c r="AZ108" s="9" t="s">
        <v>3054</v>
      </c>
      <c r="BA108" s="11">
        <v>46262</v>
      </c>
      <c r="BB108" s="9">
        <v>306</v>
      </c>
      <c r="BC108" s="9" t="s">
        <v>3084</v>
      </c>
      <c r="BD108" s="9">
        <v>338306</v>
      </c>
      <c r="BE108" s="11">
        <v>46254</v>
      </c>
      <c r="BF108" s="9">
        <v>1680</v>
      </c>
      <c r="BG108" s="9">
        <v>1</v>
      </c>
      <c r="BH108" s="9" t="s">
        <v>3083</v>
      </c>
    </row>
    <row r="109" spans="1:61" x14ac:dyDescent="0.25">
      <c r="A109" s="9">
        <v>1880</v>
      </c>
      <c r="B109" s="9" t="s">
        <v>2916</v>
      </c>
      <c r="C109" s="9" t="s">
        <v>2557</v>
      </c>
      <c r="D109" s="9">
        <v>1880</v>
      </c>
      <c r="E109" s="9">
        <v>1597</v>
      </c>
      <c r="F109" s="9">
        <v>2026</v>
      </c>
      <c r="G109" s="9">
        <v>18800015972026</v>
      </c>
      <c r="H109" s="9">
        <v>62072100</v>
      </c>
      <c r="I109" s="9">
        <v>2016</v>
      </c>
      <c r="J109" s="9" t="s">
        <v>2851</v>
      </c>
      <c r="K109" s="9">
        <v>1</v>
      </c>
      <c r="L109" s="9" t="s">
        <v>2558</v>
      </c>
      <c r="M109" s="9">
        <v>4</v>
      </c>
      <c r="N109" s="9" t="s">
        <v>3087</v>
      </c>
      <c r="O109" s="10">
        <v>6804</v>
      </c>
      <c r="P109" s="9">
        <v>0</v>
      </c>
      <c r="Q109" s="10">
        <v>6804</v>
      </c>
      <c r="R109" s="9">
        <v>0</v>
      </c>
      <c r="S109" s="9">
        <v>0</v>
      </c>
      <c r="T109" s="9">
        <v>0</v>
      </c>
      <c r="V109" s="10">
        <v>6804</v>
      </c>
      <c r="X109" s="11">
        <v>46254</v>
      </c>
      <c r="Y109" s="9" t="s">
        <v>2564</v>
      </c>
      <c r="Z109" s="11">
        <v>46262</v>
      </c>
      <c r="AB109" s="9" t="s">
        <v>2559</v>
      </c>
      <c r="AC109" s="9">
        <v>260326210686920</v>
      </c>
      <c r="AD109" s="9" t="s">
        <v>3086</v>
      </c>
      <c r="AE109" s="9" t="s">
        <v>200</v>
      </c>
      <c r="AF109" s="9" t="s">
        <v>2919</v>
      </c>
      <c r="AG109" s="9" t="s">
        <v>2570</v>
      </c>
      <c r="AI109" s="9">
        <v>10</v>
      </c>
      <c r="AJ109" s="9" t="s">
        <v>2563</v>
      </c>
      <c r="AK109" s="9">
        <v>2160</v>
      </c>
      <c r="AO109" s="9">
        <v>2609474</v>
      </c>
      <c r="AP109" s="11">
        <v>46254</v>
      </c>
      <c r="AR109" s="9" t="s">
        <v>2571</v>
      </c>
      <c r="AS109" s="9" t="s">
        <v>2632</v>
      </c>
      <c r="AT109" s="9" t="s">
        <v>2566</v>
      </c>
      <c r="AU109" s="9" t="s">
        <v>183</v>
      </c>
      <c r="AV109" s="14">
        <v>46272</v>
      </c>
      <c r="AW109" s="9">
        <v>2609474</v>
      </c>
      <c r="AX109" s="9" t="s">
        <v>3085</v>
      </c>
      <c r="AY109" s="9">
        <v>1</v>
      </c>
      <c r="AZ109" s="9" t="s">
        <v>3056</v>
      </c>
      <c r="BA109" s="11">
        <v>46262</v>
      </c>
      <c r="BB109" s="9">
        <v>306</v>
      </c>
      <c r="BC109" s="9" t="s">
        <v>3084</v>
      </c>
      <c r="BD109" s="9">
        <v>338318</v>
      </c>
      <c r="BE109" s="11">
        <v>46254</v>
      </c>
      <c r="BF109" s="9">
        <v>1680</v>
      </c>
      <c r="BG109" s="9">
        <v>1</v>
      </c>
      <c r="BH109" s="9" t="s">
        <v>3083</v>
      </c>
    </row>
    <row r="110" spans="1:61" x14ac:dyDescent="0.25">
      <c r="A110" s="9">
        <v>947</v>
      </c>
      <c r="B110" s="9" t="s">
        <v>2644</v>
      </c>
      <c r="C110" s="9" t="s">
        <v>2645</v>
      </c>
      <c r="D110" s="9">
        <v>947</v>
      </c>
      <c r="E110" s="9">
        <v>1453</v>
      </c>
      <c r="F110" s="9">
        <v>2026</v>
      </c>
      <c r="G110" s="9">
        <v>9470014532026</v>
      </c>
      <c r="H110" s="9">
        <v>62071100</v>
      </c>
      <c r="I110" s="9">
        <v>2020</v>
      </c>
      <c r="J110" s="9" t="s">
        <v>2848</v>
      </c>
      <c r="K110" s="9">
        <v>1</v>
      </c>
      <c r="L110" s="9" t="s">
        <v>2558</v>
      </c>
      <c r="M110" s="9">
        <v>4</v>
      </c>
      <c r="N110" s="9" t="s">
        <v>3087</v>
      </c>
      <c r="O110" s="10">
        <v>2558.92</v>
      </c>
      <c r="P110" s="9">
        <v>0</v>
      </c>
      <c r="Q110" s="10">
        <v>2558.92</v>
      </c>
      <c r="R110" s="9">
        <v>0</v>
      </c>
      <c r="S110" s="9">
        <v>0</v>
      </c>
      <c r="T110" s="9">
        <v>0</v>
      </c>
      <c r="V110" s="10">
        <v>2558.92</v>
      </c>
      <c r="W110" s="10">
        <v>2539.66</v>
      </c>
      <c r="X110" s="11">
        <v>46247</v>
      </c>
      <c r="Y110" s="9" t="s">
        <v>2564</v>
      </c>
      <c r="Z110" s="11">
        <v>46262</v>
      </c>
      <c r="AA110" s="11">
        <v>46275</v>
      </c>
      <c r="AB110" s="9" t="s">
        <v>2559</v>
      </c>
      <c r="AC110" s="9">
        <v>260326210686920</v>
      </c>
      <c r="AD110" s="9" t="s">
        <v>3086</v>
      </c>
      <c r="AE110" s="9" t="s">
        <v>3095</v>
      </c>
      <c r="AF110" s="9" t="s">
        <v>2653</v>
      </c>
      <c r="AG110" s="9" t="s">
        <v>2570</v>
      </c>
      <c r="AH110" s="9" t="s">
        <v>2570</v>
      </c>
      <c r="AI110" s="9">
        <v>10</v>
      </c>
      <c r="AJ110" s="9" t="s">
        <v>2563</v>
      </c>
      <c r="AK110" s="9">
        <v>3450</v>
      </c>
      <c r="AM110" s="9" t="s">
        <v>2654</v>
      </c>
      <c r="AN110" s="11">
        <v>46274</v>
      </c>
      <c r="AO110" s="9">
        <v>2609263</v>
      </c>
      <c r="AP110" s="11">
        <v>46247</v>
      </c>
      <c r="AR110" s="9" t="s">
        <v>2577</v>
      </c>
      <c r="AS110" s="9" t="s">
        <v>2565</v>
      </c>
      <c r="AT110" s="9" t="s">
        <v>2566</v>
      </c>
      <c r="AU110" s="9" t="s">
        <v>252</v>
      </c>
      <c r="AV110" s="14">
        <v>46272</v>
      </c>
      <c r="AW110" s="9">
        <v>2609263</v>
      </c>
      <c r="AX110" s="9" t="s">
        <v>3094</v>
      </c>
      <c r="AY110" s="9">
        <v>6</v>
      </c>
      <c r="AZ110" s="9" t="s">
        <v>2779</v>
      </c>
      <c r="BA110" s="11">
        <v>46262</v>
      </c>
      <c r="BB110" s="9">
        <v>306</v>
      </c>
      <c r="BC110" s="9" t="s">
        <v>3084</v>
      </c>
      <c r="BD110" s="9">
        <v>328130</v>
      </c>
      <c r="BE110" s="11">
        <v>46252</v>
      </c>
      <c r="BF110" s="9">
        <v>1680</v>
      </c>
      <c r="BG110" s="9">
        <v>1</v>
      </c>
      <c r="BH110" s="9" t="s">
        <v>3083</v>
      </c>
      <c r="BI110" s="9">
        <v>1</v>
      </c>
    </row>
    <row r="111" spans="1:61" x14ac:dyDescent="0.25">
      <c r="A111" s="9">
        <v>947</v>
      </c>
      <c r="B111" s="9" t="s">
        <v>2644</v>
      </c>
      <c r="C111" s="9" t="s">
        <v>2645</v>
      </c>
      <c r="D111" s="9">
        <v>947</v>
      </c>
      <c r="E111" s="9">
        <v>1455</v>
      </c>
      <c r="F111" s="9">
        <v>2026</v>
      </c>
      <c r="G111" s="9">
        <v>9470014552026</v>
      </c>
      <c r="H111" s="9">
        <v>62071100</v>
      </c>
      <c r="I111" s="9">
        <v>2000</v>
      </c>
      <c r="J111" s="9" t="s">
        <v>3092</v>
      </c>
      <c r="K111" s="9">
        <v>1</v>
      </c>
      <c r="L111" s="9" t="s">
        <v>2558</v>
      </c>
      <c r="M111" s="9">
        <v>4</v>
      </c>
      <c r="N111" s="9" t="s">
        <v>3087</v>
      </c>
      <c r="O111" s="10">
        <v>25233.200000000001</v>
      </c>
      <c r="P111" s="9">
        <v>0</v>
      </c>
      <c r="Q111" s="10">
        <v>25233.200000000001</v>
      </c>
      <c r="R111" s="9">
        <v>0</v>
      </c>
      <c r="S111" s="9">
        <v>0</v>
      </c>
      <c r="T111" s="9">
        <v>0</v>
      </c>
      <c r="V111" s="10">
        <v>25233.200000000001</v>
      </c>
      <c r="W111" s="10">
        <v>25043.25</v>
      </c>
      <c r="X111" s="11">
        <v>46247</v>
      </c>
      <c r="Y111" s="9" t="s">
        <v>2564</v>
      </c>
      <c r="Z111" s="11">
        <v>46262</v>
      </c>
      <c r="AA111" s="11">
        <v>46275</v>
      </c>
      <c r="AB111" s="9" t="s">
        <v>2559</v>
      </c>
      <c r="AC111" s="9">
        <v>260326210686920</v>
      </c>
      <c r="AD111" s="9" t="s">
        <v>3086</v>
      </c>
      <c r="AE111" s="9" t="s">
        <v>3095</v>
      </c>
      <c r="AF111" s="9" t="s">
        <v>2653</v>
      </c>
      <c r="AG111" s="9" t="s">
        <v>2570</v>
      </c>
      <c r="AH111" s="9" t="s">
        <v>2570</v>
      </c>
      <c r="AI111" s="9">
        <v>10</v>
      </c>
      <c r="AJ111" s="9" t="s">
        <v>2563</v>
      </c>
      <c r="AK111" s="9">
        <v>34020</v>
      </c>
      <c r="AM111" s="9" t="s">
        <v>2654</v>
      </c>
      <c r="AN111" s="11">
        <v>46274</v>
      </c>
      <c r="AO111" s="9">
        <v>2609265</v>
      </c>
      <c r="AP111" s="11">
        <v>46247</v>
      </c>
      <c r="AS111" s="9" t="s">
        <v>2565</v>
      </c>
      <c r="AT111" s="9" t="s">
        <v>2566</v>
      </c>
      <c r="AU111" s="9" t="s">
        <v>258</v>
      </c>
      <c r="AV111" s="14">
        <v>46272</v>
      </c>
      <c r="AW111" s="9">
        <v>2609265</v>
      </c>
      <c r="AX111" s="9" t="s">
        <v>3094</v>
      </c>
      <c r="AY111" s="9">
        <v>6</v>
      </c>
      <c r="AZ111" s="9" t="s">
        <v>2783</v>
      </c>
      <c r="BA111" s="11">
        <v>46262</v>
      </c>
      <c r="BB111" s="9">
        <v>306</v>
      </c>
      <c r="BC111" s="9" t="s">
        <v>3084</v>
      </c>
      <c r="BD111" s="9">
        <v>328135</v>
      </c>
      <c r="BE111" s="11">
        <v>46252</v>
      </c>
      <c r="BF111" s="9">
        <v>1680</v>
      </c>
      <c r="BG111" s="9">
        <v>1</v>
      </c>
      <c r="BH111" s="9" t="s">
        <v>3083</v>
      </c>
      <c r="BI111" s="9">
        <v>1</v>
      </c>
    </row>
    <row r="112" spans="1:61" x14ac:dyDescent="0.25">
      <c r="A112" s="9">
        <v>947</v>
      </c>
      <c r="B112" s="9" t="s">
        <v>2644</v>
      </c>
      <c r="C112" s="9" t="s">
        <v>2645</v>
      </c>
      <c r="D112" s="9">
        <v>947</v>
      </c>
      <c r="E112" s="9">
        <v>1457</v>
      </c>
      <c r="F112" s="9">
        <v>2026</v>
      </c>
      <c r="G112" s="9">
        <v>9470014572026</v>
      </c>
      <c r="H112" s="9">
        <v>62071100</v>
      </c>
      <c r="I112" s="9">
        <v>2020</v>
      </c>
      <c r="J112" s="9" t="s">
        <v>2848</v>
      </c>
      <c r="K112" s="9">
        <v>1</v>
      </c>
      <c r="L112" s="9" t="s">
        <v>2558</v>
      </c>
      <c r="M112" s="9">
        <v>4</v>
      </c>
      <c r="N112" s="9" t="s">
        <v>3087</v>
      </c>
      <c r="O112" s="10">
        <v>2358.66</v>
      </c>
      <c r="P112" s="9">
        <v>0</v>
      </c>
      <c r="Q112" s="10">
        <v>2358.66</v>
      </c>
      <c r="R112" s="9">
        <v>0</v>
      </c>
      <c r="S112" s="9">
        <v>0</v>
      </c>
      <c r="T112" s="9">
        <v>0</v>
      </c>
      <c r="V112" s="10">
        <v>2358.66</v>
      </c>
      <c r="W112" s="10">
        <v>2340.9</v>
      </c>
      <c r="X112" s="11">
        <v>46247</v>
      </c>
      <c r="Y112" s="9" t="s">
        <v>2564</v>
      </c>
      <c r="Z112" s="11">
        <v>46262</v>
      </c>
      <c r="AA112" s="11">
        <v>46275</v>
      </c>
      <c r="AB112" s="9" t="s">
        <v>2559</v>
      </c>
      <c r="AC112" s="9">
        <v>260326210686920</v>
      </c>
      <c r="AD112" s="9" t="s">
        <v>3086</v>
      </c>
      <c r="AE112" s="9" t="s">
        <v>3095</v>
      </c>
      <c r="AF112" s="9" t="s">
        <v>2653</v>
      </c>
      <c r="AG112" s="9" t="s">
        <v>2570</v>
      </c>
      <c r="AH112" s="9" t="s">
        <v>2570</v>
      </c>
      <c r="AI112" s="9">
        <v>10</v>
      </c>
      <c r="AJ112" s="9" t="s">
        <v>2563</v>
      </c>
      <c r="AK112" s="9">
        <v>3180</v>
      </c>
      <c r="AM112" s="9" t="s">
        <v>2654</v>
      </c>
      <c r="AN112" s="11">
        <v>46274</v>
      </c>
      <c r="AO112" s="9">
        <v>2609267</v>
      </c>
      <c r="AP112" s="11">
        <v>46247</v>
      </c>
      <c r="AS112" s="9" t="s">
        <v>2565</v>
      </c>
      <c r="AT112" s="9" t="s">
        <v>2566</v>
      </c>
      <c r="AU112" s="9" t="s">
        <v>262</v>
      </c>
      <c r="AV112" s="14">
        <v>46272</v>
      </c>
      <c r="AW112" s="9">
        <v>2609267</v>
      </c>
      <c r="AX112" s="9" t="s">
        <v>3094</v>
      </c>
      <c r="AY112" s="9">
        <v>6</v>
      </c>
      <c r="AZ112" s="9" t="s">
        <v>2787</v>
      </c>
      <c r="BA112" s="11">
        <v>46262</v>
      </c>
      <c r="BB112" s="9">
        <v>306</v>
      </c>
      <c r="BC112" s="9" t="s">
        <v>3084</v>
      </c>
      <c r="BD112" s="9">
        <v>328119</v>
      </c>
      <c r="BE112" s="11">
        <v>46252</v>
      </c>
      <c r="BF112" s="9">
        <v>1680</v>
      </c>
      <c r="BG112" s="9">
        <v>1</v>
      </c>
      <c r="BH112" s="9" t="s">
        <v>3083</v>
      </c>
      <c r="BI112" s="9">
        <v>1</v>
      </c>
    </row>
    <row r="113" spans="1:61" x14ac:dyDescent="0.25">
      <c r="A113" s="9">
        <v>947</v>
      </c>
      <c r="B113" s="9" t="s">
        <v>2644</v>
      </c>
      <c r="C113" s="9" t="s">
        <v>2645</v>
      </c>
      <c r="D113" s="9">
        <v>947</v>
      </c>
      <c r="E113" s="9">
        <v>1458</v>
      </c>
      <c r="F113" s="9">
        <v>2026</v>
      </c>
      <c r="G113" s="9">
        <v>9470014582026</v>
      </c>
      <c r="H113" s="9">
        <v>62071100</v>
      </c>
      <c r="I113" s="9">
        <v>2020</v>
      </c>
      <c r="J113" s="9" t="s">
        <v>2848</v>
      </c>
      <c r="K113" s="9">
        <v>1</v>
      </c>
      <c r="L113" s="9" t="s">
        <v>2558</v>
      </c>
      <c r="M113" s="9">
        <v>4</v>
      </c>
      <c r="N113" s="9" t="s">
        <v>3087</v>
      </c>
      <c r="O113" s="10">
        <v>10480.459999999999</v>
      </c>
      <c r="P113" s="9">
        <v>0</v>
      </c>
      <c r="Q113" s="10">
        <v>10480.459999999999</v>
      </c>
      <c r="R113" s="9">
        <v>0</v>
      </c>
      <c r="S113" s="9">
        <v>0</v>
      </c>
      <c r="T113" s="9">
        <v>0</v>
      </c>
      <c r="V113" s="10">
        <v>10480.459999999999</v>
      </c>
      <c r="W113" s="10">
        <v>10401.56</v>
      </c>
      <c r="X113" s="11">
        <v>46247</v>
      </c>
      <c r="Y113" s="9" t="s">
        <v>2564</v>
      </c>
      <c r="Z113" s="11">
        <v>46262</v>
      </c>
      <c r="AA113" s="11">
        <v>46275</v>
      </c>
      <c r="AB113" s="9" t="s">
        <v>2559</v>
      </c>
      <c r="AC113" s="9">
        <v>260326210686920</v>
      </c>
      <c r="AD113" s="9" t="s">
        <v>3086</v>
      </c>
      <c r="AE113" s="9" t="s">
        <v>3095</v>
      </c>
      <c r="AF113" s="9" t="s">
        <v>2653</v>
      </c>
      <c r="AG113" s="9" t="s">
        <v>2570</v>
      </c>
      <c r="AH113" s="9" t="s">
        <v>2570</v>
      </c>
      <c r="AI113" s="9">
        <v>10</v>
      </c>
      <c r="AJ113" s="9" t="s">
        <v>2563</v>
      </c>
      <c r="AK113" s="9">
        <v>14130</v>
      </c>
      <c r="AM113" s="9" t="s">
        <v>2654</v>
      </c>
      <c r="AN113" s="11">
        <v>46274</v>
      </c>
      <c r="AO113" s="9">
        <v>2609268</v>
      </c>
      <c r="AP113" s="11">
        <v>46247</v>
      </c>
      <c r="AR113" s="9" t="s">
        <v>2577</v>
      </c>
      <c r="AS113" s="9" t="s">
        <v>2565</v>
      </c>
      <c r="AT113" s="9" t="s">
        <v>2566</v>
      </c>
      <c r="AU113" s="9" t="s">
        <v>252</v>
      </c>
      <c r="AV113" s="14">
        <v>46272</v>
      </c>
      <c r="AW113" s="9">
        <v>2609268</v>
      </c>
      <c r="AX113" s="9" t="s">
        <v>3094</v>
      </c>
      <c r="AY113" s="9">
        <v>6</v>
      </c>
      <c r="AZ113" s="9" t="s">
        <v>2789</v>
      </c>
      <c r="BA113" s="11">
        <v>46262</v>
      </c>
      <c r="BB113" s="9">
        <v>306</v>
      </c>
      <c r="BC113" s="9" t="s">
        <v>3084</v>
      </c>
      <c r="BD113" s="9">
        <v>328115</v>
      </c>
      <c r="BE113" s="11">
        <v>46252</v>
      </c>
      <c r="BF113" s="9">
        <v>1680</v>
      </c>
      <c r="BG113" s="9">
        <v>1</v>
      </c>
      <c r="BH113" s="9" t="s">
        <v>3083</v>
      </c>
      <c r="BI113" s="9">
        <v>1</v>
      </c>
    </row>
    <row r="114" spans="1:61" x14ac:dyDescent="0.25">
      <c r="A114" s="9">
        <v>1880</v>
      </c>
      <c r="B114" s="9" t="s">
        <v>2916</v>
      </c>
      <c r="C114" s="9" t="s">
        <v>2557</v>
      </c>
      <c r="D114" s="9">
        <v>1880</v>
      </c>
      <c r="E114" s="9">
        <v>1591</v>
      </c>
      <c r="F114" s="9">
        <v>2026</v>
      </c>
      <c r="G114" s="9">
        <v>18800015912026</v>
      </c>
      <c r="H114" s="9">
        <v>62063000</v>
      </c>
      <c r="I114" s="9">
        <v>2016</v>
      </c>
      <c r="J114" s="9" t="s">
        <v>2851</v>
      </c>
      <c r="K114" s="9">
        <v>1</v>
      </c>
      <c r="L114" s="9" t="s">
        <v>2558</v>
      </c>
      <c r="M114" s="9">
        <v>4</v>
      </c>
      <c r="N114" s="9" t="s">
        <v>3087</v>
      </c>
      <c r="O114" s="10">
        <v>8357.0400000000009</v>
      </c>
      <c r="Q114" s="10">
        <v>8357.0400000000009</v>
      </c>
      <c r="R114" s="9">
        <v>0</v>
      </c>
      <c r="S114" s="9">
        <v>0</v>
      </c>
      <c r="T114" s="9">
        <v>0</v>
      </c>
      <c r="V114" s="10">
        <v>8357.0400000000009</v>
      </c>
      <c r="W114" s="10">
        <v>8150.9</v>
      </c>
      <c r="X114" s="11">
        <v>46253</v>
      </c>
      <c r="Y114" s="9" t="s">
        <v>2564</v>
      </c>
      <c r="Z114" s="11">
        <v>46262</v>
      </c>
      <c r="AA114" s="11">
        <v>46287</v>
      </c>
      <c r="AB114" s="9" t="s">
        <v>2559</v>
      </c>
      <c r="AC114" s="9">
        <v>260326210686920</v>
      </c>
      <c r="AD114" s="9" t="s">
        <v>3086</v>
      </c>
      <c r="AE114" s="9" t="s">
        <v>200</v>
      </c>
      <c r="AF114" s="9" t="s">
        <v>2919</v>
      </c>
      <c r="AG114" s="9" t="s">
        <v>2570</v>
      </c>
      <c r="AH114" s="9" t="s">
        <v>2570</v>
      </c>
      <c r="AI114" s="9">
        <v>10</v>
      </c>
      <c r="AJ114" s="9" t="s">
        <v>2563</v>
      </c>
      <c r="AK114" s="9">
        <v>1908</v>
      </c>
      <c r="AM114" s="9" t="s">
        <v>2928</v>
      </c>
      <c r="AN114" s="11">
        <v>46286</v>
      </c>
      <c r="AO114" s="9">
        <v>2609462</v>
      </c>
      <c r="AP114" s="11">
        <v>46253</v>
      </c>
      <c r="AR114" s="9" t="s">
        <v>2571</v>
      </c>
      <c r="AS114" s="9" t="s">
        <v>2632</v>
      </c>
      <c r="AT114" s="9" t="s">
        <v>2566</v>
      </c>
      <c r="AV114" s="14">
        <v>46272</v>
      </c>
      <c r="AX114" s="9" t="s">
        <v>3085</v>
      </c>
      <c r="AY114" s="9">
        <v>1</v>
      </c>
      <c r="AZ114" s="9" t="s">
        <v>2941</v>
      </c>
      <c r="BA114" s="11">
        <v>46262</v>
      </c>
      <c r="BB114" s="9">
        <v>306</v>
      </c>
      <c r="BC114" s="9" t="s">
        <v>3084</v>
      </c>
      <c r="BD114" s="9">
        <v>338301</v>
      </c>
      <c r="BE114" s="11">
        <v>46254</v>
      </c>
      <c r="BF114" s="9">
        <v>1680</v>
      </c>
      <c r="BG114" s="9">
        <v>1</v>
      </c>
      <c r="BH114" s="9" t="s">
        <v>3083</v>
      </c>
    </row>
    <row r="115" spans="1:61" x14ac:dyDescent="0.25">
      <c r="A115" s="9">
        <v>1880</v>
      </c>
      <c r="B115" s="9" t="s">
        <v>2916</v>
      </c>
      <c r="C115" s="9" t="s">
        <v>2557</v>
      </c>
      <c r="D115" s="9">
        <v>1880</v>
      </c>
      <c r="E115" s="9">
        <v>1571</v>
      </c>
      <c r="F115" s="9">
        <v>2026</v>
      </c>
      <c r="G115" s="9">
        <v>18800015712026</v>
      </c>
      <c r="H115" s="9">
        <v>62063000</v>
      </c>
      <c r="I115" s="9">
        <v>2016</v>
      </c>
      <c r="J115" s="9" t="s">
        <v>2851</v>
      </c>
      <c r="K115" s="9">
        <v>1</v>
      </c>
      <c r="L115" s="9" t="s">
        <v>2558</v>
      </c>
      <c r="M115" s="9">
        <v>4</v>
      </c>
      <c r="N115" s="9" t="s">
        <v>3087</v>
      </c>
      <c r="O115" s="10">
        <v>27021.599999999999</v>
      </c>
      <c r="P115" s="9">
        <v>0</v>
      </c>
      <c r="Q115" s="10">
        <v>27021.599999999999</v>
      </c>
      <c r="R115" s="9">
        <v>0</v>
      </c>
      <c r="S115" s="9">
        <v>0</v>
      </c>
      <c r="T115" s="9">
        <v>0</v>
      </c>
      <c r="V115" s="10">
        <v>27021.599999999999</v>
      </c>
      <c r="W115" s="10">
        <v>26355.08</v>
      </c>
      <c r="X115" s="11">
        <v>46252</v>
      </c>
      <c r="Y115" s="9" t="s">
        <v>2564</v>
      </c>
      <c r="Z115" s="11">
        <v>46262</v>
      </c>
      <c r="AA115" s="11">
        <v>46287</v>
      </c>
      <c r="AB115" s="9" t="s">
        <v>2559</v>
      </c>
      <c r="AC115" s="9">
        <v>260326210686920</v>
      </c>
      <c r="AD115" s="9" t="s">
        <v>3086</v>
      </c>
      <c r="AE115" s="9" t="s">
        <v>200</v>
      </c>
      <c r="AF115" s="9" t="s">
        <v>2919</v>
      </c>
      <c r="AG115" s="9" t="s">
        <v>2570</v>
      </c>
      <c r="AH115" s="9" t="s">
        <v>2570</v>
      </c>
      <c r="AI115" s="9">
        <v>10</v>
      </c>
      <c r="AJ115" s="9" t="s">
        <v>2563</v>
      </c>
      <c r="AK115" s="9">
        <v>6672</v>
      </c>
      <c r="AM115" s="9" t="s">
        <v>2928</v>
      </c>
      <c r="AN115" s="11">
        <v>46286</v>
      </c>
      <c r="AO115" s="9">
        <v>2609423</v>
      </c>
      <c r="AP115" s="11">
        <v>46251</v>
      </c>
      <c r="AR115" s="9" t="s">
        <v>2571</v>
      </c>
      <c r="AS115" s="9" t="s">
        <v>2632</v>
      </c>
      <c r="AT115" s="9" t="s">
        <v>2566</v>
      </c>
      <c r="AU115" s="9" t="s">
        <v>183</v>
      </c>
      <c r="AV115" s="14">
        <v>46272</v>
      </c>
      <c r="AW115" s="9">
        <v>2609423</v>
      </c>
      <c r="AX115" s="9" t="s">
        <v>3085</v>
      </c>
      <c r="AY115" s="9">
        <v>1</v>
      </c>
      <c r="AZ115" s="9" t="s">
        <v>2943</v>
      </c>
      <c r="BA115" s="11">
        <v>46262</v>
      </c>
      <c r="BB115" s="9">
        <v>306</v>
      </c>
      <c r="BC115" s="9" t="s">
        <v>3084</v>
      </c>
      <c r="BD115" s="9">
        <v>330844</v>
      </c>
      <c r="BE115" s="11">
        <v>46252</v>
      </c>
      <c r="BF115" s="9">
        <v>1680</v>
      </c>
      <c r="BG115" s="9">
        <v>1</v>
      </c>
      <c r="BH115" s="9" t="s">
        <v>3083</v>
      </c>
    </row>
    <row r="116" spans="1:61" x14ac:dyDescent="0.25">
      <c r="A116" s="9">
        <v>1949</v>
      </c>
      <c r="B116" s="9" t="s">
        <v>2556</v>
      </c>
      <c r="C116" s="9" t="s">
        <v>2557</v>
      </c>
      <c r="D116" s="9">
        <v>1949</v>
      </c>
      <c r="E116" s="9">
        <v>1809</v>
      </c>
      <c r="F116" s="9">
        <v>2026</v>
      </c>
      <c r="G116" s="9">
        <v>19490018092026</v>
      </c>
      <c r="H116" s="9">
        <v>62063000</v>
      </c>
      <c r="I116" s="9">
        <v>2016</v>
      </c>
      <c r="J116" s="9" t="s">
        <v>2851</v>
      </c>
      <c r="K116" s="9">
        <v>1</v>
      </c>
      <c r="L116" s="9" t="s">
        <v>2558</v>
      </c>
      <c r="M116" s="9">
        <v>4</v>
      </c>
      <c r="N116" s="9" t="s">
        <v>3087</v>
      </c>
      <c r="O116" s="10">
        <v>1473.9</v>
      </c>
      <c r="P116" s="9">
        <v>0</v>
      </c>
      <c r="Q116" s="10">
        <v>1473.9</v>
      </c>
      <c r="R116" s="9">
        <v>0</v>
      </c>
      <c r="S116" s="9">
        <v>0</v>
      </c>
      <c r="T116" s="9">
        <v>0</v>
      </c>
      <c r="V116" s="10">
        <v>1473.9</v>
      </c>
      <c r="W116" s="10">
        <v>1437.52</v>
      </c>
      <c r="X116" s="11">
        <v>46252</v>
      </c>
      <c r="Y116" s="9" t="s">
        <v>2564</v>
      </c>
      <c r="Z116" s="11">
        <v>46262</v>
      </c>
      <c r="AA116" s="11">
        <v>46287</v>
      </c>
      <c r="AB116" s="9" t="s">
        <v>2559</v>
      </c>
      <c r="AC116" s="9">
        <v>260326210686920</v>
      </c>
      <c r="AD116" s="9" t="s">
        <v>3086</v>
      </c>
      <c r="AE116" s="9" t="s">
        <v>3097</v>
      </c>
      <c r="AF116" s="9" t="s">
        <v>2569</v>
      </c>
      <c r="AG116" s="9" t="s">
        <v>2570</v>
      </c>
      <c r="AH116" s="9" t="s">
        <v>2570</v>
      </c>
      <c r="AI116" s="9">
        <v>10</v>
      </c>
      <c r="AJ116" s="9" t="s">
        <v>2563</v>
      </c>
      <c r="AK116" s="9">
        <v>578</v>
      </c>
      <c r="AM116" s="9" t="s">
        <v>2625</v>
      </c>
      <c r="AN116" s="11">
        <v>46286</v>
      </c>
      <c r="AO116" s="9">
        <v>2609429</v>
      </c>
      <c r="AP116" s="11">
        <v>46252</v>
      </c>
      <c r="AR116" s="9" t="s">
        <v>2571</v>
      </c>
      <c r="AS116" s="9" t="s">
        <v>2632</v>
      </c>
      <c r="AT116" s="9" t="s">
        <v>2566</v>
      </c>
      <c r="AU116" s="9" t="s">
        <v>183</v>
      </c>
      <c r="AV116" s="14">
        <v>46272</v>
      </c>
      <c r="AW116" s="9">
        <v>2609429</v>
      </c>
      <c r="AX116" s="9" t="s">
        <v>3085</v>
      </c>
      <c r="AY116" s="9">
        <v>1</v>
      </c>
      <c r="AZ116" s="9" t="s">
        <v>2633</v>
      </c>
      <c r="BA116" s="11">
        <v>46262</v>
      </c>
      <c r="BB116" s="9">
        <v>306</v>
      </c>
      <c r="BC116" s="9" t="s">
        <v>3084</v>
      </c>
      <c r="BD116" s="9">
        <v>330851</v>
      </c>
      <c r="BE116" s="11">
        <v>46252</v>
      </c>
      <c r="BF116" s="9">
        <v>1680</v>
      </c>
      <c r="BG116" s="9">
        <v>1</v>
      </c>
      <c r="BH116" s="9" t="s">
        <v>3083</v>
      </c>
    </row>
    <row r="117" spans="1:61" x14ac:dyDescent="0.25">
      <c r="A117" s="9">
        <v>1880</v>
      </c>
      <c r="B117" s="9" t="s">
        <v>2916</v>
      </c>
      <c r="C117" s="9" t="s">
        <v>2557</v>
      </c>
      <c r="D117" s="9">
        <v>1880</v>
      </c>
      <c r="E117" s="9">
        <v>1572</v>
      </c>
      <c r="F117" s="9">
        <v>2026</v>
      </c>
      <c r="G117" s="9">
        <v>18800015722026</v>
      </c>
      <c r="H117" s="9">
        <v>62052000</v>
      </c>
      <c r="I117" s="9">
        <v>2016</v>
      </c>
      <c r="J117" s="9" t="s">
        <v>2851</v>
      </c>
      <c r="K117" s="9">
        <v>1</v>
      </c>
      <c r="L117" s="9" t="s">
        <v>2558</v>
      </c>
      <c r="M117" s="9">
        <v>4</v>
      </c>
      <c r="N117" s="9" t="s">
        <v>3087</v>
      </c>
      <c r="O117" s="10">
        <v>6045</v>
      </c>
      <c r="P117" s="9">
        <v>0</v>
      </c>
      <c r="Q117" s="10">
        <v>6045</v>
      </c>
      <c r="R117" s="9">
        <v>0</v>
      </c>
      <c r="S117" s="9">
        <v>0</v>
      </c>
      <c r="T117" s="9">
        <v>0</v>
      </c>
      <c r="V117" s="10">
        <v>6045</v>
      </c>
      <c r="W117" s="10">
        <v>5895.89</v>
      </c>
      <c r="X117" s="11">
        <v>46252</v>
      </c>
      <c r="Y117" s="9" t="s">
        <v>2564</v>
      </c>
      <c r="Z117" s="11">
        <v>46262</v>
      </c>
      <c r="AA117" s="11">
        <v>46287</v>
      </c>
      <c r="AB117" s="9" t="s">
        <v>2559</v>
      </c>
      <c r="AC117" s="9">
        <v>260326210686920</v>
      </c>
      <c r="AD117" s="9" t="s">
        <v>3086</v>
      </c>
      <c r="AE117" s="9" t="s">
        <v>200</v>
      </c>
      <c r="AF117" s="9" t="s">
        <v>2919</v>
      </c>
      <c r="AG117" s="9" t="s">
        <v>2570</v>
      </c>
      <c r="AH117" s="9" t="s">
        <v>2570</v>
      </c>
      <c r="AI117" s="9">
        <v>10</v>
      </c>
      <c r="AJ117" s="9" t="s">
        <v>2563</v>
      </c>
      <c r="AK117" s="9">
        <v>1950</v>
      </c>
      <c r="AM117" s="9" t="s">
        <v>2928</v>
      </c>
      <c r="AN117" s="11">
        <v>46286</v>
      </c>
      <c r="AO117" s="9">
        <v>2609430</v>
      </c>
      <c r="AP117" s="11">
        <v>46252</v>
      </c>
      <c r="AR117" s="9" t="s">
        <v>2571</v>
      </c>
      <c r="AS117" s="9" t="s">
        <v>2632</v>
      </c>
      <c r="AT117" s="9" t="s">
        <v>2566</v>
      </c>
      <c r="AU117" s="9" t="s">
        <v>183</v>
      </c>
      <c r="AV117" s="14">
        <v>46272</v>
      </c>
      <c r="AW117" s="9">
        <v>2609430</v>
      </c>
      <c r="AX117" s="9" t="s">
        <v>3085</v>
      </c>
      <c r="AY117" s="9">
        <v>1</v>
      </c>
      <c r="AZ117" s="9" t="s">
        <v>2945</v>
      </c>
      <c r="BA117" s="11">
        <v>46262</v>
      </c>
      <c r="BB117" s="9">
        <v>306</v>
      </c>
      <c r="BC117" s="9" t="s">
        <v>3084</v>
      </c>
      <c r="BD117" s="9">
        <v>330858</v>
      </c>
      <c r="BE117" s="11">
        <v>46252</v>
      </c>
      <c r="BF117" s="9">
        <v>1680</v>
      </c>
      <c r="BG117" s="9">
        <v>1</v>
      </c>
      <c r="BH117" s="9" t="s">
        <v>3083</v>
      </c>
    </row>
    <row r="118" spans="1:61" x14ac:dyDescent="0.25">
      <c r="A118" s="9">
        <v>1949</v>
      </c>
      <c r="B118" s="9" t="s">
        <v>2556</v>
      </c>
      <c r="C118" s="9" t="s">
        <v>2557</v>
      </c>
      <c r="D118" s="9">
        <v>1949</v>
      </c>
      <c r="E118" s="9">
        <v>1810</v>
      </c>
      <c r="F118" s="9">
        <v>2026</v>
      </c>
      <c r="G118" s="9">
        <v>19490018102026</v>
      </c>
      <c r="H118" s="9">
        <v>62082100</v>
      </c>
      <c r="I118" s="9">
        <v>2016</v>
      </c>
      <c r="J118" s="9" t="s">
        <v>2851</v>
      </c>
      <c r="K118" s="9">
        <v>1</v>
      </c>
      <c r="L118" s="9" t="s">
        <v>2558</v>
      </c>
      <c r="M118" s="9">
        <v>4</v>
      </c>
      <c r="N118" s="9" t="s">
        <v>3087</v>
      </c>
      <c r="O118" s="10">
        <v>6998.53</v>
      </c>
      <c r="P118" s="9">
        <v>0</v>
      </c>
      <c r="Q118" s="10">
        <v>6998.53</v>
      </c>
      <c r="R118" s="9">
        <v>0</v>
      </c>
      <c r="S118" s="9">
        <v>0</v>
      </c>
      <c r="T118" s="9">
        <v>0</v>
      </c>
      <c r="V118" s="10">
        <v>6998.53</v>
      </c>
      <c r="W118" s="10">
        <v>6825.77</v>
      </c>
      <c r="X118" s="11">
        <v>46252</v>
      </c>
      <c r="Y118" s="9" t="s">
        <v>2564</v>
      </c>
      <c r="Z118" s="11">
        <v>46262</v>
      </c>
      <c r="AA118" s="11">
        <v>46287</v>
      </c>
      <c r="AB118" s="9" t="s">
        <v>2559</v>
      </c>
      <c r="AC118" s="9">
        <v>260326210686920</v>
      </c>
      <c r="AD118" s="9" t="s">
        <v>3086</v>
      </c>
      <c r="AE118" s="9" t="s">
        <v>3097</v>
      </c>
      <c r="AF118" s="9" t="s">
        <v>2569</v>
      </c>
      <c r="AG118" s="9" t="s">
        <v>2570</v>
      </c>
      <c r="AH118" s="9" t="s">
        <v>2570</v>
      </c>
      <c r="AI118" s="9">
        <v>10</v>
      </c>
      <c r="AJ118" s="9" t="s">
        <v>2563</v>
      </c>
      <c r="AK118" s="9">
        <v>1639</v>
      </c>
      <c r="AM118" s="9" t="s">
        <v>2625</v>
      </c>
      <c r="AN118" s="11">
        <v>46286</v>
      </c>
      <c r="AO118" s="9">
        <v>2609431</v>
      </c>
      <c r="AP118" s="11">
        <v>46252</v>
      </c>
      <c r="AR118" s="9" t="s">
        <v>2577</v>
      </c>
      <c r="AS118" s="9" t="s">
        <v>2632</v>
      </c>
      <c r="AT118" s="9" t="s">
        <v>2566</v>
      </c>
      <c r="AU118" s="9" t="s">
        <v>183</v>
      </c>
      <c r="AV118" s="14">
        <v>46272</v>
      </c>
      <c r="AW118" s="9">
        <v>2609431</v>
      </c>
      <c r="AX118" s="9" t="s">
        <v>3085</v>
      </c>
      <c r="AY118" s="9">
        <v>1</v>
      </c>
      <c r="AZ118" s="9" t="s">
        <v>2635</v>
      </c>
      <c r="BA118" s="11">
        <v>46262</v>
      </c>
      <c r="BB118" s="9">
        <v>306</v>
      </c>
      <c r="BC118" s="9" t="s">
        <v>3084</v>
      </c>
      <c r="BD118" s="9">
        <v>330847</v>
      </c>
      <c r="BE118" s="11">
        <v>46252</v>
      </c>
      <c r="BF118" s="9">
        <v>1680</v>
      </c>
      <c r="BG118" s="9">
        <v>1</v>
      </c>
      <c r="BH118" s="9" t="s">
        <v>3083</v>
      </c>
    </row>
    <row r="119" spans="1:61" x14ac:dyDescent="0.25">
      <c r="A119" s="9">
        <v>1949</v>
      </c>
      <c r="B119" s="9" t="s">
        <v>2556</v>
      </c>
      <c r="C119" s="9" t="s">
        <v>2557</v>
      </c>
      <c r="D119" s="9">
        <v>1949</v>
      </c>
      <c r="E119" s="9">
        <v>1811</v>
      </c>
      <c r="F119" s="9">
        <v>2026</v>
      </c>
      <c r="G119" s="9">
        <v>19490018112026</v>
      </c>
      <c r="H119" s="9">
        <v>62063000</v>
      </c>
      <c r="I119" s="9">
        <v>2016</v>
      </c>
      <c r="J119" s="9" t="s">
        <v>2851</v>
      </c>
      <c r="K119" s="9">
        <v>1</v>
      </c>
      <c r="L119" s="9" t="s">
        <v>2558</v>
      </c>
      <c r="M119" s="9">
        <v>4</v>
      </c>
      <c r="N119" s="9" t="s">
        <v>3087</v>
      </c>
      <c r="O119" s="10">
        <v>1208.7</v>
      </c>
      <c r="P119" s="9">
        <v>0</v>
      </c>
      <c r="Q119" s="10">
        <v>1208.7</v>
      </c>
      <c r="R119" s="9">
        <v>0</v>
      </c>
      <c r="S119" s="9">
        <v>0</v>
      </c>
      <c r="T119" s="9">
        <v>0</v>
      </c>
      <c r="V119" s="10">
        <v>1208.7</v>
      </c>
      <c r="W119" s="10">
        <v>1178.8599999999999</v>
      </c>
      <c r="X119" s="11">
        <v>46252</v>
      </c>
      <c r="Y119" s="9" t="s">
        <v>2564</v>
      </c>
      <c r="Z119" s="11">
        <v>46262</v>
      </c>
      <c r="AA119" s="11">
        <v>46287</v>
      </c>
      <c r="AB119" s="9" t="s">
        <v>2559</v>
      </c>
      <c r="AC119" s="9">
        <v>260326210686920</v>
      </c>
      <c r="AD119" s="9" t="s">
        <v>3086</v>
      </c>
      <c r="AE119" s="9" t="s">
        <v>3097</v>
      </c>
      <c r="AF119" s="9" t="s">
        <v>2569</v>
      </c>
      <c r="AG119" s="9" t="s">
        <v>2570</v>
      </c>
      <c r="AH119" s="9" t="s">
        <v>2570</v>
      </c>
      <c r="AI119" s="9">
        <v>10</v>
      </c>
      <c r="AJ119" s="9" t="s">
        <v>2563</v>
      </c>
      <c r="AK119" s="9">
        <v>474</v>
      </c>
      <c r="AM119" s="9" t="s">
        <v>2625</v>
      </c>
      <c r="AN119" s="11">
        <v>46286</v>
      </c>
      <c r="AO119" s="9">
        <v>2609437</v>
      </c>
      <c r="AP119" s="11">
        <v>46252</v>
      </c>
      <c r="AR119" s="9" t="s">
        <v>2571</v>
      </c>
      <c r="AS119" s="9" t="s">
        <v>2637</v>
      </c>
      <c r="AT119" s="9" t="s">
        <v>2566</v>
      </c>
      <c r="AU119" s="9" t="s">
        <v>183</v>
      </c>
      <c r="AV119" s="14">
        <v>46272</v>
      </c>
      <c r="AW119" s="9">
        <v>2609437</v>
      </c>
      <c r="AX119" s="9" t="s">
        <v>3085</v>
      </c>
      <c r="AY119" s="9">
        <v>1</v>
      </c>
      <c r="AZ119" s="9" t="s">
        <v>2638</v>
      </c>
      <c r="BA119" s="11">
        <v>46262</v>
      </c>
      <c r="BB119" s="9">
        <v>306</v>
      </c>
      <c r="BC119" s="9" t="s">
        <v>3084</v>
      </c>
      <c r="BD119" s="9">
        <v>330855</v>
      </c>
      <c r="BE119" s="11">
        <v>46252</v>
      </c>
      <c r="BF119" s="9">
        <v>1680</v>
      </c>
      <c r="BG119" s="9">
        <v>1</v>
      </c>
      <c r="BH119" s="9" t="s">
        <v>3083</v>
      </c>
    </row>
    <row r="120" spans="1:61" x14ac:dyDescent="0.25">
      <c r="A120" s="9">
        <v>1880</v>
      </c>
      <c r="B120" s="9" t="s">
        <v>2916</v>
      </c>
      <c r="C120" s="9" t="s">
        <v>2557</v>
      </c>
      <c r="D120" s="9">
        <v>1880</v>
      </c>
      <c r="E120" s="9">
        <v>1652</v>
      </c>
      <c r="F120" s="9">
        <v>2026</v>
      </c>
      <c r="G120" s="9">
        <v>18800016522026</v>
      </c>
      <c r="H120" s="9">
        <v>62063000</v>
      </c>
      <c r="I120" s="9">
        <v>2016</v>
      </c>
      <c r="J120" s="9" t="s">
        <v>2851</v>
      </c>
      <c r="K120" s="9">
        <v>1</v>
      </c>
      <c r="L120" s="9" t="s">
        <v>2558</v>
      </c>
      <c r="M120" s="9">
        <v>4</v>
      </c>
      <c r="N120" s="9" t="s">
        <v>3087</v>
      </c>
      <c r="O120" s="10">
        <v>21240.36</v>
      </c>
      <c r="P120" s="9">
        <v>0</v>
      </c>
      <c r="Q120" s="10">
        <v>21240.36</v>
      </c>
      <c r="R120" s="9">
        <v>0</v>
      </c>
      <c r="S120" s="9">
        <v>0</v>
      </c>
      <c r="T120" s="9">
        <v>0</v>
      </c>
      <c r="V120" s="10">
        <v>21240.36</v>
      </c>
      <c r="W120" s="10">
        <v>20716.45</v>
      </c>
      <c r="X120" s="11">
        <v>46261</v>
      </c>
      <c r="Y120" s="9" t="s">
        <v>2564</v>
      </c>
      <c r="Z120" s="11">
        <v>46263</v>
      </c>
      <c r="AA120" s="11">
        <v>46287</v>
      </c>
      <c r="AB120" s="9" t="s">
        <v>2559</v>
      </c>
      <c r="AC120" s="9">
        <v>260326210686920</v>
      </c>
      <c r="AD120" s="9" t="s">
        <v>3086</v>
      </c>
      <c r="AE120" s="9" t="s">
        <v>200</v>
      </c>
      <c r="AF120" s="9" t="s">
        <v>2919</v>
      </c>
      <c r="AG120" s="9" t="s">
        <v>2570</v>
      </c>
      <c r="AH120" s="9" t="s">
        <v>2570</v>
      </c>
      <c r="AI120" s="9">
        <v>10</v>
      </c>
      <c r="AJ120" s="9" t="s">
        <v>2563</v>
      </c>
      <c r="AK120" s="9">
        <v>5112</v>
      </c>
      <c r="AM120" s="9" t="s">
        <v>2928</v>
      </c>
      <c r="AN120" s="11">
        <v>46286</v>
      </c>
      <c r="AO120" s="9">
        <v>2609775</v>
      </c>
      <c r="AP120" s="11">
        <v>46261</v>
      </c>
      <c r="AR120" s="9" t="s">
        <v>2571</v>
      </c>
      <c r="AS120" s="9" t="s">
        <v>2565</v>
      </c>
      <c r="AT120" s="9" t="s">
        <v>2566</v>
      </c>
      <c r="AU120" s="9" t="s">
        <v>183</v>
      </c>
      <c r="AV120" s="14">
        <v>46272</v>
      </c>
      <c r="AW120" s="9">
        <v>2609775</v>
      </c>
      <c r="AX120" s="9" t="s">
        <v>3085</v>
      </c>
      <c r="AY120" s="9">
        <v>1</v>
      </c>
      <c r="AZ120" s="9" t="s">
        <v>2980</v>
      </c>
      <c r="BA120" s="11">
        <v>46294</v>
      </c>
      <c r="BB120" s="9">
        <v>306</v>
      </c>
      <c r="BC120" s="9" t="s">
        <v>3084</v>
      </c>
      <c r="BD120" s="9">
        <v>370204</v>
      </c>
      <c r="BE120" s="11">
        <v>46261</v>
      </c>
      <c r="BF120" s="9">
        <v>1680</v>
      </c>
      <c r="BG120" s="9">
        <v>1</v>
      </c>
      <c r="BH120" s="9" t="s">
        <v>3083</v>
      </c>
    </row>
    <row r="121" spans="1:61" x14ac:dyDescent="0.25">
      <c r="A121" s="9">
        <v>947</v>
      </c>
      <c r="B121" s="9" t="s">
        <v>2644</v>
      </c>
      <c r="C121" s="9" t="s">
        <v>2645</v>
      </c>
      <c r="D121" s="9">
        <v>947</v>
      </c>
      <c r="E121" s="9">
        <v>1347</v>
      </c>
      <c r="F121" s="9">
        <v>2026</v>
      </c>
      <c r="G121" s="9">
        <v>9470013472026</v>
      </c>
      <c r="H121" s="9">
        <v>62071100</v>
      </c>
      <c r="I121" s="9">
        <v>0</v>
      </c>
      <c r="J121" s="9" t="s">
        <v>3098</v>
      </c>
      <c r="K121" s="9">
        <v>1</v>
      </c>
      <c r="L121" s="9" t="s">
        <v>2558</v>
      </c>
      <c r="M121" s="9">
        <v>4</v>
      </c>
      <c r="N121" s="9" t="s">
        <v>3087</v>
      </c>
      <c r="O121" s="10">
        <v>1850.79</v>
      </c>
      <c r="P121" s="9">
        <v>0</v>
      </c>
      <c r="Q121" s="10">
        <v>1850.79</v>
      </c>
      <c r="R121" s="9">
        <v>0</v>
      </c>
      <c r="S121" s="9">
        <v>0</v>
      </c>
      <c r="T121" s="9">
        <v>0</v>
      </c>
      <c r="V121" s="10">
        <v>1850.79</v>
      </c>
      <c r="W121" s="10">
        <v>1836.86</v>
      </c>
      <c r="X121" s="11">
        <v>46231</v>
      </c>
      <c r="Y121" s="9" t="s">
        <v>2564</v>
      </c>
      <c r="Z121" s="11">
        <v>46263</v>
      </c>
      <c r="AA121" s="11">
        <v>46275</v>
      </c>
      <c r="AB121" s="9" t="s">
        <v>2559</v>
      </c>
      <c r="AC121" s="9">
        <v>260326210686920</v>
      </c>
      <c r="AD121" s="9" t="s">
        <v>3086</v>
      </c>
      <c r="AE121" s="9" t="s">
        <v>3095</v>
      </c>
      <c r="AF121" s="9" t="s">
        <v>2653</v>
      </c>
      <c r="AG121" s="9" t="s">
        <v>2570</v>
      </c>
      <c r="AH121" s="9" t="s">
        <v>2570</v>
      </c>
      <c r="AI121" s="9">
        <v>10</v>
      </c>
      <c r="AJ121" s="9" t="s">
        <v>2563</v>
      </c>
      <c r="AK121" s="9">
        <v>3800</v>
      </c>
      <c r="AM121" s="9" t="s">
        <v>2654</v>
      </c>
      <c r="AN121" s="11">
        <v>46274</v>
      </c>
      <c r="AO121" s="9">
        <v>2608647</v>
      </c>
      <c r="AP121" s="11">
        <v>46230</v>
      </c>
      <c r="AS121" s="9" t="s">
        <v>2565</v>
      </c>
      <c r="AT121" s="9" t="s">
        <v>2566</v>
      </c>
      <c r="AU121" s="9" t="s">
        <v>269</v>
      </c>
      <c r="AV121" s="14">
        <v>46272</v>
      </c>
      <c r="AW121" s="9">
        <v>2608647</v>
      </c>
      <c r="AX121" s="9" t="s">
        <v>3094</v>
      </c>
      <c r="AY121" s="9">
        <v>6</v>
      </c>
      <c r="AZ121" s="9" t="s">
        <v>3112</v>
      </c>
      <c r="BA121" s="11">
        <v>46263</v>
      </c>
      <c r="BB121" s="9">
        <v>306</v>
      </c>
      <c r="BC121" s="9" t="s">
        <v>3084</v>
      </c>
      <c r="BD121" s="9">
        <v>335182</v>
      </c>
      <c r="BE121" s="11">
        <v>46254</v>
      </c>
      <c r="BF121" s="9">
        <v>1680</v>
      </c>
      <c r="BG121" s="9">
        <v>1</v>
      </c>
      <c r="BH121" s="9" t="s">
        <v>3083</v>
      </c>
      <c r="BI121" s="9">
        <v>1</v>
      </c>
    </row>
    <row r="122" spans="1:61" x14ac:dyDescent="0.25">
      <c r="A122" s="9">
        <v>1880</v>
      </c>
      <c r="B122" s="9" t="s">
        <v>2916</v>
      </c>
      <c r="C122" s="9" t="s">
        <v>2557</v>
      </c>
      <c r="D122" s="9">
        <v>1880</v>
      </c>
      <c r="E122" s="9">
        <v>1611</v>
      </c>
      <c r="F122" s="9">
        <v>2026</v>
      </c>
      <c r="G122" s="9">
        <v>18800016112026</v>
      </c>
      <c r="H122" s="9">
        <v>62063000</v>
      </c>
      <c r="I122" s="9">
        <v>2016</v>
      </c>
      <c r="J122" s="9" t="s">
        <v>2851</v>
      </c>
      <c r="K122" s="9">
        <v>1</v>
      </c>
      <c r="L122" s="9" t="s">
        <v>2558</v>
      </c>
      <c r="M122" s="9">
        <v>4</v>
      </c>
      <c r="N122" s="9" t="s">
        <v>3087</v>
      </c>
      <c r="O122" s="10">
        <v>4593.75</v>
      </c>
      <c r="Q122" s="10">
        <v>4593.75</v>
      </c>
      <c r="R122" s="9">
        <v>0</v>
      </c>
      <c r="S122" s="9">
        <v>0</v>
      </c>
      <c r="T122" s="9">
        <v>0</v>
      </c>
      <c r="V122" s="10">
        <v>4593.75</v>
      </c>
      <c r="W122" s="10">
        <v>4480.4399999999996</v>
      </c>
      <c r="X122" s="11">
        <v>46255</v>
      </c>
      <c r="Y122" s="9" t="s">
        <v>2564</v>
      </c>
      <c r="Z122" s="11">
        <v>46263</v>
      </c>
      <c r="AA122" s="11">
        <v>46287</v>
      </c>
      <c r="AB122" s="9" t="s">
        <v>2559</v>
      </c>
      <c r="AC122" s="9">
        <v>260326210686920</v>
      </c>
      <c r="AD122" s="9" t="s">
        <v>3086</v>
      </c>
      <c r="AE122" s="9" t="s">
        <v>200</v>
      </c>
      <c r="AF122" s="9" t="s">
        <v>2919</v>
      </c>
      <c r="AG122" s="9" t="s">
        <v>2570</v>
      </c>
      <c r="AH122" s="9" t="s">
        <v>2570</v>
      </c>
      <c r="AI122" s="9">
        <v>10</v>
      </c>
      <c r="AJ122" s="9" t="s">
        <v>2563</v>
      </c>
      <c r="AK122" s="9">
        <v>1050</v>
      </c>
      <c r="AM122" s="9" t="s">
        <v>2928</v>
      </c>
      <c r="AN122" s="11">
        <v>46286</v>
      </c>
      <c r="AO122" s="9">
        <v>2609612</v>
      </c>
      <c r="AP122" s="11">
        <v>46255</v>
      </c>
      <c r="AR122" s="9" t="s">
        <v>2571</v>
      </c>
      <c r="AS122" s="9" t="s">
        <v>2626</v>
      </c>
      <c r="AT122" s="9" t="s">
        <v>2566</v>
      </c>
      <c r="AV122" s="14">
        <v>46272</v>
      </c>
      <c r="AX122" s="9" t="s">
        <v>3085</v>
      </c>
      <c r="AY122" s="9">
        <v>1</v>
      </c>
      <c r="AZ122" s="9" t="s">
        <v>3048</v>
      </c>
      <c r="BA122" s="11">
        <v>46263</v>
      </c>
      <c r="BB122" s="9">
        <v>306</v>
      </c>
      <c r="BC122" s="9" t="s">
        <v>3084</v>
      </c>
      <c r="BD122" s="9">
        <v>347883</v>
      </c>
      <c r="BE122" s="11">
        <v>46256</v>
      </c>
      <c r="BF122" s="9">
        <v>1680</v>
      </c>
      <c r="BG122" s="9">
        <v>1</v>
      </c>
      <c r="BH122" s="9" t="s">
        <v>3083</v>
      </c>
    </row>
    <row r="123" spans="1:61" x14ac:dyDescent="0.25">
      <c r="A123" s="9">
        <v>1880</v>
      </c>
      <c r="B123" s="9" t="s">
        <v>2916</v>
      </c>
      <c r="C123" s="9" t="s">
        <v>2557</v>
      </c>
      <c r="D123" s="9">
        <v>1880</v>
      </c>
      <c r="E123" s="9">
        <v>1613</v>
      </c>
      <c r="F123" s="9">
        <v>2026</v>
      </c>
      <c r="G123" s="9">
        <v>18800016132026</v>
      </c>
      <c r="H123" s="9">
        <v>62112000</v>
      </c>
      <c r="I123" s="9">
        <v>2016</v>
      </c>
      <c r="J123" s="9" t="s">
        <v>2851</v>
      </c>
      <c r="K123" s="9">
        <v>1</v>
      </c>
      <c r="L123" s="9" t="s">
        <v>2558</v>
      </c>
      <c r="M123" s="9">
        <v>4</v>
      </c>
      <c r="N123" s="9" t="s">
        <v>3087</v>
      </c>
      <c r="O123" s="10">
        <v>11393.5</v>
      </c>
      <c r="Q123" s="10">
        <v>11393.5</v>
      </c>
      <c r="R123" s="9">
        <v>0</v>
      </c>
      <c r="S123" s="9">
        <v>0</v>
      </c>
      <c r="T123" s="9">
        <v>0</v>
      </c>
      <c r="V123" s="10">
        <v>11393.5</v>
      </c>
      <c r="W123" s="10">
        <v>11112.47</v>
      </c>
      <c r="X123" s="11">
        <v>46255</v>
      </c>
      <c r="Y123" s="9" t="s">
        <v>2564</v>
      </c>
      <c r="Z123" s="11">
        <v>46263</v>
      </c>
      <c r="AA123" s="11">
        <v>46287</v>
      </c>
      <c r="AB123" s="9" t="s">
        <v>2559</v>
      </c>
      <c r="AC123" s="9">
        <v>260326210686920</v>
      </c>
      <c r="AD123" s="9" t="s">
        <v>3086</v>
      </c>
      <c r="AE123" s="9" t="s">
        <v>200</v>
      </c>
      <c r="AF123" s="9" t="s">
        <v>2919</v>
      </c>
      <c r="AG123" s="9" t="s">
        <v>2570</v>
      </c>
      <c r="AH123" s="9" t="s">
        <v>2570</v>
      </c>
      <c r="AI123" s="9">
        <v>10</v>
      </c>
      <c r="AJ123" s="9" t="s">
        <v>2563</v>
      </c>
      <c r="AK123" s="9">
        <v>1801</v>
      </c>
      <c r="AM123" s="9" t="s">
        <v>2928</v>
      </c>
      <c r="AN123" s="11">
        <v>46286</v>
      </c>
      <c r="AO123" s="9">
        <v>2609614</v>
      </c>
      <c r="AP123" s="11">
        <v>46255</v>
      </c>
      <c r="AR123" s="9" t="s">
        <v>2571</v>
      </c>
      <c r="AS123" s="9" t="s">
        <v>2626</v>
      </c>
      <c r="AT123" s="9" t="s">
        <v>2566</v>
      </c>
      <c r="AV123" s="14">
        <v>46272</v>
      </c>
      <c r="AX123" s="9" t="s">
        <v>3085</v>
      </c>
      <c r="AY123" s="9">
        <v>1</v>
      </c>
      <c r="AZ123" s="9" t="s">
        <v>3050</v>
      </c>
      <c r="BA123" s="11">
        <v>46263</v>
      </c>
      <c r="BB123" s="9">
        <v>306</v>
      </c>
      <c r="BC123" s="9" t="s">
        <v>3084</v>
      </c>
      <c r="BD123" s="9">
        <v>347876</v>
      </c>
      <c r="BE123" s="11">
        <v>46256</v>
      </c>
      <c r="BF123" s="9">
        <v>1680</v>
      </c>
      <c r="BG123" s="9">
        <v>1</v>
      </c>
      <c r="BH123" s="9" t="s">
        <v>3083</v>
      </c>
    </row>
    <row r="124" spans="1:61" x14ac:dyDescent="0.25">
      <c r="A124" s="9">
        <v>947</v>
      </c>
      <c r="B124" s="9" t="s">
        <v>2644</v>
      </c>
      <c r="C124" s="9" t="s">
        <v>2645</v>
      </c>
      <c r="D124" s="9">
        <v>947</v>
      </c>
      <c r="E124" s="9">
        <v>1452</v>
      </c>
      <c r="F124" s="9">
        <v>2026</v>
      </c>
      <c r="G124" s="9">
        <v>9470014522026</v>
      </c>
      <c r="H124" s="9">
        <v>62071100</v>
      </c>
      <c r="I124" s="9">
        <v>2016</v>
      </c>
      <c r="J124" s="9" t="s">
        <v>2851</v>
      </c>
      <c r="K124" s="9">
        <v>1</v>
      </c>
      <c r="L124" s="9" t="s">
        <v>2558</v>
      </c>
      <c r="M124" s="9">
        <v>4</v>
      </c>
      <c r="N124" s="9" t="s">
        <v>3087</v>
      </c>
      <c r="O124" s="10">
        <v>17801.2</v>
      </c>
      <c r="P124" s="9">
        <v>0</v>
      </c>
      <c r="Q124" s="10">
        <v>17801.2</v>
      </c>
      <c r="R124" s="9">
        <v>0</v>
      </c>
      <c r="S124" s="9">
        <v>0</v>
      </c>
      <c r="T124" s="9">
        <v>0</v>
      </c>
      <c r="V124" s="10">
        <v>17801.2</v>
      </c>
      <c r="W124" s="10">
        <v>17665.82</v>
      </c>
      <c r="X124" s="11">
        <v>46247</v>
      </c>
      <c r="Y124" s="9" t="s">
        <v>2564</v>
      </c>
      <c r="Z124" s="11">
        <v>46263</v>
      </c>
      <c r="AA124" s="11">
        <v>46286</v>
      </c>
      <c r="AB124" s="9" t="s">
        <v>2559</v>
      </c>
      <c r="AC124" s="9">
        <v>260326210686920</v>
      </c>
      <c r="AD124" s="9" t="s">
        <v>3086</v>
      </c>
      <c r="AE124" s="9" t="s">
        <v>3095</v>
      </c>
      <c r="AF124" s="9" t="s">
        <v>2653</v>
      </c>
      <c r="AG124" s="9" t="s">
        <v>2570</v>
      </c>
      <c r="AH124" s="9" t="s">
        <v>2570</v>
      </c>
      <c r="AI124" s="9">
        <v>10</v>
      </c>
      <c r="AJ124" s="9" t="s">
        <v>2563</v>
      </c>
      <c r="AK124" s="9">
        <v>24000</v>
      </c>
      <c r="AM124" s="9" t="s">
        <v>2690</v>
      </c>
      <c r="AN124" s="11">
        <v>46285</v>
      </c>
      <c r="AO124" s="9">
        <v>2609262</v>
      </c>
      <c r="AP124" s="11">
        <v>46247</v>
      </c>
      <c r="AS124" s="9" t="s">
        <v>2565</v>
      </c>
      <c r="AT124" s="9" t="s">
        <v>2566</v>
      </c>
      <c r="AU124" s="9" t="s">
        <v>183</v>
      </c>
      <c r="AV124" s="14">
        <v>46285</v>
      </c>
      <c r="AW124" s="9">
        <v>2609262</v>
      </c>
      <c r="AX124" s="9" t="s">
        <v>3094</v>
      </c>
      <c r="AY124" s="9">
        <v>6</v>
      </c>
      <c r="AZ124" s="9" t="s">
        <v>2777</v>
      </c>
      <c r="BA124" s="11">
        <v>46263</v>
      </c>
      <c r="BB124" s="9">
        <v>306</v>
      </c>
      <c r="BC124" s="9" t="s">
        <v>3084</v>
      </c>
      <c r="BD124" s="9">
        <v>328149</v>
      </c>
      <c r="BE124" s="11">
        <v>46252</v>
      </c>
      <c r="BF124" s="9">
        <v>1680</v>
      </c>
      <c r="BG124" s="9">
        <v>1</v>
      </c>
      <c r="BH124" s="9" t="s">
        <v>3083</v>
      </c>
      <c r="BI124" s="9">
        <v>1</v>
      </c>
    </row>
    <row r="125" spans="1:61" x14ac:dyDescent="0.25">
      <c r="A125" s="9">
        <v>947</v>
      </c>
      <c r="B125" s="9" t="s">
        <v>2644</v>
      </c>
      <c r="C125" s="9" t="s">
        <v>2645</v>
      </c>
      <c r="D125" s="9">
        <v>947</v>
      </c>
      <c r="E125" s="9">
        <v>1456</v>
      </c>
      <c r="F125" s="9">
        <v>2026</v>
      </c>
      <c r="G125" s="9">
        <v>9470014562026</v>
      </c>
      <c r="H125" s="9">
        <v>62071100</v>
      </c>
      <c r="I125" s="9">
        <v>0</v>
      </c>
      <c r="J125" s="9" t="s">
        <v>3098</v>
      </c>
      <c r="K125" s="9">
        <v>1</v>
      </c>
      <c r="L125" s="9" t="s">
        <v>2558</v>
      </c>
      <c r="M125" s="9">
        <v>4</v>
      </c>
      <c r="N125" s="9" t="s">
        <v>3087</v>
      </c>
      <c r="O125" s="10">
        <v>1134.83</v>
      </c>
      <c r="P125" s="9">
        <v>0</v>
      </c>
      <c r="Q125" s="10">
        <v>1134.83</v>
      </c>
      <c r="R125" s="9">
        <v>0</v>
      </c>
      <c r="S125" s="9">
        <v>0</v>
      </c>
      <c r="T125" s="9">
        <v>0</v>
      </c>
      <c r="V125" s="10">
        <v>1134.83</v>
      </c>
      <c r="W125" s="10">
        <v>1126.29</v>
      </c>
      <c r="X125" s="11">
        <v>46247</v>
      </c>
      <c r="Y125" s="9" t="s">
        <v>2564</v>
      </c>
      <c r="Z125" s="11">
        <v>46263</v>
      </c>
      <c r="AA125" s="11">
        <v>46275</v>
      </c>
      <c r="AB125" s="9" t="s">
        <v>2559</v>
      </c>
      <c r="AC125" s="9">
        <v>260326210686920</v>
      </c>
      <c r="AD125" s="9" t="s">
        <v>3086</v>
      </c>
      <c r="AE125" s="9" t="s">
        <v>3095</v>
      </c>
      <c r="AF125" s="9" t="s">
        <v>2653</v>
      </c>
      <c r="AG125" s="9" t="s">
        <v>2570</v>
      </c>
      <c r="AH125" s="9" t="s">
        <v>2570</v>
      </c>
      <c r="AI125" s="9">
        <v>10</v>
      </c>
      <c r="AJ125" s="9" t="s">
        <v>2563</v>
      </c>
      <c r="AK125" s="9">
        <v>1530</v>
      </c>
      <c r="AM125" s="9" t="s">
        <v>2654</v>
      </c>
      <c r="AN125" s="11">
        <v>46274</v>
      </c>
      <c r="AO125" s="9">
        <v>2609266</v>
      </c>
      <c r="AP125" s="11">
        <v>46247</v>
      </c>
      <c r="AS125" s="9" t="s">
        <v>2565</v>
      </c>
      <c r="AT125" s="9" t="s">
        <v>2566</v>
      </c>
      <c r="AU125" s="9" t="s">
        <v>269</v>
      </c>
      <c r="AV125" s="14">
        <v>46272</v>
      </c>
      <c r="AW125" s="9">
        <v>2609266</v>
      </c>
      <c r="AX125" s="9" t="s">
        <v>3094</v>
      </c>
      <c r="AY125" s="9">
        <v>6</v>
      </c>
      <c r="AZ125" s="9" t="s">
        <v>2785</v>
      </c>
      <c r="BA125" s="11">
        <v>46263</v>
      </c>
      <c r="BB125" s="9">
        <v>306</v>
      </c>
      <c r="BC125" s="9" t="s">
        <v>3084</v>
      </c>
      <c r="BD125" s="9">
        <v>328141</v>
      </c>
      <c r="BE125" s="11">
        <v>46252</v>
      </c>
      <c r="BF125" s="9">
        <v>1680</v>
      </c>
      <c r="BG125" s="9">
        <v>1</v>
      </c>
      <c r="BH125" s="9" t="s">
        <v>3083</v>
      </c>
      <c r="BI125" s="9">
        <v>1</v>
      </c>
    </row>
    <row r="126" spans="1:61" x14ac:dyDescent="0.25">
      <c r="A126" s="9">
        <v>947</v>
      </c>
      <c r="B126" s="9" t="s">
        <v>2644</v>
      </c>
      <c r="C126" s="9" t="s">
        <v>2645</v>
      </c>
      <c r="D126" s="9">
        <v>947</v>
      </c>
      <c r="E126" s="9">
        <v>1459</v>
      </c>
      <c r="F126" s="9">
        <v>2026</v>
      </c>
      <c r="G126" s="9">
        <v>9470014592026</v>
      </c>
      <c r="H126" s="9">
        <v>62082100</v>
      </c>
      <c r="I126" s="9">
        <v>2000</v>
      </c>
      <c r="J126" s="9" t="s">
        <v>3092</v>
      </c>
      <c r="K126" s="9">
        <v>1</v>
      </c>
      <c r="L126" s="9" t="s">
        <v>2558</v>
      </c>
      <c r="M126" s="9">
        <v>4</v>
      </c>
      <c r="N126" s="9" t="s">
        <v>3087</v>
      </c>
      <c r="O126" s="10">
        <v>17513.79</v>
      </c>
      <c r="Q126" s="10">
        <v>17513.79</v>
      </c>
      <c r="R126" s="9">
        <v>0</v>
      </c>
      <c r="S126" s="9">
        <v>0</v>
      </c>
      <c r="T126" s="9">
        <v>0</v>
      </c>
      <c r="V126" s="10">
        <v>17513.79</v>
      </c>
      <c r="X126" s="11">
        <v>46247</v>
      </c>
      <c r="Y126" s="9" t="s">
        <v>2564</v>
      </c>
      <c r="Z126" s="11">
        <v>46263</v>
      </c>
      <c r="AB126" s="9" t="s">
        <v>2559</v>
      </c>
      <c r="AC126" s="9">
        <v>260326210686920</v>
      </c>
      <c r="AD126" s="9" t="s">
        <v>3086</v>
      </c>
      <c r="AE126" s="9" t="s">
        <v>796</v>
      </c>
      <c r="AF126" s="9" t="s">
        <v>2792</v>
      </c>
      <c r="AG126" s="9" t="s">
        <v>2570</v>
      </c>
      <c r="AI126" s="9">
        <v>10</v>
      </c>
      <c r="AJ126" s="9" t="s">
        <v>2563</v>
      </c>
      <c r="AK126" s="9">
        <v>7394</v>
      </c>
      <c r="AO126" s="9">
        <v>2609277</v>
      </c>
      <c r="AP126" s="11">
        <v>46247</v>
      </c>
      <c r="AR126" s="9" t="s">
        <v>2592</v>
      </c>
      <c r="AS126" s="9" t="s">
        <v>2793</v>
      </c>
      <c r="AT126" s="9" t="s">
        <v>2566</v>
      </c>
      <c r="AV126" s="14">
        <v>46287</v>
      </c>
      <c r="AX126" s="9" t="s">
        <v>3085</v>
      </c>
      <c r="AY126" s="9">
        <v>1</v>
      </c>
      <c r="AZ126" s="9" t="s">
        <v>2794</v>
      </c>
      <c r="BA126" s="11">
        <v>46263</v>
      </c>
      <c r="BB126" s="9">
        <v>306</v>
      </c>
      <c r="BC126" s="9" t="s">
        <v>3084</v>
      </c>
      <c r="BD126" s="9">
        <v>338192</v>
      </c>
      <c r="BE126" s="11">
        <v>46254</v>
      </c>
      <c r="BF126" s="9">
        <v>1680</v>
      </c>
      <c r="BG126" s="9">
        <v>1</v>
      </c>
      <c r="BH126" s="9" t="s">
        <v>3083</v>
      </c>
    </row>
    <row r="127" spans="1:61" x14ac:dyDescent="0.25">
      <c r="A127" s="9">
        <v>1880</v>
      </c>
      <c r="B127" s="9" t="s">
        <v>2916</v>
      </c>
      <c r="C127" s="9" t="s">
        <v>2557</v>
      </c>
      <c r="D127" s="9">
        <v>1880</v>
      </c>
      <c r="E127" s="9">
        <v>1615</v>
      </c>
      <c r="F127" s="9">
        <v>2026</v>
      </c>
      <c r="G127" s="9">
        <v>18800016152026</v>
      </c>
      <c r="H127" s="9">
        <v>62072100</v>
      </c>
      <c r="I127" s="9">
        <v>2016</v>
      </c>
      <c r="J127" s="9" t="s">
        <v>2851</v>
      </c>
      <c r="K127" s="9">
        <v>1</v>
      </c>
      <c r="L127" s="9" t="s">
        <v>2558</v>
      </c>
      <c r="M127" s="9">
        <v>4</v>
      </c>
      <c r="N127" s="9" t="s">
        <v>3087</v>
      </c>
      <c r="O127" s="10">
        <v>8499.85</v>
      </c>
      <c r="Q127" s="10">
        <v>8499.85</v>
      </c>
      <c r="R127" s="9">
        <v>0</v>
      </c>
      <c r="S127" s="9">
        <v>0</v>
      </c>
      <c r="T127" s="9">
        <v>0</v>
      </c>
      <c r="V127" s="10">
        <v>8499.85</v>
      </c>
      <c r="W127" s="10">
        <v>8290.19</v>
      </c>
      <c r="X127" s="11">
        <v>46255</v>
      </c>
      <c r="Y127" s="9" t="s">
        <v>2564</v>
      </c>
      <c r="Z127" s="11">
        <v>46263</v>
      </c>
      <c r="AA127" s="11">
        <v>46287</v>
      </c>
      <c r="AB127" s="9" t="s">
        <v>2559</v>
      </c>
      <c r="AC127" s="9">
        <v>260326210686920</v>
      </c>
      <c r="AD127" s="9" t="s">
        <v>3086</v>
      </c>
      <c r="AE127" s="9" t="s">
        <v>200</v>
      </c>
      <c r="AF127" s="9" t="s">
        <v>2919</v>
      </c>
      <c r="AG127" s="9" t="s">
        <v>2570</v>
      </c>
      <c r="AH127" s="9" t="s">
        <v>2570</v>
      </c>
      <c r="AI127" s="9">
        <v>10</v>
      </c>
      <c r="AJ127" s="9" t="s">
        <v>2563</v>
      </c>
      <c r="AK127" s="9">
        <v>2446</v>
      </c>
      <c r="AM127" s="9" t="s">
        <v>2928</v>
      </c>
      <c r="AN127" s="11">
        <v>46286</v>
      </c>
      <c r="AO127" s="9">
        <v>2609616</v>
      </c>
      <c r="AP127" s="11">
        <v>46255</v>
      </c>
      <c r="AR127" s="9" t="s">
        <v>2571</v>
      </c>
      <c r="AS127" s="9" t="s">
        <v>2626</v>
      </c>
      <c r="AT127" s="9" t="s">
        <v>2566</v>
      </c>
      <c r="AV127" s="14">
        <v>46272</v>
      </c>
      <c r="AX127" s="9" t="s">
        <v>3085</v>
      </c>
      <c r="AY127" s="9">
        <v>1</v>
      </c>
      <c r="AZ127" s="9" t="s">
        <v>3062</v>
      </c>
      <c r="BA127" s="11">
        <v>46263</v>
      </c>
      <c r="BB127" s="9">
        <v>306</v>
      </c>
      <c r="BC127" s="9" t="s">
        <v>3084</v>
      </c>
      <c r="BD127" s="9">
        <v>347901</v>
      </c>
      <c r="BE127" s="11">
        <v>46256</v>
      </c>
      <c r="BF127" s="9">
        <v>1680</v>
      </c>
      <c r="BG127" s="9">
        <v>1</v>
      </c>
      <c r="BH127" s="9" t="s">
        <v>3083</v>
      </c>
    </row>
    <row r="128" spans="1:61" x14ac:dyDescent="0.25">
      <c r="A128" s="9">
        <v>1880</v>
      </c>
      <c r="B128" s="9" t="s">
        <v>2916</v>
      </c>
      <c r="C128" s="9" t="s">
        <v>2557</v>
      </c>
      <c r="D128" s="9">
        <v>1880</v>
      </c>
      <c r="E128" s="9">
        <v>1610</v>
      </c>
      <c r="F128" s="9">
        <v>2026</v>
      </c>
      <c r="G128" s="9">
        <v>18800016102026</v>
      </c>
      <c r="H128" s="9">
        <v>62072100</v>
      </c>
      <c r="I128" s="9">
        <v>2016</v>
      </c>
      <c r="J128" s="9" t="s">
        <v>2851</v>
      </c>
      <c r="K128" s="9">
        <v>1</v>
      </c>
      <c r="L128" s="9" t="s">
        <v>2558</v>
      </c>
      <c r="M128" s="9">
        <v>4</v>
      </c>
      <c r="N128" s="9" t="s">
        <v>3087</v>
      </c>
      <c r="O128" s="10">
        <v>7005.6</v>
      </c>
      <c r="Q128" s="10">
        <v>7005.6</v>
      </c>
      <c r="R128" s="9">
        <v>0</v>
      </c>
      <c r="S128" s="9">
        <v>0</v>
      </c>
      <c r="T128" s="9">
        <v>0</v>
      </c>
      <c r="V128" s="10">
        <v>7005.6</v>
      </c>
      <c r="W128" s="10">
        <v>6832.8</v>
      </c>
      <c r="X128" s="11">
        <v>46255</v>
      </c>
      <c r="Y128" s="9" t="s">
        <v>2564</v>
      </c>
      <c r="Z128" s="11">
        <v>46263</v>
      </c>
      <c r="AA128" s="11">
        <v>46287</v>
      </c>
      <c r="AB128" s="9" t="s">
        <v>2559</v>
      </c>
      <c r="AC128" s="9">
        <v>260326210686920</v>
      </c>
      <c r="AD128" s="9" t="s">
        <v>3086</v>
      </c>
      <c r="AE128" s="9" t="s">
        <v>200</v>
      </c>
      <c r="AF128" s="9" t="s">
        <v>2919</v>
      </c>
      <c r="AG128" s="9" t="s">
        <v>2570</v>
      </c>
      <c r="AH128" s="9" t="s">
        <v>2570</v>
      </c>
      <c r="AI128" s="9">
        <v>10</v>
      </c>
      <c r="AJ128" s="9" t="s">
        <v>2563</v>
      </c>
      <c r="AK128" s="9">
        <v>2016</v>
      </c>
      <c r="AM128" s="9" t="s">
        <v>2928</v>
      </c>
      <c r="AN128" s="11">
        <v>46286</v>
      </c>
      <c r="AO128" s="9">
        <v>2609611</v>
      </c>
      <c r="AP128" s="11">
        <v>46255</v>
      </c>
      <c r="AR128" s="9" t="s">
        <v>2571</v>
      </c>
      <c r="AS128" s="9" t="s">
        <v>2626</v>
      </c>
      <c r="AT128" s="9" t="s">
        <v>2566</v>
      </c>
      <c r="AV128" s="14">
        <v>46272</v>
      </c>
      <c r="AX128" s="9" t="s">
        <v>3085</v>
      </c>
      <c r="AY128" s="9">
        <v>1</v>
      </c>
      <c r="AZ128" s="9" t="s">
        <v>3068</v>
      </c>
      <c r="BA128" s="11">
        <v>46263</v>
      </c>
      <c r="BB128" s="9">
        <v>306</v>
      </c>
      <c r="BC128" s="9" t="s">
        <v>3084</v>
      </c>
      <c r="BD128" s="9">
        <v>347897</v>
      </c>
      <c r="BE128" s="11">
        <v>46256</v>
      </c>
      <c r="BF128" s="9">
        <v>1680</v>
      </c>
      <c r="BG128" s="9">
        <v>1</v>
      </c>
      <c r="BH128" s="9" t="s">
        <v>3083</v>
      </c>
    </row>
    <row r="129" spans="1:61" ht="195" x14ac:dyDescent="0.25">
      <c r="A129" s="9">
        <v>1880</v>
      </c>
      <c r="B129" s="9" t="s">
        <v>2916</v>
      </c>
      <c r="C129" s="9" t="s">
        <v>2557</v>
      </c>
      <c r="D129" s="9">
        <v>1880</v>
      </c>
      <c r="E129" s="9">
        <v>1566</v>
      </c>
      <c r="F129" s="9">
        <v>2026</v>
      </c>
      <c r="G129" s="9">
        <v>18800015662026</v>
      </c>
      <c r="H129" s="9">
        <v>62052000</v>
      </c>
      <c r="I129" s="9">
        <v>2016</v>
      </c>
      <c r="J129" s="9" t="s">
        <v>2851</v>
      </c>
      <c r="K129" s="9">
        <v>86</v>
      </c>
      <c r="L129" s="9" t="s">
        <v>2574</v>
      </c>
      <c r="M129" s="9">
        <v>4</v>
      </c>
      <c r="N129" s="9" t="s">
        <v>3087</v>
      </c>
      <c r="O129" s="10">
        <v>361426.94</v>
      </c>
      <c r="P129" s="9">
        <v>0</v>
      </c>
      <c r="Q129" s="10">
        <v>361426.94</v>
      </c>
      <c r="R129" s="9">
        <v>0</v>
      </c>
      <c r="S129" s="9">
        <v>0</v>
      </c>
      <c r="T129" s="9">
        <v>0</v>
      </c>
      <c r="V129" s="10">
        <v>361426.94</v>
      </c>
      <c r="W129" s="10">
        <v>344841.96</v>
      </c>
      <c r="X129" s="11">
        <v>46252</v>
      </c>
      <c r="Y129" s="9" t="s">
        <v>2564</v>
      </c>
      <c r="Z129" s="11">
        <v>46263</v>
      </c>
      <c r="AA129" s="11">
        <v>46287</v>
      </c>
      <c r="AB129" s="9" t="s">
        <v>2559</v>
      </c>
      <c r="AC129" s="9">
        <v>260326210686920</v>
      </c>
      <c r="AD129" s="9" t="s">
        <v>3086</v>
      </c>
      <c r="AE129" s="9" t="s">
        <v>181</v>
      </c>
      <c r="AF129" s="12" t="s">
        <v>2578</v>
      </c>
      <c r="AG129" s="9" t="s">
        <v>2570</v>
      </c>
      <c r="AH129" s="9" t="s">
        <v>2570</v>
      </c>
      <c r="AI129" s="9">
        <v>10</v>
      </c>
      <c r="AJ129" s="9" t="s">
        <v>2563</v>
      </c>
      <c r="AK129" s="9">
        <v>67082</v>
      </c>
      <c r="AM129" s="9" t="s">
        <v>2990</v>
      </c>
      <c r="AN129" s="11">
        <v>46285</v>
      </c>
      <c r="AO129" s="9">
        <v>2609432</v>
      </c>
      <c r="AP129" s="11">
        <v>46252</v>
      </c>
      <c r="AR129" s="9" t="s">
        <v>2592</v>
      </c>
      <c r="AS129" s="9" t="s">
        <v>2565</v>
      </c>
      <c r="AT129" s="9" t="s">
        <v>2566</v>
      </c>
      <c r="AU129" s="9" t="s">
        <v>183</v>
      </c>
      <c r="AV129" s="14">
        <v>46284</v>
      </c>
      <c r="AW129" s="9">
        <v>2609432</v>
      </c>
      <c r="AX129" s="9" t="s">
        <v>3094</v>
      </c>
      <c r="AY129" s="9">
        <v>6</v>
      </c>
      <c r="AZ129" s="9" t="s">
        <v>3070</v>
      </c>
      <c r="BA129" s="11">
        <v>46263</v>
      </c>
      <c r="BB129" s="9">
        <v>306</v>
      </c>
      <c r="BC129" s="9" t="s">
        <v>3084</v>
      </c>
      <c r="BD129" s="9">
        <v>330884</v>
      </c>
      <c r="BE129" s="11">
        <v>46252</v>
      </c>
      <c r="BF129" s="9">
        <v>1680</v>
      </c>
      <c r="BG129" s="9">
        <v>1</v>
      </c>
      <c r="BH129" s="9" t="s">
        <v>3083</v>
      </c>
    </row>
    <row r="130" spans="1:61" ht="195" x14ac:dyDescent="0.25">
      <c r="A130" s="9">
        <v>1880</v>
      </c>
      <c r="B130" s="9" t="s">
        <v>2916</v>
      </c>
      <c r="C130" s="9" t="s">
        <v>2557</v>
      </c>
      <c r="D130" s="9">
        <v>1880</v>
      </c>
      <c r="E130" s="9">
        <v>1567</v>
      </c>
      <c r="F130" s="9">
        <v>2026</v>
      </c>
      <c r="G130" s="9">
        <v>18800015672026</v>
      </c>
      <c r="H130" s="9">
        <v>62052000</v>
      </c>
      <c r="I130" s="9">
        <v>2016</v>
      </c>
      <c r="J130" s="9" t="s">
        <v>2851</v>
      </c>
      <c r="K130" s="9">
        <v>86</v>
      </c>
      <c r="L130" s="9" t="s">
        <v>2574</v>
      </c>
      <c r="M130" s="9">
        <v>4</v>
      </c>
      <c r="N130" s="9" t="s">
        <v>3087</v>
      </c>
      <c r="O130" s="10">
        <v>1305.6500000000001</v>
      </c>
      <c r="P130" s="9">
        <v>0</v>
      </c>
      <c r="Q130" s="10">
        <v>1305.6500000000001</v>
      </c>
      <c r="R130" s="9">
        <v>0</v>
      </c>
      <c r="S130" s="9">
        <v>0</v>
      </c>
      <c r="T130" s="9">
        <v>0</v>
      </c>
      <c r="V130" s="10">
        <v>1305.6500000000001</v>
      </c>
      <c r="X130" s="11">
        <v>46252</v>
      </c>
      <c r="Y130" s="9" t="s">
        <v>2564</v>
      </c>
      <c r="Z130" s="11">
        <v>46263</v>
      </c>
      <c r="AB130" s="9" t="s">
        <v>2559</v>
      </c>
      <c r="AC130" s="9">
        <v>260326210686920</v>
      </c>
      <c r="AD130" s="9" t="s">
        <v>3086</v>
      </c>
      <c r="AE130" s="9" t="s">
        <v>181</v>
      </c>
      <c r="AF130" s="12" t="s">
        <v>2578</v>
      </c>
      <c r="AG130" s="9" t="s">
        <v>2570</v>
      </c>
      <c r="AI130" s="9">
        <v>10</v>
      </c>
      <c r="AJ130" s="9" t="s">
        <v>2563</v>
      </c>
      <c r="AK130" s="9">
        <v>240</v>
      </c>
      <c r="AO130" s="9">
        <v>2609433</v>
      </c>
      <c r="AP130" s="11">
        <v>46252</v>
      </c>
      <c r="AR130" s="9" t="s">
        <v>2592</v>
      </c>
      <c r="AS130" s="9" t="s">
        <v>2565</v>
      </c>
      <c r="AT130" s="9" t="s">
        <v>2566</v>
      </c>
      <c r="AU130" s="9" t="s">
        <v>183</v>
      </c>
      <c r="AV130" s="14">
        <v>46284</v>
      </c>
      <c r="AW130" s="9">
        <v>2609433</v>
      </c>
      <c r="AX130" s="9" t="s">
        <v>3094</v>
      </c>
      <c r="AY130" s="9">
        <v>6</v>
      </c>
      <c r="AZ130" s="9" t="s">
        <v>3072</v>
      </c>
      <c r="BA130" s="11">
        <v>46263</v>
      </c>
      <c r="BB130" s="9">
        <v>306</v>
      </c>
      <c r="BC130" s="9" t="s">
        <v>3084</v>
      </c>
      <c r="BD130" s="9">
        <v>330867</v>
      </c>
      <c r="BE130" s="11">
        <v>46252</v>
      </c>
      <c r="BF130" s="9">
        <v>1680</v>
      </c>
      <c r="BG130" s="9">
        <v>1</v>
      </c>
      <c r="BH130" s="9" t="s">
        <v>3083</v>
      </c>
    </row>
    <row r="131" spans="1:61" x14ac:dyDescent="0.25">
      <c r="A131" s="9">
        <v>1880</v>
      </c>
      <c r="B131" s="9" t="s">
        <v>2916</v>
      </c>
      <c r="C131" s="9" t="s">
        <v>2557</v>
      </c>
      <c r="D131" s="9">
        <v>1880</v>
      </c>
      <c r="E131" s="9">
        <v>1633</v>
      </c>
      <c r="F131" s="9">
        <v>2026</v>
      </c>
      <c r="G131" s="9">
        <v>18800016332026</v>
      </c>
      <c r="H131" s="9">
        <v>62112000</v>
      </c>
      <c r="I131" s="9">
        <v>2016</v>
      </c>
      <c r="J131" s="9" t="s">
        <v>2851</v>
      </c>
      <c r="K131" s="9">
        <v>1</v>
      </c>
      <c r="L131" s="9" t="s">
        <v>2558</v>
      </c>
      <c r="M131" s="9">
        <v>4</v>
      </c>
      <c r="N131" s="9" t="s">
        <v>3087</v>
      </c>
      <c r="O131" s="10">
        <v>10690.1</v>
      </c>
      <c r="Q131" s="10">
        <v>10690.1</v>
      </c>
      <c r="R131" s="9">
        <v>0</v>
      </c>
      <c r="S131" s="9">
        <v>0</v>
      </c>
      <c r="T131" s="9">
        <v>0</v>
      </c>
      <c r="V131" s="10">
        <v>10690.1</v>
      </c>
      <c r="W131" s="10">
        <v>10426.42</v>
      </c>
      <c r="X131" s="11">
        <v>46259</v>
      </c>
      <c r="Y131" s="9" t="s">
        <v>2564</v>
      </c>
      <c r="Z131" s="11">
        <v>46263</v>
      </c>
      <c r="AA131" s="11">
        <v>46287</v>
      </c>
      <c r="AB131" s="9" t="s">
        <v>2559</v>
      </c>
      <c r="AC131" s="9">
        <v>260326210686920</v>
      </c>
      <c r="AD131" s="9" t="s">
        <v>3086</v>
      </c>
      <c r="AE131" s="9" t="s">
        <v>200</v>
      </c>
      <c r="AF131" s="9" t="s">
        <v>2919</v>
      </c>
      <c r="AG131" s="9" t="s">
        <v>2570</v>
      </c>
      <c r="AH131" s="9" t="s">
        <v>2570</v>
      </c>
      <c r="AI131" s="9">
        <v>10</v>
      </c>
      <c r="AJ131" s="9" t="s">
        <v>2563</v>
      </c>
      <c r="AK131" s="9">
        <v>2017</v>
      </c>
      <c r="AM131" s="9" t="s">
        <v>2928</v>
      </c>
      <c r="AN131" s="11">
        <v>46286</v>
      </c>
      <c r="AO131" s="9">
        <v>2609744</v>
      </c>
      <c r="AP131" s="11">
        <v>46259</v>
      </c>
      <c r="AR131" s="9" t="s">
        <v>2571</v>
      </c>
      <c r="AS131" s="9" t="s">
        <v>2929</v>
      </c>
      <c r="AT131" s="9" t="s">
        <v>2566</v>
      </c>
      <c r="AV131" s="14">
        <v>46272</v>
      </c>
      <c r="AX131" s="9" t="s">
        <v>3085</v>
      </c>
      <c r="AY131" s="9">
        <v>1</v>
      </c>
      <c r="AZ131" s="9" t="s">
        <v>2930</v>
      </c>
      <c r="BA131" s="11">
        <v>46263</v>
      </c>
      <c r="BB131" s="9">
        <v>306</v>
      </c>
      <c r="BC131" s="9" t="s">
        <v>3084</v>
      </c>
      <c r="BD131" s="9">
        <v>362673</v>
      </c>
      <c r="BE131" s="11">
        <v>46259</v>
      </c>
      <c r="BF131" s="9">
        <v>1680</v>
      </c>
      <c r="BG131" s="9">
        <v>1</v>
      </c>
      <c r="BH131" s="9" t="s">
        <v>3083</v>
      </c>
    </row>
    <row r="132" spans="1:61" x14ac:dyDescent="0.25">
      <c r="A132" s="9">
        <v>1880</v>
      </c>
      <c r="B132" s="9" t="s">
        <v>2916</v>
      </c>
      <c r="C132" s="9" t="s">
        <v>2557</v>
      </c>
      <c r="D132" s="9">
        <v>1880</v>
      </c>
      <c r="E132" s="9">
        <v>1616</v>
      </c>
      <c r="F132" s="9">
        <v>2026</v>
      </c>
      <c r="G132" s="9">
        <v>18800016162026</v>
      </c>
      <c r="H132" s="9">
        <v>62052000</v>
      </c>
      <c r="I132" s="9">
        <v>2016</v>
      </c>
      <c r="J132" s="9" t="s">
        <v>2851</v>
      </c>
      <c r="K132" s="9">
        <v>1</v>
      </c>
      <c r="L132" s="9" t="s">
        <v>2558</v>
      </c>
      <c r="M132" s="9">
        <v>4</v>
      </c>
      <c r="N132" s="9" t="s">
        <v>3087</v>
      </c>
      <c r="O132" s="10">
        <v>50778</v>
      </c>
      <c r="Q132" s="10">
        <v>50778</v>
      </c>
      <c r="R132" s="9">
        <v>0</v>
      </c>
      <c r="S132" s="9">
        <v>0</v>
      </c>
      <c r="T132" s="9">
        <v>0</v>
      </c>
      <c r="V132" s="10">
        <v>50778</v>
      </c>
      <c r="X132" s="11">
        <v>46255</v>
      </c>
      <c r="Y132" s="9" t="s">
        <v>2564</v>
      </c>
      <c r="Z132" s="11">
        <v>46263</v>
      </c>
      <c r="AB132" s="9" t="s">
        <v>2559</v>
      </c>
      <c r="AC132" s="9">
        <v>260326210686920</v>
      </c>
      <c r="AD132" s="9" t="s">
        <v>3086</v>
      </c>
      <c r="AE132" s="9" t="s">
        <v>200</v>
      </c>
      <c r="AF132" s="9" t="s">
        <v>2919</v>
      </c>
      <c r="AG132" s="9" t="s">
        <v>2570</v>
      </c>
      <c r="AI132" s="9">
        <v>10</v>
      </c>
      <c r="AJ132" s="9" t="s">
        <v>2563</v>
      </c>
      <c r="AK132" s="9">
        <v>10416</v>
      </c>
      <c r="AO132" s="9">
        <v>2609617</v>
      </c>
      <c r="AP132" s="11">
        <v>46255</v>
      </c>
      <c r="AR132" s="9" t="s">
        <v>2571</v>
      </c>
      <c r="AS132" s="9" t="s">
        <v>2626</v>
      </c>
      <c r="AT132" s="9" t="s">
        <v>2566</v>
      </c>
      <c r="AV132" s="14">
        <v>46272</v>
      </c>
      <c r="AX132" s="9" t="s">
        <v>3085</v>
      </c>
      <c r="AY132" s="9">
        <v>1</v>
      </c>
      <c r="AZ132" s="9" t="s">
        <v>2932</v>
      </c>
      <c r="BA132" s="11">
        <v>46263</v>
      </c>
      <c r="BB132" s="9">
        <v>306</v>
      </c>
      <c r="BC132" s="9" t="s">
        <v>3084</v>
      </c>
      <c r="BD132" s="9">
        <v>347879</v>
      </c>
      <c r="BE132" s="11">
        <v>46256</v>
      </c>
      <c r="BF132" s="9">
        <v>1680</v>
      </c>
      <c r="BG132" s="9">
        <v>1</v>
      </c>
      <c r="BH132" s="9" t="s">
        <v>3083</v>
      </c>
    </row>
    <row r="133" spans="1:61" x14ac:dyDescent="0.25">
      <c r="A133" s="9">
        <v>1949</v>
      </c>
      <c r="B133" s="9" t="s">
        <v>2556</v>
      </c>
      <c r="C133" s="9" t="s">
        <v>2557</v>
      </c>
      <c r="D133" s="9">
        <v>1949</v>
      </c>
      <c r="E133" s="9">
        <v>1823</v>
      </c>
      <c r="F133" s="9">
        <v>2026</v>
      </c>
      <c r="G133" s="9">
        <v>19490018232026</v>
      </c>
      <c r="H133" s="9">
        <v>62072100</v>
      </c>
      <c r="I133" s="9">
        <v>2016</v>
      </c>
      <c r="J133" s="9" t="s">
        <v>2851</v>
      </c>
      <c r="K133" s="9">
        <v>1</v>
      </c>
      <c r="L133" s="9" t="s">
        <v>2558</v>
      </c>
      <c r="M133" s="9">
        <v>4</v>
      </c>
      <c r="N133" s="9" t="s">
        <v>3087</v>
      </c>
      <c r="O133" s="10">
        <v>11338.25</v>
      </c>
      <c r="Q133" s="10">
        <v>11338.25</v>
      </c>
      <c r="R133" s="9">
        <v>0</v>
      </c>
      <c r="S133" s="9">
        <v>0</v>
      </c>
      <c r="T133" s="9">
        <v>0</v>
      </c>
      <c r="V133" s="10">
        <v>11338.25</v>
      </c>
      <c r="W133" s="10">
        <v>11058.37</v>
      </c>
      <c r="X133" s="11">
        <v>46255</v>
      </c>
      <c r="Y133" s="9" t="s">
        <v>2564</v>
      </c>
      <c r="Z133" s="11">
        <v>46263</v>
      </c>
      <c r="AA133" s="11">
        <v>46287</v>
      </c>
      <c r="AB133" s="9" t="s">
        <v>2559</v>
      </c>
      <c r="AC133" s="9">
        <v>260326210686920</v>
      </c>
      <c r="AD133" s="9" t="s">
        <v>3086</v>
      </c>
      <c r="AE133" s="9" t="s">
        <v>3097</v>
      </c>
      <c r="AF133" s="9" t="s">
        <v>2569</v>
      </c>
      <c r="AG133" s="9" t="s">
        <v>2570</v>
      </c>
      <c r="AH133" s="9" t="s">
        <v>2570</v>
      </c>
      <c r="AI133" s="9">
        <v>10</v>
      </c>
      <c r="AJ133" s="9" t="s">
        <v>2563</v>
      </c>
      <c r="AK133" s="9">
        <v>2926</v>
      </c>
      <c r="AM133" s="9" t="s">
        <v>2625</v>
      </c>
      <c r="AN133" s="11">
        <v>46286</v>
      </c>
      <c r="AO133" s="9">
        <v>2609467</v>
      </c>
      <c r="AP133" s="11">
        <v>46254</v>
      </c>
      <c r="AR133" s="9" t="s">
        <v>2571</v>
      </c>
      <c r="AS133" s="9" t="s">
        <v>2626</v>
      </c>
      <c r="AT133" s="9" t="s">
        <v>2566</v>
      </c>
      <c r="AV133" s="14">
        <v>46272</v>
      </c>
      <c r="AX133" s="9" t="s">
        <v>3085</v>
      </c>
      <c r="AY133" s="9">
        <v>1</v>
      </c>
      <c r="AZ133" s="9" t="s">
        <v>2627</v>
      </c>
      <c r="BA133" s="11">
        <v>46263</v>
      </c>
      <c r="BB133" s="9">
        <v>306</v>
      </c>
      <c r="BC133" s="9" t="s">
        <v>3084</v>
      </c>
      <c r="BD133" s="9">
        <v>347894</v>
      </c>
      <c r="BE133" s="11">
        <v>46256</v>
      </c>
      <c r="BF133" s="9">
        <v>1680</v>
      </c>
      <c r="BG133" s="9">
        <v>1</v>
      </c>
      <c r="BH133" s="9" t="s">
        <v>3083</v>
      </c>
    </row>
    <row r="134" spans="1:61" ht="165" x14ac:dyDescent="0.25">
      <c r="A134" s="9">
        <v>947</v>
      </c>
      <c r="B134" s="9" t="s">
        <v>2644</v>
      </c>
      <c r="C134" s="9" t="s">
        <v>2645</v>
      </c>
      <c r="D134" s="9">
        <v>947</v>
      </c>
      <c r="E134" s="9">
        <v>1500</v>
      </c>
      <c r="F134" s="9">
        <v>2026</v>
      </c>
      <c r="G134" s="9">
        <v>9470015002026</v>
      </c>
      <c r="H134" s="9">
        <v>62044200</v>
      </c>
      <c r="I134" s="9">
        <v>2000</v>
      </c>
      <c r="J134" s="9" t="s">
        <v>3092</v>
      </c>
      <c r="K134" s="9">
        <v>1</v>
      </c>
      <c r="L134" s="9" t="s">
        <v>2558</v>
      </c>
      <c r="M134" s="9">
        <v>4</v>
      </c>
      <c r="N134" s="9" t="s">
        <v>3087</v>
      </c>
      <c r="O134" s="10">
        <v>2095.88</v>
      </c>
      <c r="Q134" s="10">
        <v>2095.88</v>
      </c>
      <c r="R134" s="9">
        <v>0</v>
      </c>
      <c r="S134" s="9">
        <v>0</v>
      </c>
      <c r="T134" s="9">
        <v>0</v>
      </c>
      <c r="V134" s="10">
        <v>2095.88</v>
      </c>
      <c r="X134" s="11">
        <v>46254</v>
      </c>
      <c r="Y134" s="9" t="s">
        <v>2564</v>
      </c>
      <c r="Z134" s="11">
        <v>46263</v>
      </c>
      <c r="AB134" s="9" t="s">
        <v>2559</v>
      </c>
      <c r="AC134" s="9">
        <v>260326210686920</v>
      </c>
      <c r="AD134" s="9" t="s">
        <v>3086</v>
      </c>
      <c r="AE134" s="9" t="s">
        <v>796</v>
      </c>
      <c r="AF134" s="12" t="s">
        <v>2832</v>
      </c>
      <c r="AG134" s="9" t="s">
        <v>2570</v>
      </c>
      <c r="AI134" s="9">
        <v>10</v>
      </c>
      <c r="AJ134" s="9" t="s">
        <v>2563</v>
      </c>
      <c r="AK134" s="9">
        <v>302</v>
      </c>
      <c r="AO134" s="9">
        <v>2609516</v>
      </c>
      <c r="AP134" s="11">
        <v>46285</v>
      </c>
      <c r="AR134" s="9" t="s">
        <v>2571</v>
      </c>
      <c r="AS134" s="9" t="s">
        <v>2793</v>
      </c>
      <c r="AT134" s="9" t="s">
        <v>2566</v>
      </c>
      <c r="AV134" s="14">
        <v>46287</v>
      </c>
      <c r="AX134" s="9" t="s">
        <v>3085</v>
      </c>
      <c r="AY134" s="9">
        <v>1</v>
      </c>
      <c r="AZ134" s="9" t="s">
        <v>2833</v>
      </c>
      <c r="BA134" s="11">
        <v>46263</v>
      </c>
      <c r="BB134" s="9">
        <v>306</v>
      </c>
      <c r="BC134" s="9" t="s">
        <v>3084</v>
      </c>
      <c r="BD134" s="9">
        <v>338153</v>
      </c>
      <c r="BE134" s="11">
        <v>46254</v>
      </c>
      <c r="BF134" s="9">
        <v>1680</v>
      </c>
      <c r="BG134" s="9">
        <v>1</v>
      </c>
      <c r="BH134" s="9" t="s">
        <v>3083</v>
      </c>
    </row>
    <row r="135" spans="1:61" x14ac:dyDescent="0.25">
      <c r="A135" s="9">
        <v>947</v>
      </c>
      <c r="B135" s="9" t="s">
        <v>2644</v>
      </c>
      <c r="C135" s="9" t="s">
        <v>2645</v>
      </c>
      <c r="D135" s="9">
        <v>947</v>
      </c>
      <c r="E135" s="9">
        <v>1509</v>
      </c>
      <c r="F135" s="9">
        <v>2026</v>
      </c>
      <c r="G135" s="9">
        <v>9470015092026</v>
      </c>
      <c r="H135" s="9">
        <v>62052000</v>
      </c>
      <c r="I135" s="9">
        <v>2005</v>
      </c>
      <c r="J135" s="9" t="s">
        <v>3105</v>
      </c>
      <c r="K135" s="9">
        <v>1</v>
      </c>
      <c r="L135" s="9" t="s">
        <v>2558</v>
      </c>
      <c r="M135" s="9">
        <v>4</v>
      </c>
      <c r="N135" s="9" t="s">
        <v>3087</v>
      </c>
      <c r="O135" s="10">
        <v>3561.56</v>
      </c>
      <c r="Q135" s="10">
        <v>3561.56</v>
      </c>
      <c r="R135" s="9">
        <v>0</v>
      </c>
      <c r="S135" s="9">
        <v>0</v>
      </c>
      <c r="T135" s="9">
        <v>0</v>
      </c>
      <c r="V135" s="10">
        <v>3561.56</v>
      </c>
      <c r="W135" s="10">
        <v>3396.29</v>
      </c>
      <c r="X135" s="11">
        <v>46255</v>
      </c>
      <c r="Y135" s="9" t="s">
        <v>2564</v>
      </c>
      <c r="Z135" s="11">
        <v>46263</v>
      </c>
      <c r="AA135" s="11">
        <v>46282</v>
      </c>
      <c r="AB135" s="9" t="s">
        <v>2559</v>
      </c>
      <c r="AC135" s="9">
        <v>260326210686920</v>
      </c>
      <c r="AD135" s="9" t="s">
        <v>3086</v>
      </c>
      <c r="AE135" s="9" t="s">
        <v>47</v>
      </c>
      <c r="AF135" s="9" t="s">
        <v>2735</v>
      </c>
      <c r="AG135" s="9" t="s">
        <v>2570</v>
      </c>
      <c r="AH135" s="9" t="s">
        <v>2570</v>
      </c>
      <c r="AI135" s="9">
        <v>10</v>
      </c>
      <c r="AJ135" s="9" t="s">
        <v>2563</v>
      </c>
      <c r="AK135" s="9">
        <v>1324</v>
      </c>
      <c r="AM135" s="9" t="s">
        <v>2773</v>
      </c>
      <c r="AN135" s="11">
        <v>46281</v>
      </c>
      <c r="AO135" s="9">
        <v>2609610</v>
      </c>
      <c r="AP135" s="11">
        <v>46255</v>
      </c>
      <c r="AT135" s="9" t="s">
        <v>2566</v>
      </c>
      <c r="AV135" s="14">
        <v>46280</v>
      </c>
      <c r="AX135" s="9" t="s">
        <v>3085</v>
      </c>
      <c r="AY135" s="9">
        <v>1</v>
      </c>
      <c r="AZ135" s="9" t="s">
        <v>2868</v>
      </c>
      <c r="BA135" s="11">
        <v>46263</v>
      </c>
      <c r="BB135" s="9">
        <v>306</v>
      </c>
      <c r="BC135" s="9" t="s">
        <v>3084</v>
      </c>
      <c r="BD135" s="9">
        <v>344927</v>
      </c>
      <c r="BE135" s="11">
        <v>46255</v>
      </c>
      <c r="BF135" s="9">
        <v>1680</v>
      </c>
      <c r="BG135" s="9">
        <v>1</v>
      </c>
      <c r="BH135" s="9" t="s">
        <v>3083</v>
      </c>
      <c r="BI135" s="9">
        <v>1</v>
      </c>
    </row>
    <row r="136" spans="1:61" ht="165" x14ac:dyDescent="0.25">
      <c r="A136" s="9">
        <v>947</v>
      </c>
      <c r="B136" s="9" t="s">
        <v>2644</v>
      </c>
      <c r="C136" s="9" t="s">
        <v>2645</v>
      </c>
      <c r="D136" s="9">
        <v>947</v>
      </c>
      <c r="E136" s="9">
        <v>1499</v>
      </c>
      <c r="F136" s="9">
        <v>2026</v>
      </c>
      <c r="G136" s="9">
        <v>9470014992026</v>
      </c>
      <c r="H136" s="9">
        <v>62082100</v>
      </c>
      <c r="I136" s="9">
        <v>2000</v>
      </c>
      <c r="J136" s="9" t="s">
        <v>3092</v>
      </c>
      <c r="K136" s="9">
        <v>1</v>
      </c>
      <c r="L136" s="9" t="s">
        <v>2558</v>
      </c>
      <c r="M136" s="9">
        <v>4</v>
      </c>
      <c r="N136" s="9" t="s">
        <v>3087</v>
      </c>
      <c r="O136" s="10">
        <v>6452.95</v>
      </c>
      <c r="Q136" s="10">
        <v>6452.95</v>
      </c>
      <c r="R136" s="9">
        <v>0</v>
      </c>
      <c r="S136" s="9">
        <v>0</v>
      </c>
      <c r="T136" s="9">
        <v>0</v>
      </c>
      <c r="V136" s="10">
        <v>6452.95</v>
      </c>
      <c r="X136" s="11">
        <v>46254</v>
      </c>
      <c r="Y136" s="9" t="s">
        <v>2564</v>
      </c>
      <c r="Z136" s="11">
        <v>46263</v>
      </c>
      <c r="AB136" s="9" t="s">
        <v>2559</v>
      </c>
      <c r="AC136" s="9">
        <v>260326210686920</v>
      </c>
      <c r="AD136" s="9" t="s">
        <v>3086</v>
      </c>
      <c r="AE136" s="9" t="s">
        <v>796</v>
      </c>
      <c r="AF136" s="12" t="s">
        <v>2832</v>
      </c>
      <c r="AG136" s="9" t="s">
        <v>2570</v>
      </c>
      <c r="AI136" s="9">
        <v>10</v>
      </c>
      <c r="AJ136" s="9" t="s">
        <v>2563</v>
      </c>
      <c r="AK136" s="9">
        <v>2506</v>
      </c>
      <c r="AO136" s="9">
        <v>2609515</v>
      </c>
      <c r="AP136" s="11">
        <v>46254</v>
      </c>
      <c r="AR136" s="9" t="s">
        <v>2577</v>
      </c>
      <c r="AS136" s="9" t="s">
        <v>2793</v>
      </c>
      <c r="AT136" s="9" t="s">
        <v>2566</v>
      </c>
      <c r="AV136" s="14">
        <v>46287</v>
      </c>
      <c r="AX136" s="9" t="s">
        <v>3085</v>
      </c>
      <c r="AY136" s="9">
        <v>1</v>
      </c>
      <c r="AZ136" s="9" t="s">
        <v>2891</v>
      </c>
      <c r="BA136" s="11">
        <v>46263</v>
      </c>
      <c r="BB136" s="9">
        <v>306</v>
      </c>
      <c r="BC136" s="9" t="s">
        <v>3084</v>
      </c>
      <c r="BD136" s="9">
        <v>338177</v>
      </c>
      <c r="BE136" s="11">
        <v>46254</v>
      </c>
      <c r="BF136" s="9">
        <v>1680</v>
      </c>
      <c r="BG136" s="9">
        <v>1</v>
      </c>
      <c r="BH136" s="9" t="s">
        <v>3083</v>
      </c>
    </row>
    <row r="137" spans="1:61" x14ac:dyDescent="0.25">
      <c r="A137" s="9">
        <v>947</v>
      </c>
      <c r="B137" s="9" t="s">
        <v>2644</v>
      </c>
      <c r="C137" s="9" t="s">
        <v>2645</v>
      </c>
      <c r="D137" s="9">
        <v>947</v>
      </c>
      <c r="E137" s="9">
        <v>1346</v>
      </c>
      <c r="F137" s="9">
        <v>2026</v>
      </c>
      <c r="G137" s="9">
        <v>9470013462026</v>
      </c>
      <c r="H137" s="9">
        <v>62071100</v>
      </c>
      <c r="I137" s="9">
        <v>2016</v>
      </c>
      <c r="J137" s="9" t="s">
        <v>2851</v>
      </c>
      <c r="K137" s="9">
        <v>1</v>
      </c>
      <c r="L137" s="9" t="s">
        <v>2558</v>
      </c>
      <c r="M137" s="9">
        <v>4</v>
      </c>
      <c r="N137" s="9" t="s">
        <v>3087</v>
      </c>
      <c r="O137" s="10">
        <v>9741</v>
      </c>
      <c r="P137" s="9">
        <v>0</v>
      </c>
      <c r="Q137" s="10">
        <v>9741</v>
      </c>
      <c r="R137" s="9">
        <v>0</v>
      </c>
      <c r="S137" s="9">
        <v>0</v>
      </c>
      <c r="T137" s="9">
        <v>0</v>
      </c>
      <c r="V137" s="10">
        <v>9741</v>
      </c>
      <c r="W137" s="10">
        <v>9666.3799999999992</v>
      </c>
      <c r="X137" s="11">
        <v>46231</v>
      </c>
      <c r="Y137" s="9" t="s">
        <v>2564</v>
      </c>
      <c r="Z137" s="11">
        <v>46264</v>
      </c>
      <c r="AA137" s="11">
        <v>46286</v>
      </c>
      <c r="AB137" s="9" t="s">
        <v>2559</v>
      </c>
      <c r="AC137" s="9">
        <v>260326210686920</v>
      </c>
      <c r="AD137" s="9" t="s">
        <v>3086</v>
      </c>
      <c r="AE137" s="9" t="s">
        <v>3095</v>
      </c>
      <c r="AF137" s="9" t="s">
        <v>2653</v>
      </c>
      <c r="AG137" s="9" t="s">
        <v>2570</v>
      </c>
      <c r="AH137" s="9" t="s">
        <v>2570</v>
      </c>
      <c r="AI137" s="9">
        <v>10</v>
      </c>
      <c r="AJ137" s="9" t="s">
        <v>2563</v>
      </c>
      <c r="AK137" s="9">
        <v>20000</v>
      </c>
      <c r="AM137" s="9" t="s">
        <v>2690</v>
      </c>
      <c r="AN137" s="11">
        <v>46285</v>
      </c>
      <c r="AO137" s="9">
        <v>2608646</v>
      </c>
      <c r="AP137" s="11">
        <v>46230</v>
      </c>
      <c r="AS137" s="9" t="s">
        <v>2565</v>
      </c>
      <c r="AT137" s="9" t="s">
        <v>2566</v>
      </c>
      <c r="AU137" s="9" t="s">
        <v>183</v>
      </c>
      <c r="AV137" s="14">
        <v>46285</v>
      </c>
      <c r="AW137" s="9">
        <v>2608646</v>
      </c>
      <c r="AX137" s="9" t="s">
        <v>3094</v>
      </c>
      <c r="AY137" s="9">
        <v>6</v>
      </c>
      <c r="AZ137" s="9" t="s">
        <v>3111</v>
      </c>
      <c r="BA137" s="11">
        <v>46264</v>
      </c>
      <c r="BB137" s="9">
        <v>306</v>
      </c>
      <c r="BC137" s="9" t="s">
        <v>3084</v>
      </c>
      <c r="BD137" s="9">
        <v>342201</v>
      </c>
      <c r="BE137" s="11">
        <v>46255</v>
      </c>
      <c r="BF137" s="9">
        <v>1680</v>
      </c>
      <c r="BG137" s="9">
        <v>1</v>
      </c>
      <c r="BH137" s="9" t="s">
        <v>3083</v>
      </c>
      <c r="BI137" s="9">
        <v>1</v>
      </c>
    </row>
    <row r="138" spans="1:61" x14ac:dyDescent="0.25">
      <c r="A138" s="9">
        <v>1949</v>
      </c>
      <c r="B138" s="9" t="s">
        <v>2556</v>
      </c>
      <c r="C138" s="9" t="s">
        <v>2557</v>
      </c>
      <c r="D138" s="9">
        <v>1949</v>
      </c>
      <c r="E138" s="9">
        <v>1853</v>
      </c>
      <c r="F138" s="9">
        <v>2026</v>
      </c>
      <c r="G138" s="9">
        <v>19490018532026</v>
      </c>
      <c r="H138" s="9">
        <v>62063000</v>
      </c>
      <c r="I138" s="9">
        <v>1232</v>
      </c>
      <c r="J138" s="9" t="s">
        <v>3110</v>
      </c>
      <c r="K138" s="9">
        <v>1</v>
      </c>
      <c r="L138" s="9" t="s">
        <v>2558</v>
      </c>
      <c r="M138" s="9">
        <v>4</v>
      </c>
      <c r="N138" s="9" t="s">
        <v>3087</v>
      </c>
      <c r="O138" s="10">
        <v>18775</v>
      </c>
      <c r="P138" s="10">
        <v>6629.3</v>
      </c>
      <c r="Q138" s="10">
        <v>18775</v>
      </c>
      <c r="R138" s="9">
        <v>0</v>
      </c>
      <c r="S138" s="9">
        <v>0</v>
      </c>
      <c r="T138" s="9">
        <v>0</v>
      </c>
      <c r="U138" s="9">
        <v>6629.3</v>
      </c>
      <c r="V138" s="10">
        <v>6629.3</v>
      </c>
      <c r="W138" s="10">
        <v>6609.3</v>
      </c>
      <c r="X138" s="11">
        <v>46261</v>
      </c>
      <c r="Y138" s="9" t="s">
        <v>2564</v>
      </c>
      <c r="Z138" s="11">
        <v>46265</v>
      </c>
      <c r="AA138" s="11">
        <v>46279</v>
      </c>
      <c r="AB138" s="9" t="s">
        <v>2559</v>
      </c>
      <c r="AC138" s="9">
        <v>260326210686920</v>
      </c>
      <c r="AD138" s="9" t="s">
        <v>3086</v>
      </c>
      <c r="AE138" s="9" t="s">
        <v>3109</v>
      </c>
      <c r="AF138" s="9" t="s">
        <v>2585</v>
      </c>
      <c r="AG138" s="9" t="s">
        <v>2570</v>
      </c>
      <c r="AH138" s="9" t="s">
        <v>2570</v>
      </c>
      <c r="AI138" s="9">
        <v>10</v>
      </c>
      <c r="AJ138" s="9" t="s">
        <v>2563</v>
      </c>
      <c r="AK138" s="9">
        <v>2968</v>
      </c>
      <c r="AM138" s="9" t="s">
        <v>2613</v>
      </c>
      <c r="AN138" s="11">
        <v>46278</v>
      </c>
      <c r="AO138" s="9">
        <v>2609767</v>
      </c>
      <c r="AP138" s="11">
        <v>46261</v>
      </c>
      <c r="AR138" s="9" t="s">
        <v>2614</v>
      </c>
      <c r="AT138" s="9" t="s">
        <v>2566</v>
      </c>
      <c r="AV138" s="14">
        <v>46275</v>
      </c>
      <c r="AX138" s="9" t="s">
        <v>3085</v>
      </c>
      <c r="AY138" s="9">
        <v>1</v>
      </c>
      <c r="AZ138" s="9" t="s">
        <v>2615</v>
      </c>
      <c r="BA138" s="11">
        <v>46265</v>
      </c>
      <c r="BB138" s="9">
        <v>306</v>
      </c>
      <c r="BC138" s="9" t="s">
        <v>3084</v>
      </c>
      <c r="BD138" s="9">
        <v>377118</v>
      </c>
      <c r="BE138" s="11">
        <v>46262</v>
      </c>
      <c r="BF138" s="9">
        <v>1680</v>
      </c>
      <c r="BG138" s="9">
        <v>1</v>
      </c>
      <c r="BH138" s="9" t="s">
        <v>3083</v>
      </c>
    </row>
    <row r="139" spans="1:61" x14ac:dyDescent="0.25">
      <c r="A139" s="9">
        <v>947</v>
      </c>
      <c r="B139" s="9" t="s">
        <v>2644</v>
      </c>
      <c r="C139" s="9" t="s">
        <v>2645</v>
      </c>
      <c r="D139" s="9">
        <v>947</v>
      </c>
      <c r="E139" s="9">
        <v>1454</v>
      </c>
      <c r="F139" s="9">
        <v>2026</v>
      </c>
      <c r="G139" s="9">
        <v>9470014542026</v>
      </c>
      <c r="H139" s="9">
        <v>62071100</v>
      </c>
      <c r="I139" s="9">
        <v>2020</v>
      </c>
      <c r="J139" s="9" t="s">
        <v>2848</v>
      </c>
      <c r="K139" s="9">
        <v>1</v>
      </c>
      <c r="L139" s="9" t="s">
        <v>2558</v>
      </c>
      <c r="M139" s="9">
        <v>4</v>
      </c>
      <c r="N139" s="9" t="s">
        <v>3087</v>
      </c>
      <c r="O139" s="10">
        <v>3026.2</v>
      </c>
      <c r="P139" s="9">
        <v>0</v>
      </c>
      <c r="Q139" s="10">
        <v>3026.2</v>
      </c>
      <c r="R139" s="9">
        <v>0</v>
      </c>
      <c r="S139" s="9">
        <v>0</v>
      </c>
      <c r="T139" s="9">
        <v>0</v>
      </c>
      <c r="V139" s="10">
        <v>3026.2</v>
      </c>
      <c r="W139" s="10">
        <v>3003.02</v>
      </c>
      <c r="X139" s="11">
        <v>46247</v>
      </c>
      <c r="Y139" s="9" t="s">
        <v>2564</v>
      </c>
      <c r="Z139" s="11">
        <v>46265</v>
      </c>
      <c r="AA139" s="11">
        <v>46286</v>
      </c>
      <c r="AB139" s="9" t="s">
        <v>2559</v>
      </c>
      <c r="AC139" s="9">
        <v>260326210686920</v>
      </c>
      <c r="AD139" s="9" t="s">
        <v>3086</v>
      </c>
      <c r="AE139" s="9" t="s">
        <v>3095</v>
      </c>
      <c r="AF139" s="9" t="s">
        <v>2653</v>
      </c>
      <c r="AG139" s="9" t="s">
        <v>2570</v>
      </c>
      <c r="AH139" s="9" t="s">
        <v>2570</v>
      </c>
      <c r="AI139" s="9">
        <v>10</v>
      </c>
      <c r="AJ139" s="9" t="s">
        <v>2563</v>
      </c>
      <c r="AK139" s="9">
        <v>4080</v>
      </c>
      <c r="AM139" s="9" t="s">
        <v>2690</v>
      </c>
      <c r="AN139" s="11">
        <v>46285</v>
      </c>
      <c r="AO139" s="9">
        <v>2609264</v>
      </c>
      <c r="AP139" s="11">
        <v>46247</v>
      </c>
      <c r="AS139" s="9" t="s">
        <v>2565</v>
      </c>
      <c r="AT139" s="9" t="s">
        <v>2566</v>
      </c>
      <c r="AU139" s="9" t="s">
        <v>262</v>
      </c>
      <c r="AV139" s="14">
        <v>46285</v>
      </c>
      <c r="AW139" s="9">
        <v>2609264</v>
      </c>
      <c r="AX139" s="9" t="s">
        <v>3094</v>
      </c>
      <c r="AY139" s="9">
        <v>6</v>
      </c>
      <c r="AZ139" s="9" t="s">
        <v>2781</v>
      </c>
      <c r="BA139" s="11">
        <v>46265</v>
      </c>
      <c r="BB139" s="9">
        <v>306</v>
      </c>
      <c r="BC139" s="9" t="s">
        <v>3084</v>
      </c>
      <c r="BD139" s="9">
        <v>328122</v>
      </c>
      <c r="BE139" s="11">
        <v>46252</v>
      </c>
      <c r="BF139" s="9">
        <v>1680</v>
      </c>
      <c r="BG139" s="9">
        <v>1</v>
      </c>
      <c r="BH139" s="9" t="s">
        <v>3083</v>
      </c>
      <c r="BI139" s="9">
        <v>1</v>
      </c>
    </row>
    <row r="140" spans="1:61" x14ac:dyDescent="0.25">
      <c r="A140" s="9">
        <v>947</v>
      </c>
      <c r="B140" s="9" t="s">
        <v>2644</v>
      </c>
      <c r="C140" s="9" t="s">
        <v>2645</v>
      </c>
      <c r="D140" s="9">
        <v>947</v>
      </c>
      <c r="E140" s="9">
        <v>1513</v>
      </c>
      <c r="F140" s="9">
        <v>2026</v>
      </c>
      <c r="G140" s="9">
        <v>9470015132026</v>
      </c>
      <c r="H140" s="9">
        <v>62071100</v>
      </c>
      <c r="I140" s="9">
        <v>2020</v>
      </c>
      <c r="J140" s="9" t="s">
        <v>2848</v>
      </c>
      <c r="K140" s="9">
        <v>1</v>
      </c>
      <c r="L140" s="9" t="s">
        <v>2558</v>
      </c>
      <c r="M140" s="9">
        <v>4</v>
      </c>
      <c r="N140" s="9" t="s">
        <v>3087</v>
      </c>
      <c r="O140" s="10">
        <v>2368.4</v>
      </c>
      <c r="P140" s="9">
        <v>0</v>
      </c>
      <c r="Q140" s="10">
        <v>2368.4</v>
      </c>
      <c r="R140" s="9">
        <v>0</v>
      </c>
      <c r="S140" s="9">
        <v>0</v>
      </c>
      <c r="T140" s="9">
        <v>0</v>
      </c>
      <c r="V140" s="10">
        <v>2368.4</v>
      </c>
      <c r="W140" s="10">
        <v>2350.2600000000002</v>
      </c>
      <c r="X140" s="11">
        <v>46256</v>
      </c>
      <c r="Y140" s="9" t="s">
        <v>2564</v>
      </c>
      <c r="Z140" s="11">
        <v>46265</v>
      </c>
      <c r="AA140" s="11">
        <v>46286</v>
      </c>
      <c r="AB140" s="9" t="s">
        <v>2559</v>
      </c>
      <c r="AC140" s="9">
        <v>260326210686920</v>
      </c>
      <c r="AD140" s="9" t="s">
        <v>3086</v>
      </c>
      <c r="AE140" s="9" t="s">
        <v>3095</v>
      </c>
      <c r="AF140" s="9" t="s">
        <v>2653</v>
      </c>
      <c r="AG140" s="9" t="s">
        <v>2570</v>
      </c>
      <c r="AH140" s="9" t="s">
        <v>2570</v>
      </c>
      <c r="AI140" s="9">
        <v>10</v>
      </c>
      <c r="AJ140" s="9" t="s">
        <v>2563</v>
      </c>
      <c r="AK140" s="9">
        <v>8000</v>
      </c>
      <c r="AM140" s="9" t="s">
        <v>2690</v>
      </c>
      <c r="AN140" s="11">
        <v>46285</v>
      </c>
      <c r="AO140" s="9">
        <v>2609622</v>
      </c>
      <c r="AP140" s="11">
        <v>46256</v>
      </c>
      <c r="AR140" s="9" t="s">
        <v>2577</v>
      </c>
      <c r="AS140" s="9" t="s">
        <v>2565</v>
      </c>
      <c r="AT140" s="9" t="s">
        <v>2566</v>
      </c>
      <c r="AU140" s="9" t="s">
        <v>252</v>
      </c>
      <c r="AV140" s="14">
        <v>46285</v>
      </c>
      <c r="AW140" s="9">
        <v>2609622</v>
      </c>
      <c r="AX140" s="9" t="s">
        <v>3094</v>
      </c>
      <c r="AY140" s="9">
        <v>6</v>
      </c>
      <c r="AZ140" s="9" t="s">
        <v>2808</v>
      </c>
      <c r="BA140" s="11">
        <v>46265</v>
      </c>
      <c r="BB140" s="9">
        <v>306</v>
      </c>
      <c r="BC140" s="9" t="s">
        <v>3084</v>
      </c>
      <c r="BD140" s="9">
        <v>365423</v>
      </c>
      <c r="BE140" s="11">
        <v>46260</v>
      </c>
      <c r="BF140" s="9">
        <v>1680</v>
      </c>
      <c r="BG140" s="9">
        <v>1</v>
      </c>
      <c r="BH140" s="9" t="s">
        <v>3083</v>
      </c>
      <c r="BI140" s="9">
        <v>1</v>
      </c>
    </row>
    <row r="141" spans="1:61" x14ac:dyDescent="0.25">
      <c r="A141" s="9">
        <v>947</v>
      </c>
      <c r="B141" s="9" t="s">
        <v>2644</v>
      </c>
      <c r="C141" s="9" t="s">
        <v>2645</v>
      </c>
      <c r="D141" s="9">
        <v>947</v>
      </c>
      <c r="E141" s="9">
        <v>1538</v>
      </c>
      <c r="F141" s="9">
        <v>2026</v>
      </c>
      <c r="G141" s="9">
        <v>9470015382026</v>
      </c>
      <c r="H141" s="9">
        <v>62071100</v>
      </c>
      <c r="I141" s="9">
        <v>2020</v>
      </c>
      <c r="J141" s="9" t="s">
        <v>2848</v>
      </c>
      <c r="K141" s="9">
        <v>1</v>
      </c>
      <c r="L141" s="9" t="s">
        <v>2558</v>
      </c>
      <c r="M141" s="9">
        <v>4</v>
      </c>
      <c r="N141" s="9" t="s">
        <v>3087</v>
      </c>
      <c r="O141" s="10">
        <v>4870.5</v>
      </c>
      <c r="Q141" s="10">
        <v>4870.5</v>
      </c>
      <c r="R141" s="9">
        <v>0</v>
      </c>
      <c r="S141" s="9">
        <v>0</v>
      </c>
      <c r="T141" s="9">
        <v>0</v>
      </c>
      <c r="V141" s="10">
        <v>4870.5</v>
      </c>
      <c r="W141" s="10">
        <v>4833.1899999999996</v>
      </c>
      <c r="X141" s="11">
        <v>46258</v>
      </c>
      <c r="Y141" s="9" t="s">
        <v>2564</v>
      </c>
      <c r="Z141" s="11">
        <v>46265</v>
      </c>
      <c r="AA141" s="11">
        <v>46286</v>
      </c>
      <c r="AB141" s="9" t="s">
        <v>2559</v>
      </c>
      <c r="AC141" s="9">
        <v>260326210686920</v>
      </c>
      <c r="AD141" s="9" t="s">
        <v>3086</v>
      </c>
      <c r="AE141" s="9" t="s">
        <v>3095</v>
      </c>
      <c r="AF141" s="9" t="s">
        <v>2653</v>
      </c>
      <c r="AG141" s="9" t="s">
        <v>2570</v>
      </c>
      <c r="AH141" s="9" t="s">
        <v>2570</v>
      </c>
      <c r="AI141" s="9">
        <v>10</v>
      </c>
      <c r="AJ141" s="9" t="s">
        <v>2563</v>
      </c>
      <c r="AK141" s="9">
        <v>10000</v>
      </c>
      <c r="AM141" s="9" t="s">
        <v>2690</v>
      </c>
      <c r="AN141" s="11">
        <v>46285</v>
      </c>
      <c r="AO141" s="9">
        <v>2609668</v>
      </c>
      <c r="AP141" s="11">
        <v>46257</v>
      </c>
      <c r="AT141" s="9" t="s">
        <v>2566</v>
      </c>
      <c r="AV141" s="14">
        <v>46285</v>
      </c>
      <c r="AX141" s="9" t="s">
        <v>3094</v>
      </c>
      <c r="AY141" s="9">
        <v>6</v>
      </c>
      <c r="AZ141" s="9" t="s">
        <v>2885</v>
      </c>
      <c r="BA141" s="11">
        <v>46265</v>
      </c>
      <c r="BB141" s="9">
        <v>306</v>
      </c>
      <c r="BC141" s="9" t="s">
        <v>3084</v>
      </c>
      <c r="BD141" s="9">
        <v>366569</v>
      </c>
      <c r="BE141" s="11">
        <v>46260</v>
      </c>
      <c r="BF141" s="9">
        <v>1680</v>
      </c>
      <c r="BG141" s="9">
        <v>1</v>
      </c>
      <c r="BH141" s="9" t="s">
        <v>3083</v>
      </c>
      <c r="BI141" s="9">
        <v>1</v>
      </c>
    </row>
    <row r="142" spans="1:61" x14ac:dyDescent="0.25">
      <c r="A142" s="9">
        <v>947</v>
      </c>
      <c r="B142" s="9" t="s">
        <v>2644</v>
      </c>
      <c r="C142" s="9" t="s">
        <v>2645</v>
      </c>
      <c r="D142" s="9">
        <v>947</v>
      </c>
      <c r="E142" s="9">
        <v>1549</v>
      </c>
      <c r="F142" s="9">
        <v>2026</v>
      </c>
      <c r="G142" s="9">
        <v>9470015492026</v>
      </c>
      <c r="H142" s="9">
        <v>62052000</v>
      </c>
      <c r="I142" s="9">
        <v>2020</v>
      </c>
      <c r="J142" s="9" t="s">
        <v>2848</v>
      </c>
      <c r="K142" s="9">
        <v>1</v>
      </c>
      <c r="L142" s="9" t="s">
        <v>2558</v>
      </c>
      <c r="M142" s="9">
        <v>4</v>
      </c>
      <c r="N142" s="9" t="s">
        <v>3087</v>
      </c>
      <c r="O142" s="10">
        <v>11299.56</v>
      </c>
      <c r="P142" s="9">
        <v>0</v>
      </c>
      <c r="Q142" s="10">
        <v>11299.56</v>
      </c>
      <c r="R142" s="9">
        <v>0</v>
      </c>
      <c r="S142" s="9">
        <v>0</v>
      </c>
      <c r="T142" s="9">
        <v>0</v>
      </c>
      <c r="V142" s="10">
        <v>11299.56</v>
      </c>
      <c r="W142" s="10">
        <v>11213</v>
      </c>
      <c r="X142" s="11">
        <v>46259</v>
      </c>
      <c r="Y142" s="9" t="s">
        <v>2564</v>
      </c>
      <c r="Z142" s="11">
        <v>46267</v>
      </c>
      <c r="AA142" s="11">
        <v>46286</v>
      </c>
      <c r="AB142" s="9" t="s">
        <v>2559</v>
      </c>
      <c r="AC142" s="9">
        <v>260326210686920</v>
      </c>
      <c r="AD142" s="9" t="s">
        <v>3086</v>
      </c>
      <c r="AE142" s="9" t="s">
        <v>3095</v>
      </c>
      <c r="AF142" s="9" t="s">
        <v>2653</v>
      </c>
      <c r="AG142" s="9" t="s">
        <v>2570</v>
      </c>
      <c r="AH142" s="9" t="s">
        <v>2570</v>
      </c>
      <c r="AI142" s="9">
        <v>10</v>
      </c>
      <c r="AJ142" s="9" t="s">
        <v>2563</v>
      </c>
      <c r="AK142" s="9">
        <v>23200</v>
      </c>
      <c r="AM142" s="9" t="s">
        <v>2690</v>
      </c>
      <c r="AN142" s="11">
        <v>46285</v>
      </c>
      <c r="AO142" s="9">
        <v>2609733</v>
      </c>
      <c r="AP142" s="11">
        <v>46258</v>
      </c>
      <c r="AR142" s="9" t="s">
        <v>2577</v>
      </c>
      <c r="AS142" s="9" t="s">
        <v>2565</v>
      </c>
      <c r="AT142" s="9" t="s">
        <v>2566</v>
      </c>
      <c r="AU142" s="9" t="s">
        <v>252</v>
      </c>
      <c r="AV142" s="14">
        <v>46285</v>
      </c>
      <c r="AW142" s="9">
        <v>2609733</v>
      </c>
      <c r="AX142" s="9" t="s">
        <v>3094</v>
      </c>
      <c r="AY142" s="9">
        <v>6</v>
      </c>
      <c r="AZ142" s="9" t="s">
        <v>2693</v>
      </c>
      <c r="BA142" s="11">
        <v>46267</v>
      </c>
      <c r="BB142" s="9">
        <v>306</v>
      </c>
      <c r="BC142" s="9" t="s">
        <v>3084</v>
      </c>
      <c r="BD142" s="9">
        <v>381043</v>
      </c>
      <c r="BE142" s="11">
        <v>46264</v>
      </c>
      <c r="BF142" s="9">
        <v>1680</v>
      </c>
      <c r="BG142" s="9">
        <v>1</v>
      </c>
      <c r="BH142" s="9" t="s">
        <v>3083</v>
      </c>
      <c r="BI142" s="9">
        <v>1</v>
      </c>
    </row>
    <row r="143" spans="1:61" x14ac:dyDescent="0.25">
      <c r="A143" s="9">
        <v>947</v>
      </c>
      <c r="B143" s="9" t="s">
        <v>2644</v>
      </c>
      <c r="C143" s="9" t="s">
        <v>2645</v>
      </c>
      <c r="D143" s="9">
        <v>947</v>
      </c>
      <c r="E143" s="9">
        <v>1550</v>
      </c>
      <c r="F143" s="9">
        <v>2026</v>
      </c>
      <c r="G143" s="9">
        <v>9470015502026</v>
      </c>
      <c r="H143" s="9">
        <v>62052000</v>
      </c>
      <c r="I143" s="9">
        <v>2020</v>
      </c>
      <c r="J143" s="9" t="s">
        <v>2848</v>
      </c>
      <c r="K143" s="9">
        <v>1</v>
      </c>
      <c r="L143" s="9" t="s">
        <v>2558</v>
      </c>
      <c r="M143" s="9">
        <v>4</v>
      </c>
      <c r="N143" s="9" t="s">
        <v>3087</v>
      </c>
      <c r="O143" s="10">
        <v>10715.1</v>
      </c>
      <c r="P143" s="9">
        <v>0</v>
      </c>
      <c r="Q143" s="10">
        <v>10715.1</v>
      </c>
      <c r="R143" s="9">
        <v>0</v>
      </c>
      <c r="S143" s="9">
        <v>0</v>
      </c>
      <c r="T143" s="9">
        <v>0</v>
      </c>
      <c r="V143" s="10">
        <v>10715.1</v>
      </c>
      <c r="W143" s="10">
        <v>10633.01</v>
      </c>
      <c r="X143" s="11">
        <v>46259</v>
      </c>
      <c r="Y143" s="9" t="s">
        <v>2564</v>
      </c>
      <c r="Z143" s="11">
        <v>46267</v>
      </c>
      <c r="AA143" s="11">
        <v>46286</v>
      </c>
      <c r="AB143" s="9" t="s">
        <v>2559</v>
      </c>
      <c r="AC143" s="9">
        <v>260326210686920</v>
      </c>
      <c r="AD143" s="9" t="s">
        <v>3086</v>
      </c>
      <c r="AE143" s="9" t="s">
        <v>3095</v>
      </c>
      <c r="AF143" s="9" t="s">
        <v>2653</v>
      </c>
      <c r="AG143" s="9" t="s">
        <v>2570</v>
      </c>
      <c r="AH143" s="9" t="s">
        <v>2570</v>
      </c>
      <c r="AI143" s="9">
        <v>10</v>
      </c>
      <c r="AJ143" s="9" t="s">
        <v>2563</v>
      </c>
      <c r="AK143" s="9">
        <v>22000</v>
      </c>
      <c r="AM143" s="9" t="s">
        <v>2690</v>
      </c>
      <c r="AN143" s="11">
        <v>46285</v>
      </c>
      <c r="AO143" s="9">
        <v>2609734</v>
      </c>
      <c r="AP143" s="11">
        <v>46258</v>
      </c>
      <c r="AS143" s="9" t="s">
        <v>2565</v>
      </c>
      <c r="AT143" s="9" t="s">
        <v>2566</v>
      </c>
      <c r="AU143" s="9" t="s">
        <v>262</v>
      </c>
      <c r="AV143" s="14">
        <v>46285</v>
      </c>
      <c r="AW143" s="9">
        <v>2609734</v>
      </c>
      <c r="AX143" s="9" t="s">
        <v>3094</v>
      </c>
      <c r="AY143" s="9">
        <v>6</v>
      </c>
      <c r="AZ143" s="9" t="s">
        <v>2695</v>
      </c>
      <c r="BA143" s="11">
        <v>46267</v>
      </c>
      <c r="BB143" s="9">
        <v>306</v>
      </c>
      <c r="BC143" s="9" t="s">
        <v>3084</v>
      </c>
      <c r="BD143" s="9">
        <v>381047</v>
      </c>
      <c r="BE143" s="11">
        <v>46264</v>
      </c>
      <c r="BF143" s="9">
        <v>1680</v>
      </c>
      <c r="BG143" s="9">
        <v>1</v>
      </c>
      <c r="BH143" s="9" t="s">
        <v>3083</v>
      </c>
      <c r="BI143" s="9">
        <v>1</v>
      </c>
    </row>
    <row r="144" spans="1:61" x14ac:dyDescent="0.25">
      <c r="A144" s="9">
        <v>947</v>
      </c>
      <c r="B144" s="9" t="s">
        <v>2644</v>
      </c>
      <c r="C144" s="9" t="s">
        <v>2645</v>
      </c>
      <c r="D144" s="9">
        <v>947</v>
      </c>
      <c r="E144" s="9">
        <v>1512</v>
      </c>
      <c r="F144" s="9">
        <v>2026</v>
      </c>
      <c r="G144" s="9">
        <v>9470015122026</v>
      </c>
      <c r="H144" s="9">
        <v>62071100</v>
      </c>
      <c r="I144" s="9">
        <v>2016</v>
      </c>
      <c r="J144" s="9" t="s">
        <v>2851</v>
      </c>
      <c r="K144" s="9">
        <v>1</v>
      </c>
      <c r="L144" s="9" t="s">
        <v>2558</v>
      </c>
      <c r="M144" s="9">
        <v>4</v>
      </c>
      <c r="N144" s="9" t="s">
        <v>3087</v>
      </c>
      <c r="O144" s="10">
        <v>23684</v>
      </c>
      <c r="P144" s="9">
        <v>0</v>
      </c>
      <c r="Q144" s="10">
        <v>23684</v>
      </c>
      <c r="R144" s="9">
        <v>0</v>
      </c>
      <c r="S144" s="9">
        <v>0</v>
      </c>
      <c r="T144" s="9">
        <v>0</v>
      </c>
      <c r="V144" s="10">
        <v>23684</v>
      </c>
      <c r="W144" s="10">
        <v>23502.560000000001</v>
      </c>
      <c r="X144" s="11">
        <v>46256</v>
      </c>
      <c r="Y144" s="9" t="s">
        <v>2564</v>
      </c>
      <c r="Z144" s="11">
        <v>46267</v>
      </c>
      <c r="AA144" s="11">
        <v>46286</v>
      </c>
      <c r="AB144" s="9" t="s">
        <v>2559</v>
      </c>
      <c r="AC144" s="9">
        <v>260326210686920</v>
      </c>
      <c r="AD144" s="9" t="s">
        <v>3086</v>
      </c>
      <c r="AE144" s="9" t="s">
        <v>3095</v>
      </c>
      <c r="AF144" s="9" t="s">
        <v>2653</v>
      </c>
      <c r="AG144" s="9" t="s">
        <v>2570</v>
      </c>
      <c r="AH144" s="9" t="s">
        <v>2570</v>
      </c>
      <c r="AI144" s="9">
        <v>10</v>
      </c>
      <c r="AJ144" s="9" t="s">
        <v>2563</v>
      </c>
      <c r="AK144" s="9">
        <v>80000</v>
      </c>
      <c r="AM144" s="9" t="s">
        <v>2690</v>
      </c>
      <c r="AN144" s="11">
        <v>46285</v>
      </c>
      <c r="AO144" s="9">
        <v>2609621</v>
      </c>
      <c r="AP144" s="11">
        <v>46256</v>
      </c>
      <c r="AS144" s="9" t="s">
        <v>2565</v>
      </c>
      <c r="AT144" s="9" t="s">
        <v>2566</v>
      </c>
      <c r="AU144" s="9" t="s">
        <v>183</v>
      </c>
      <c r="AV144" s="14">
        <v>46285</v>
      </c>
      <c r="AW144" s="9">
        <v>2609621</v>
      </c>
      <c r="AX144" s="9" t="s">
        <v>3094</v>
      </c>
      <c r="AY144" s="9">
        <v>6</v>
      </c>
      <c r="AZ144" s="9" t="s">
        <v>2806</v>
      </c>
      <c r="BA144" s="11">
        <v>46267</v>
      </c>
      <c r="BB144" s="9">
        <v>306</v>
      </c>
      <c r="BC144" s="9" t="s">
        <v>3084</v>
      </c>
      <c r="BD144" s="9">
        <v>365431</v>
      </c>
      <c r="BE144" s="11">
        <v>46260</v>
      </c>
      <c r="BF144" s="9">
        <v>1680</v>
      </c>
      <c r="BG144" s="9">
        <v>1</v>
      </c>
      <c r="BH144" s="9" t="s">
        <v>3083</v>
      </c>
      <c r="BI144" s="9">
        <v>1</v>
      </c>
    </row>
    <row r="145" spans="1:61" x14ac:dyDescent="0.25">
      <c r="A145" s="9">
        <v>947</v>
      </c>
      <c r="B145" s="9" t="s">
        <v>2644</v>
      </c>
      <c r="C145" s="9" t="s">
        <v>2645</v>
      </c>
      <c r="D145" s="9">
        <v>947</v>
      </c>
      <c r="E145" s="9">
        <v>1514</v>
      </c>
      <c r="F145" s="9">
        <v>2026</v>
      </c>
      <c r="G145" s="9">
        <v>9470015142026</v>
      </c>
      <c r="H145" s="9">
        <v>62071100</v>
      </c>
      <c r="I145" s="9">
        <v>2020</v>
      </c>
      <c r="J145" s="9" t="s">
        <v>2848</v>
      </c>
      <c r="K145" s="9">
        <v>1</v>
      </c>
      <c r="L145" s="9" t="s">
        <v>2558</v>
      </c>
      <c r="M145" s="9">
        <v>4</v>
      </c>
      <c r="N145" s="9" t="s">
        <v>3087</v>
      </c>
      <c r="O145" s="10">
        <v>2131.56</v>
      </c>
      <c r="P145" s="9">
        <v>0</v>
      </c>
      <c r="Q145" s="10">
        <v>2131.56</v>
      </c>
      <c r="R145" s="9">
        <v>0</v>
      </c>
      <c r="S145" s="9">
        <v>0</v>
      </c>
      <c r="T145" s="9">
        <v>0</v>
      </c>
      <c r="V145" s="10">
        <v>2131.56</v>
      </c>
      <c r="W145" s="10">
        <v>2115.23</v>
      </c>
      <c r="X145" s="11">
        <v>46256</v>
      </c>
      <c r="Y145" s="9" t="s">
        <v>2564</v>
      </c>
      <c r="Z145" s="11">
        <v>46267</v>
      </c>
      <c r="AA145" s="11">
        <v>46286</v>
      </c>
      <c r="AB145" s="9" t="s">
        <v>2559</v>
      </c>
      <c r="AC145" s="9">
        <v>260326210686920</v>
      </c>
      <c r="AD145" s="9" t="s">
        <v>3086</v>
      </c>
      <c r="AE145" s="9" t="s">
        <v>3095</v>
      </c>
      <c r="AF145" s="9" t="s">
        <v>2653</v>
      </c>
      <c r="AG145" s="9" t="s">
        <v>2570</v>
      </c>
      <c r="AH145" s="9" t="s">
        <v>2570</v>
      </c>
      <c r="AI145" s="9">
        <v>10</v>
      </c>
      <c r="AJ145" s="9" t="s">
        <v>2563</v>
      </c>
      <c r="AK145" s="9">
        <v>7200</v>
      </c>
      <c r="AM145" s="9" t="s">
        <v>2690</v>
      </c>
      <c r="AN145" s="11">
        <v>46285</v>
      </c>
      <c r="AO145" s="9">
        <v>2609623</v>
      </c>
      <c r="AP145" s="11">
        <v>46256</v>
      </c>
      <c r="AS145" s="9" t="s">
        <v>2565</v>
      </c>
      <c r="AT145" s="9" t="s">
        <v>2566</v>
      </c>
      <c r="AU145" s="9" t="s">
        <v>262</v>
      </c>
      <c r="AV145" s="14">
        <v>46285</v>
      </c>
      <c r="AW145" s="9">
        <v>2609623</v>
      </c>
      <c r="AX145" s="9" t="s">
        <v>3094</v>
      </c>
      <c r="AY145" s="9">
        <v>6</v>
      </c>
      <c r="AZ145" s="9" t="s">
        <v>2810</v>
      </c>
      <c r="BA145" s="11">
        <v>46267</v>
      </c>
      <c r="BB145" s="9">
        <v>306</v>
      </c>
      <c r="BC145" s="9" t="s">
        <v>3084</v>
      </c>
      <c r="BD145" s="9">
        <v>365410</v>
      </c>
      <c r="BE145" s="11">
        <v>46260</v>
      </c>
      <c r="BF145" s="9">
        <v>1680</v>
      </c>
      <c r="BG145" s="9">
        <v>1</v>
      </c>
      <c r="BH145" s="9" t="s">
        <v>3083</v>
      </c>
      <c r="BI145" s="9">
        <v>1</v>
      </c>
    </row>
    <row r="146" spans="1:61" x14ac:dyDescent="0.25">
      <c r="A146" s="9">
        <v>1880</v>
      </c>
      <c r="B146" s="9" t="s">
        <v>2916</v>
      </c>
      <c r="C146" s="9" t="s">
        <v>2557</v>
      </c>
      <c r="D146" s="9">
        <v>1880</v>
      </c>
      <c r="E146" s="9">
        <v>1711</v>
      </c>
      <c r="F146" s="9">
        <v>2026</v>
      </c>
      <c r="G146" s="9">
        <v>18800017112026</v>
      </c>
      <c r="H146" s="9">
        <v>62063000</v>
      </c>
      <c r="I146" s="9">
        <v>2016</v>
      </c>
      <c r="J146" s="9" t="s">
        <v>2851</v>
      </c>
      <c r="K146" s="9">
        <v>1</v>
      </c>
      <c r="L146" s="9" t="s">
        <v>2558</v>
      </c>
      <c r="M146" s="9">
        <v>4</v>
      </c>
      <c r="N146" s="9" t="s">
        <v>3087</v>
      </c>
      <c r="O146" s="10">
        <v>24640</v>
      </c>
      <c r="P146" s="9">
        <v>0</v>
      </c>
      <c r="Q146" s="10">
        <v>24640</v>
      </c>
      <c r="R146" s="9">
        <v>0</v>
      </c>
      <c r="S146" s="9">
        <v>0</v>
      </c>
      <c r="T146" s="9">
        <v>0</v>
      </c>
      <c r="V146" s="10">
        <v>24640</v>
      </c>
      <c r="W146" s="10">
        <v>24032.23</v>
      </c>
      <c r="X146" s="11">
        <v>46264</v>
      </c>
      <c r="Y146" s="9" t="s">
        <v>2564</v>
      </c>
      <c r="Z146" s="11">
        <v>46268</v>
      </c>
      <c r="AA146" s="11">
        <v>46287</v>
      </c>
      <c r="AB146" s="9" t="s">
        <v>2559</v>
      </c>
      <c r="AC146" s="9">
        <v>260326210686920</v>
      </c>
      <c r="AD146" s="9" t="s">
        <v>3086</v>
      </c>
      <c r="AE146" s="9" t="s">
        <v>200</v>
      </c>
      <c r="AF146" s="9" t="s">
        <v>2919</v>
      </c>
      <c r="AG146" s="9" t="s">
        <v>2570</v>
      </c>
      <c r="AH146" s="9" t="s">
        <v>2570</v>
      </c>
      <c r="AI146" s="9">
        <v>10</v>
      </c>
      <c r="AJ146" s="9" t="s">
        <v>2563</v>
      </c>
      <c r="AK146" s="9">
        <v>4480</v>
      </c>
      <c r="AM146" s="9" t="s">
        <v>2928</v>
      </c>
      <c r="AN146" s="11">
        <v>46286</v>
      </c>
      <c r="AO146" s="9">
        <v>2609869</v>
      </c>
      <c r="AP146" s="11">
        <v>46262</v>
      </c>
      <c r="AR146" s="9" t="s">
        <v>2571</v>
      </c>
      <c r="AS146" s="9" t="s">
        <v>2642</v>
      </c>
      <c r="AT146" s="9" t="s">
        <v>2566</v>
      </c>
      <c r="AU146" s="9" t="s">
        <v>183</v>
      </c>
      <c r="AV146" s="14">
        <v>46273</v>
      </c>
      <c r="AW146" s="9">
        <v>2609869</v>
      </c>
      <c r="AX146" s="9" t="s">
        <v>3085</v>
      </c>
      <c r="AY146" s="9">
        <v>1</v>
      </c>
      <c r="AZ146" s="9" t="s">
        <v>2955</v>
      </c>
      <c r="BA146" s="11">
        <v>46268</v>
      </c>
      <c r="BB146" s="9">
        <v>306</v>
      </c>
      <c r="BC146" s="9" t="s">
        <v>3084</v>
      </c>
      <c r="BD146" s="9">
        <v>383341</v>
      </c>
      <c r="BE146" s="11">
        <v>46264</v>
      </c>
      <c r="BF146" s="9">
        <v>1680</v>
      </c>
      <c r="BG146" s="9">
        <v>1</v>
      </c>
      <c r="BH146" s="9" t="s">
        <v>3083</v>
      </c>
    </row>
    <row r="147" spans="1:61" x14ac:dyDescent="0.25">
      <c r="A147" s="9">
        <v>1949</v>
      </c>
      <c r="B147" s="9" t="s">
        <v>2556</v>
      </c>
      <c r="C147" s="9" t="s">
        <v>2557</v>
      </c>
      <c r="D147" s="9">
        <v>1949</v>
      </c>
      <c r="E147" s="9">
        <v>1868</v>
      </c>
      <c r="F147" s="9">
        <v>2026</v>
      </c>
      <c r="G147" s="9">
        <v>19490018682026</v>
      </c>
      <c r="H147" s="9">
        <v>62063000</v>
      </c>
      <c r="I147" s="9">
        <v>2016</v>
      </c>
      <c r="J147" s="9" t="s">
        <v>2851</v>
      </c>
      <c r="K147" s="9">
        <v>1</v>
      </c>
      <c r="L147" s="9" t="s">
        <v>2558</v>
      </c>
      <c r="M147" s="9">
        <v>4</v>
      </c>
      <c r="N147" s="9" t="s">
        <v>3087</v>
      </c>
      <c r="O147" s="10">
        <v>6248.7</v>
      </c>
      <c r="P147" s="9">
        <v>0</v>
      </c>
      <c r="Q147" s="10">
        <v>6248.7</v>
      </c>
      <c r="R147" s="9">
        <v>0</v>
      </c>
      <c r="S147" s="9">
        <v>0</v>
      </c>
      <c r="T147" s="9">
        <v>0</v>
      </c>
      <c r="V147" s="10">
        <v>6248.7</v>
      </c>
      <c r="W147" s="10">
        <v>6094.45</v>
      </c>
      <c r="X147" s="11">
        <v>46264</v>
      </c>
      <c r="Y147" s="9" t="s">
        <v>2564</v>
      </c>
      <c r="Z147" s="11">
        <v>46268</v>
      </c>
      <c r="AA147" s="11">
        <v>46287</v>
      </c>
      <c r="AB147" s="9" t="s">
        <v>2559</v>
      </c>
      <c r="AC147" s="9">
        <v>260326210686920</v>
      </c>
      <c r="AD147" s="9" t="s">
        <v>3086</v>
      </c>
      <c r="AE147" s="9" t="s">
        <v>850</v>
      </c>
      <c r="AF147" s="9" t="s">
        <v>2562</v>
      </c>
      <c r="AG147" s="9" t="s">
        <v>2570</v>
      </c>
      <c r="AH147" s="9" t="s">
        <v>2570</v>
      </c>
      <c r="AI147" s="9">
        <v>10</v>
      </c>
      <c r="AJ147" s="9" t="s">
        <v>2563</v>
      </c>
      <c r="AK147" s="9">
        <v>1572</v>
      </c>
      <c r="AM147" s="9" t="s">
        <v>2625</v>
      </c>
      <c r="AN147" s="11">
        <v>46286</v>
      </c>
      <c r="AO147" s="9">
        <v>2609871</v>
      </c>
      <c r="AP147" s="11">
        <v>46262</v>
      </c>
      <c r="AR147" s="9" t="s">
        <v>2571</v>
      </c>
      <c r="AS147" s="9" t="s">
        <v>2642</v>
      </c>
      <c r="AT147" s="9" t="s">
        <v>2566</v>
      </c>
      <c r="AU147" s="9" t="s">
        <v>206</v>
      </c>
      <c r="AV147" s="14">
        <v>46273</v>
      </c>
      <c r="AW147" s="9">
        <v>2609871</v>
      </c>
      <c r="AX147" s="9" t="s">
        <v>3085</v>
      </c>
      <c r="AY147" s="9">
        <v>1</v>
      </c>
      <c r="AZ147" s="9" t="s">
        <v>2643</v>
      </c>
      <c r="BA147" s="11">
        <v>46268</v>
      </c>
      <c r="BB147" s="9">
        <v>306</v>
      </c>
      <c r="BC147" s="9" t="s">
        <v>3084</v>
      </c>
      <c r="BD147" s="9">
        <v>383340</v>
      </c>
      <c r="BE147" s="11">
        <v>46264</v>
      </c>
      <c r="BF147" s="9">
        <v>1680</v>
      </c>
      <c r="BG147" s="9">
        <v>1</v>
      </c>
      <c r="BH147" s="9" t="s">
        <v>3083</v>
      </c>
    </row>
    <row r="148" spans="1:61" x14ac:dyDescent="0.25">
      <c r="A148" s="9">
        <v>1880</v>
      </c>
      <c r="B148" s="9" t="s">
        <v>2916</v>
      </c>
      <c r="C148" s="9" t="s">
        <v>2557</v>
      </c>
      <c r="D148" s="9">
        <v>1880</v>
      </c>
      <c r="E148" s="9">
        <v>1713</v>
      </c>
      <c r="F148" s="9">
        <v>2026</v>
      </c>
      <c r="G148" s="9">
        <v>18800017132026</v>
      </c>
      <c r="H148" s="9">
        <v>62112000</v>
      </c>
      <c r="I148" s="9">
        <v>2016</v>
      </c>
      <c r="J148" s="9" t="s">
        <v>2851</v>
      </c>
      <c r="K148" s="9">
        <v>1</v>
      </c>
      <c r="L148" s="9" t="s">
        <v>2558</v>
      </c>
      <c r="M148" s="9">
        <v>4</v>
      </c>
      <c r="N148" s="9" t="s">
        <v>3087</v>
      </c>
      <c r="O148" s="10">
        <v>5096.3999999999996</v>
      </c>
      <c r="P148" s="9">
        <v>0</v>
      </c>
      <c r="Q148" s="10">
        <v>5096.3999999999996</v>
      </c>
      <c r="R148" s="9">
        <v>0</v>
      </c>
      <c r="S148" s="9">
        <v>0</v>
      </c>
      <c r="T148" s="9">
        <v>0</v>
      </c>
      <c r="V148" s="10">
        <v>5096.3999999999996</v>
      </c>
      <c r="W148" s="10">
        <v>4970.6899999999996</v>
      </c>
      <c r="X148" s="11">
        <v>46264</v>
      </c>
      <c r="Y148" s="9" t="s">
        <v>2564</v>
      </c>
      <c r="Z148" s="11">
        <v>46268</v>
      </c>
      <c r="AA148" s="11">
        <v>46287</v>
      </c>
      <c r="AB148" s="9" t="s">
        <v>2559</v>
      </c>
      <c r="AC148" s="9">
        <v>260326210686920</v>
      </c>
      <c r="AD148" s="9" t="s">
        <v>3086</v>
      </c>
      <c r="AE148" s="9" t="s">
        <v>200</v>
      </c>
      <c r="AF148" s="9" t="s">
        <v>2919</v>
      </c>
      <c r="AG148" s="9" t="s">
        <v>2570</v>
      </c>
      <c r="AH148" s="9" t="s">
        <v>2570</v>
      </c>
      <c r="AI148" s="9">
        <v>10</v>
      </c>
      <c r="AJ148" s="9" t="s">
        <v>2563</v>
      </c>
      <c r="AK148" s="9">
        <v>936</v>
      </c>
      <c r="AM148" s="9" t="s">
        <v>2928</v>
      </c>
      <c r="AN148" s="11">
        <v>46286</v>
      </c>
      <c r="AO148" s="9">
        <v>2609875</v>
      </c>
      <c r="AP148" s="11">
        <v>46264</v>
      </c>
      <c r="AR148" s="9" t="s">
        <v>2592</v>
      </c>
      <c r="AS148" s="9" t="s">
        <v>2642</v>
      </c>
      <c r="AT148" s="9" t="s">
        <v>2566</v>
      </c>
      <c r="AU148" s="9" t="s">
        <v>183</v>
      </c>
      <c r="AV148" s="14">
        <v>46273</v>
      </c>
      <c r="AW148" s="9">
        <v>2609875</v>
      </c>
      <c r="AX148" s="9" t="s">
        <v>3085</v>
      </c>
      <c r="AY148" s="9">
        <v>1</v>
      </c>
      <c r="AZ148" s="9" t="s">
        <v>2960</v>
      </c>
      <c r="BA148" s="11">
        <v>46268</v>
      </c>
      <c r="BB148" s="9">
        <v>306</v>
      </c>
      <c r="BC148" s="9" t="s">
        <v>3084</v>
      </c>
      <c r="BD148" s="9">
        <v>383314</v>
      </c>
      <c r="BE148" s="11">
        <v>46264</v>
      </c>
      <c r="BF148" s="9">
        <v>1680</v>
      </c>
      <c r="BG148" s="9">
        <v>1</v>
      </c>
      <c r="BH148" s="9" t="s">
        <v>3083</v>
      </c>
    </row>
    <row r="149" spans="1:61" x14ac:dyDescent="0.25">
      <c r="A149" s="9">
        <v>1880</v>
      </c>
      <c r="B149" s="9" t="s">
        <v>2916</v>
      </c>
      <c r="C149" s="9" t="s">
        <v>2557</v>
      </c>
      <c r="D149" s="9">
        <v>1880</v>
      </c>
      <c r="E149" s="9">
        <v>1653</v>
      </c>
      <c r="F149" s="9">
        <v>2026</v>
      </c>
      <c r="G149" s="9">
        <v>18800016532026</v>
      </c>
      <c r="H149" s="9">
        <v>62063000</v>
      </c>
      <c r="I149" s="9">
        <v>2016</v>
      </c>
      <c r="J149" s="9" t="s">
        <v>2851</v>
      </c>
      <c r="K149" s="9">
        <v>1</v>
      </c>
      <c r="L149" s="9" t="s">
        <v>2558</v>
      </c>
      <c r="M149" s="9">
        <v>4</v>
      </c>
      <c r="N149" s="9" t="s">
        <v>3087</v>
      </c>
      <c r="O149" s="10">
        <v>7055.19</v>
      </c>
      <c r="P149" s="9">
        <v>0</v>
      </c>
      <c r="Q149" s="10">
        <v>7055.19</v>
      </c>
      <c r="R149" s="9">
        <v>0</v>
      </c>
      <c r="S149" s="9">
        <v>0</v>
      </c>
      <c r="T149" s="9">
        <v>0</v>
      </c>
      <c r="V149" s="10">
        <v>7055.19</v>
      </c>
      <c r="W149" s="10">
        <v>6881.17</v>
      </c>
      <c r="X149" s="11">
        <v>46261</v>
      </c>
      <c r="Y149" s="9" t="s">
        <v>2564</v>
      </c>
      <c r="Z149" s="11">
        <v>46268</v>
      </c>
      <c r="AA149" s="11">
        <v>46287</v>
      </c>
      <c r="AB149" s="9" t="s">
        <v>2559</v>
      </c>
      <c r="AC149" s="9">
        <v>260326210686920</v>
      </c>
      <c r="AD149" s="9" t="s">
        <v>3086</v>
      </c>
      <c r="AE149" s="9" t="s">
        <v>200</v>
      </c>
      <c r="AF149" s="9" t="s">
        <v>2919</v>
      </c>
      <c r="AG149" s="9" t="s">
        <v>2570</v>
      </c>
      <c r="AH149" s="9" t="s">
        <v>2570</v>
      </c>
      <c r="AI149" s="9">
        <v>10</v>
      </c>
      <c r="AJ149" s="9" t="s">
        <v>2563</v>
      </c>
      <c r="AK149" s="9">
        <v>1698</v>
      </c>
      <c r="AM149" s="9" t="s">
        <v>2928</v>
      </c>
      <c r="AN149" s="11">
        <v>46286</v>
      </c>
      <c r="AO149" s="9">
        <v>2609776</v>
      </c>
      <c r="AP149" s="11">
        <v>46261</v>
      </c>
      <c r="AR149" s="9" t="s">
        <v>2571</v>
      </c>
      <c r="AS149" s="9" t="s">
        <v>2947</v>
      </c>
      <c r="AT149" s="9" t="s">
        <v>2566</v>
      </c>
      <c r="AU149" s="9" t="s">
        <v>206</v>
      </c>
      <c r="AV149" s="14">
        <v>46286</v>
      </c>
      <c r="AW149" s="9">
        <v>2609776</v>
      </c>
      <c r="AX149" s="9" t="s">
        <v>3085</v>
      </c>
      <c r="AY149" s="9">
        <v>1</v>
      </c>
      <c r="AZ149" s="9" t="s">
        <v>2974</v>
      </c>
      <c r="BA149" s="11">
        <v>46268</v>
      </c>
      <c r="BB149" s="9">
        <v>306</v>
      </c>
      <c r="BC149" s="9" t="s">
        <v>3084</v>
      </c>
      <c r="BD149" s="9">
        <v>370201</v>
      </c>
      <c r="BE149" s="11">
        <v>46261</v>
      </c>
      <c r="BF149" s="9">
        <v>1680</v>
      </c>
      <c r="BG149" s="9">
        <v>1</v>
      </c>
      <c r="BH149" s="9" t="s">
        <v>3083</v>
      </c>
    </row>
    <row r="150" spans="1:61" x14ac:dyDescent="0.25">
      <c r="A150" s="9">
        <v>1880</v>
      </c>
      <c r="B150" s="9" t="s">
        <v>2916</v>
      </c>
      <c r="C150" s="9" t="s">
        <v>2557</v>
      </c>
      <c r="D150" s="9">
        <v>1880</v>
      </c>
      <c r="E150" s="9">
        <v>1650</v>
      </c>
      <c r="F150" s="9">
        <v>2026</v>
      </c>
      <c r="G150" s="9">
        <v>18800016502026</v>
      </c>
      <c r="H150" s="9">
        <v>62063000</v>
      </c>
      <c r="I150" s="9">
        <v>2016</v>
      </c>
      <c r="J150" s="9" t="s">
        <v>2851</v>
      </c>
      <c r="K150" s="9">
        <v>1</v>
      </c>
      <c r="L150" s="9" t="s">
        <v>2558</v>
      </c>
      <c r="M150" s="9">
        <v>4</v>
      </c>
      <c r="N150" s="9" t="s">
        <v>3087</v>
      </c>
      <c r="O150" s="10">
        <v>13670.4</v>
      </c>
      <c r="P150" s="9">
        <v>0</v>
      </c>
      <c r="Q150" s="10">
        <v>13670.4</v>
      </c>
      <c r="R150" s="9">
        <v>0</v>
      </c>
      <c r="S150" s="9">
        <v>0</v>
      </c>
      <c r="T150" s="9">
        <v>0</v>
      </c>
      <c r="V150" s="10">
        <v>13670.4</v>
      </c>
      <c r="W150" s="10">
        <v>13333.2</v>
      </c>
      <c r="X150" s="11">
        <v>46261</v>
      </c>
      <c r="Y150" s="9" t="s">
        <v>2564</v>
      </c>
      <c r="Z150" s="11">
        <v>46268</v>
      </c>
      <c r="AA150" s="11">
        <v>46287</v>
      </c>
      <c r="AB150" s="9" t="s">
        <v>2559</v>
      </c>
      <c r="AC150" s="9">
        <v>260326210686920</v>
      </c>
      <c r="AD150" s="9" t="s">
        <v>3086</v>
      </c>
      <c r="AE150" s="9" t="s">
        <v>200</v>
      </c>
      <c r="AF150" s="9" t="s">
        <v>2919</v>
      </c>
      <c r="AG150" s="9" t="s">
        <v>2570</v>
      </c>
      <c r="AH150" s="9" t="s">
        <v>2570</v>
      </c>
      <c r="AI150" s="9">
        <v>10</v>
      </c>
      <c r="AJ150" s="9" t="s">
        <v>2563</v>
      </c>
      <c r="AK150" s="9">
        <v>3840</v>
      </c>
      <c r="AM150" s="9" t="s">
        <v>2928</v>
      </c>
      <c r="AN150" s="11">
        <v>46286</v>
      </c>
      <c r="AO150" s="9">
        <v>2609773</v>
      </c>
      <c r="AP150" s="11">
        <v>46261</v>
      </c>
      <c r="AR150" s="9" t="s">
        <v>2571</v>
      </c>
      <c r="AS150" s="9" t="s">
        <v>2642</v>
      </c>
      <c r="AT150" s="9" t="s">
        <v>2566</v>
      </c>
      <c r="AU150" s="9" t="s">
        <v>183</v>
      </c>
      <c r="AV150" s="14">
        <v>46273</v>
      </c>
      <c r="AW150" s="9">
        <v>2609773</v>
      </c>
      <c r="AX150" s="9" t="s">
        <v>3085</v>
      </c>
      <c r="AY150" s="9">
        <v>1</v>
      </c>
      <c r="AZ150" s="9" t="s">
        <v>2976</v>
      </c>
      <c r="BA150" s="11">
        <v>46268</v>
      </c>
      <c r="BB150" s="9">
        <v>306</v>
      </c>
      <c r="BC150" s="9" t="s">
        <v>3084</v>
      </c>
      <c r="BD150" s="9">
        <v>370209</v>
      </c>
      <c r="BE150" s="11">
        <v>46261</v>
      </c>
      <c r="BF150" s="9">
        <v>1680</v>
      </c>
      <c r="BG150" s="9">
        <v>1</v>
      </c>
      <c r="BH150" s="9" t="s">
        <v>3083</v>
      </c>
    </row>
    <row r="151" spans="1:61" x14ac:dyDescent="0.25">
      <c r="A151" s="9">
        <v>1880</v>
      </c>
      <c r="B151" s="9" t="s">
        <v>2916</v>
      </c>
      <c r="C151" s="9" t="s">
        <v>2557</v>
      </c>
      <c r="D151" s="9">
        <v>1880</v>
      </c>
      <c r="E151" s="9">
        <v>1618</v>
      </c>
      <c r="F151" s="9">
        <v>2026</v>
      </c>
      <c r="G151" s="9">
        <v>18800016182026</v>
      </c>
      <c r="H151" s="9">
        <v>62072100</v>
      </c>
      <c r="I151" s="9">
        <v>2016</v>
      </c>
      <c r="J151" s="9" t="s">
        <v>2851</v>
      </c>
      <c r="K151" s="9">
        <v>1</v>
      </c>
      <c r="L151" s="9" t="s">
        <v>2558</v>
      </c>
      <c r="M151" s="9">
        <v>4</v>
      </c>
      <c r="N151" s="9" t="s">
        <v>3087</v>
      </c>
      <c r="O151" s="10">
        <v>2724.4</v>
      </c>
      <c r="Q151" s="10">
        <v>2724.4</v>
      </c>
      <c r="R151" s="9">
        <v>0</v>
      </c>
      <c r="S151" s="9">
        <v>0</v>
      </c>
      <c r="T151" s="9">
        <v>0</v>
      </c>
      <c r="V151" s="10">
        <v>2724.4</v>
      </c>
      <c r="W151" s="10">
        <v>2657.2</v>
      </c>
      <c r="X151" s="11">
        <v>46255</v>
      </c>
      <c r="Y151" s="9" t="s">
        <v>2564</v>
      </c>
      <c r="Z151" s="11">
        <v>46268</v>
      </c>
      <c r="AA151" s="11">
        <v>46287</v>
      </c>
      <c r="AB151" s="9" t="s">
        <v>2559</v>
      </c>
      <c r="AC151" s="9">
        <v>260326210686920</v>
      </c>
      <c r="AD151" s="9" t="s">
        <v>3086</v>
      </c>
      <c r="AE151" s="9" t="s">
        <v>200</v>
      </c>
      <c r="AF151" s="9" t="s">
        <v>2919</v>
      </c>
      <c r="AG151" s="9" t="s">
        <v>2570</v>
      </c>
      <c r="AH151" s="9" t="s">
        <v>2570</v>
      </c>
      <c r="AI151" s="9">
        <v>10</v>
      </c>
      <c r="AJ151" s="9" t="s">
        <v>2563</v>
      </c>
      <c r="AK151" s="9">
        <v>784</v>
      </c>
      <c r="AM151" s="9" t="s">
        <v>2928</v>
      </c>
      <c r="AN151" s="11">
        <v>46286</v>
      </c>
      <c r="AO151" s="9">
        <v>2609633</v>
      </c>
      <c r="AP151" s="11">
        <v>46255</v>
      </c>
      <c r="AR151" s="9" t="s">
        <v>2614</v>
      </c>
      <c r="AS151" s="9" t="s">
        <v>2947</v>
      </c>
      <c r="AT151" s="9" t="s">
        <v>2566</v>
      </c>
      <c r="AV151" s="14">
        <v>46273</v>
      </c>
      <c r="AX151" s="9" t="s">
        <v>3085</v>
      </c>
      <c r="AY151" s="9">
        <v>1</v>
      </c>
      <c r="AZ151" s="9" t="s">
        <v>3036</v>
      </c>
      <c r="BA151" s="11">
        <v>46268</v>
      </c>
      <c r="BB151" s="9">
        <v>306</v>
      </c>
      <c r="BC151" s="9" t="s">
        <v>3084</v>
      </c>
      <c r="BD151" s="9">
        <v>348811</v>
      </c>
      <c r="BE151" s="11">
        <v>46256</v>
      </c>
      <c r="BF151" s="9">
        <v>1680</v>
      </c>
      <c r="BG151" s="9">
        <v>1</v>
      </c>
      <c r="BH151" s="9" t="s">
        <v>3083</v>
      </c>
    </row>
    <row r="152" spans="1:61" x14ac:dyDescent="0.25">
      <c r="A152" s="9">
        <v>1880</v>
      </c>
      <c r="B152" s="9" t="s">
        <v>2916</v>
      </c>
      <c r="C152" s="9" t="s">
        <v>2557</v>
      </c>
      <c r="D152" s="9">
        <v>1880</v>
      </c>
      <c r="E152" s="9">
        <v>1614</v>
      </c>
      <c r="F152" s="9">
        <v>2026</v>
      </c>
      <c r="G152" s="9">
        <v>18800016142026</v>
      </c>
      <c r="H152" s="9">
        <v>62072100</v>
      </c>
      <c r="I152" s="9">
        <v>2016</v>
      </c>
      <c r="J152" s="9" t="s">
        <v>2851</v>
      </c>
      <c r="K152" s="9">
        <v>1</v>
      </c>
      <c r="L152" s="9" t="s">
        <v>2558</v>
      </c>
      <c r="M152" s="9">
        <v>4</v>
      </c>
      <c r="N152" s="9" t="s">
        <v>3087</v>
      </c>
      <c r="O152" s="10">
        <v>4421.5</v>
      </c>
      <c r="Q152" s="10">
        <v>4421.5</v>
      </c>
      <c r="R152" s="9">
        <v>0</v>
      </c>
      <c r="S152" s="9">
        <v>0</v>
      </c>
      <c r="T152" s="9">
        <v>0</v>
      </c>
      <c r="V152" s="10">
        <v>4421.5</v>
      </c>
      <c r="W152" s="10">
        <v>4312.4399999999996</v>
      </c>
      <c r="X152" s="11">
        <v>46255</v>
      </c>
      <c r="Y152" s="9" t="s">
        <v>2564</v>
      </c>
      <c r="Z152" s="11">
        <v>46268</v>
      </c>
      <c r="AA152" s="11">
        <v>46287</v>
      </c>
      <c r="AB152" s="9" t="s">
        <v>2559</v>
      </c>
      <c r="AC152" s="9">
        <v>260326210686920</v>
      </c>
      <c r="AD152" s="9" t="s">
        <v>3086</v>
      </c>
      <c r="AE152" s="9" t="s">
        <v>200</v>
      </c>
      <c r="AF152" s="9" t="s">
        <v>2919</v>
      </c>
      <c r="AG152" s="9" t="s">
        <v>2570</v>
      </c>
      <c r="AH152" s="9" t="s">
        <v>2570</v>
      </c>
      <c r="AI152" s="9">
        <v>10</v>
      </c>
      <c r="AJ152" s="9" t="s">
        <v>2563</v>
      </c>
      <c r="AK152" s="9">
        <v>1398</v>
      </c>
      <c r="AM152" s="9" t="s">
        <v>2928</v>
      </c>
      <c r="AN152" s="11">
        <v>46286</v>
      </c>
      <c r="AO152" s="9">
        <v>2609615</v>
      </c>
      <c r="AP152" s="11">
        <v>46255</v>
      </c>
      <c r="AR152" s="9" t="s">
        <v>2571</v>
      </c>
      <c r="AS152" s="9" t="s">
        <v>2947</v>
      </c>
      <c r="AT152" s="9" t="s">
        <v>2566</v>
      </c>
      <c r="AV152" s="14">
        <v>46273</v>
      </c>
      <c r="AX152" s="9" t="s">
        <v>3085</v>
      </c>
      <c r="AY152" s="9">
        <v>1</v>
      </c>
      <c r="AZ152" s="9" t="s">
        <v>3040</v>
      </c>
      <c r="BA152" s="11">
        <v>46268</v>
      </c>
      <c r="BB152" s="9">
        <v>306</v>
      </c>
      <c r="BC152" s="9" t="s">
        <v>3084</v>
      </c>
      <c r="BD152" s="9">
        <v>347871</v>
      </c>
      <c r="BE152" s="11">
        <v>46256</v>
      </c>
      <c r="BF152" s="9">
        <v>1680</v>
      </c>
      <c r="BG152" s="9">
        <v>1</v>
      </c>
      <c r="BH152" s="9" t="s">
        <v>3083</v>
      </c>
    </row>
    <row r="153" spans="1:61" x14ac:dyDescent="0.25">
      <c r="A153" s="9">
        <v>1880</v>
      </c>
      <c r="B153" s="9" t="s">
        <v>2916</v>
      </c>
      <c r="C153" s="9" t="s">
        <v>2557</v>
      </c>
      <c r="D153" s="9">
        <v>1880</v>
      </c>
      <c r="E153" s="9">
        <v>1617</v>
      </c>
      <c r="F153" s="9">
        <v>2026</v>
      </c>
      <c r="G153" s="9">
        <v>18800016172026</v>
      </c>
      <c r="H153" s="9">
        <v>62072100</v>
      </c>
      <c r="I153" s="9">
        <v>2016</v>
      </c>
      <c r="J153" s="9" t="s">
        <v>2851</v>
      </c>
      <c r="K153" s="9">
        <v>1</v>
      </c>
      <c r="L153" s="9" t="s">
        <v>2558</v>
      </c>
      <c r="M153" s="9">
        <v>4</v>
      </c>
      <c r="N153" s="9" t="s">
        <v>3087</v>
      </c>
      <c r="O153" s="10">
        <v>3315.15</v>
      </c>
      <c r="Q153" s="10">
        <v>3315.15</v>
      </c>
      <c r="R153" s="9">
        <v>0</v>
      </c>
      <c r="S153" s="9">
        <v>0</v>
      </c>
      <c r="T153" s="9">
        <v>0</v>
      </c>
      <c r="V153" s="10">
        <v>3315.15</v>
      </c>
      <c r="W153" s="10">
        <v>3233.38</v>
      </c>
      <c r="X153" s="11">
        <v>46255</v>
      </c>
      <c r="Y153" s="9" t="s">
        <v>2564</v>
      </c>
      <c r="Z153" s="11">
        <v>46268</v>
      </c>
      <c r="AA153" s="11">
        <v>46287</v>
      </c>
      <c r="AB153" s="9" t="s">
        <v>2559</v>
      </c>
      <c r="AC153" s="9">
        <v>260326210686920</v>
      </c>
      <c r="AD153" s="9" t="s">
        <v>3086</v>
      </c>
      <c r="AE153" s="9" t="s">
        <v>200</v>
      </c>
      <c r="AF153" s="9" t="s">
        <v>2919</v>
      </c>
      <c r="AG153" s="9" t="s">
        <v>2570</v>
      </c>
      <c r="AH153" s="9" t="s">
        <v>2570</v>
      </c>
      <c r="AI153" s="9">
        <v>10</v>
      </c>
      <c r="AJ153" s="9" t="s">
        <v>2563</v>
      </c>
      <c r="AK153" s="9">
        <v>954</v>
      </c>
      <c r="AM153" s="9" t="s">
        <v>2928</v>
      </c>
      <c r="AN153" s="11">
        <v>46286</v>
      </c>
      <c r="AO153" s="9">
        <v>2609619</v>
      </c>
      <c r="AP153" s="11">
        <v>46255</v>
      </c>
      <c r="AR153" s="9" t="s">
        <v>2571</v>
      </c>
      <c r="AS153" s="9" t="s">
        <v>2947</v>
      </c>
      <c r="AT153" s="9" t="s">
        <v>2566</v>
      </c>
      <c r="AV153" s="14">
        <v>46273</v>
      </c>
      <c r="AX153" s="9" t="s">
        <v>3085</v>
      </c>
      <c r="AY153" s="9">
        <v>1</v>
      </c>
      <c r="AZ153" s="9" t="s">
        <v>3046</v>
      </c>
      <c r="BA153" s="11">
        <v>46268</v>
      </c>
      <c r="BB153" s="9">
        <v>306</v>
      </c>
      <c r="BC153" s="9" t="s">
        <v>3084</v>
      </c>
      <c r="BD153" s="9">
        <v>347864</v>
      </c>
      <c r="BE153" s="11">
        <v>46256</v>
      </c>
      <c r="BF153" s="9">
        <v>1680</v>
      </c>
      <c r="BG153" s="9">
        <v>1</v>
      </c>
      <c r="BH153" s="9" t="s">
        <v>3083</v>
      </c>
    </row>
    <row r="154" spans="1:61" x14ac:dyDescent="0.25">
      <c r="A154" s="9">
        <v>1880</v>
      </c>
      <c r="B154" s="9" t="s">
        <v>2916</v>
      </c>
      <c r="C154" s="9" t="s">
        <v>2557</v>
      </c>
      <c r="D154" s="9">
        <v>1880</v>
      </c>
      <c r="E154" s="9">
        <v>1634</v>
      </c>
      <c r="F154" s="9">
        <v>2026</v>
      </c>
      <c r="G154" s="9">
        <v>18800016342026</v>
      </c>
      <c r="H154" s="9">
        <v>62112000</v>
      </c>
      <c r="I154" s="9">
        <v>2016</v>
      </c>
      <c r="J154" s="9" t="s">
        <v>2851</v>
      </c>
      <c r="K154" s="9">
        <v>1</v>
      </c>
      <c r="L154" s="9" t="s">
        <v>2558</v>
      </c>
      <c r="M154" s="9">
        <v>4</v>
      </c>
      <c r="N154" s="9" t="s">
        <v>3087</v>
      </c>
      <c r="O154" s="10">
        <v>4149.8999999999996</v>
      </c>
      <c r="Q154" s="10">
        <v>4149.8999999999996</v>
      </c>
      <c r="R154" s="9">
        <v>0</v>
      </c>
      <c r="S154" s="9">
        <v>0</v>
      </c>
      <c r="T154" s="9">
        <v>0</v>
      </c>
      <c r="V154" s="10">
        <v>4149.8999999999996</v>
      </c>
      <c r="W154" s="10">
        <v>4047.54</v>
      </c>
      <c r="X154" s="11">
        <v>46259</v>
      </c>
      <c r="Y154" s="9" t="s">
        <v>2564</v>
      </c>
      <c r="Z154" s="11">
        <v>46268</v>
      </c>
      <c r="AA154" s="11">
        <v>46287</v>
      </c>
      <c r="AB154" s="9" t="s">
        <v>2559</v>
      </c>
      <c r="AC154" s="9">
        <v>260326210686920</v>
      </c>
      <c r="AD154" s="9" t="s">
        <v>3086</v>
      </c>
      <c r="AE154" s="9" t="s">
        <v>200</v>
      </c>
      <c r="AF154" s="9" t="s">
        <v>2919</v>
      </c>
      <c r="AG154" s="9" t="s">
        <v>2570</v>
      </c>
      <c r="AH154" s="9" t="s">
        <v>2570</v>
      </c>
      <c r="AI154" s="9">
        <v>10</v>
      </c>
      <c r="AJ154" s="9" t="s">
        <v>2563</v>
      </c>
      <c r="AK154" s="9">
        <v>783</v>
      </c>
      <c r="AM154" s="9" t="s">
        <v>2928</v>
      </c>
      <c r="AN154" s="11">
        <v>46286</v>
      </c>
      <c r="AO154" s="9">
        <v>2609745</v>
      </c>
      <c r="AP154" s="11">
        <v>46259</v>
      </c>
      <c r="AR154" s="9" t="s">
        <v>2571</v>
      </c>
      <c r="AS154" s="9" t="s">
        <v>2947</v>
      </c>
      <c r="AT154" s="9" t="s">
        <v>2566</v>
      </c>
      <c r="AV154" s="14">
        <v>46273</v>
      </c>
      <c r="AX154" s="9" t="s">
        <v>3085</v>
      </c>
      <c r="AY154" s="9">
        <v>1</v>
      </c>
      <c r="AZ154" s="9" t="s">
        <v>3052</v>
      </c>
      <c r="BA154" s="11">
        <v>46268</v>
      </c>
      <c r="BB154" s="9">
        <v>306</v>
      </c>
      <c r="BC154" s="9" t="s">
        <v>3084</v>
      </c>
      <c r="BD154" s="9">
        <v>362670</v>
      </c>
      <c r="BE154" s="11">
        <v>46259</v>
      </c>
      <c r="BF154" s="9">
        <v>1680</v>
      </c>
      <c r="BG154" s="9">
        <v>1</v>
      </c>
      <c r="BH154" s="9" t="s">
        <v>3083</v>
      </c>
    </row>
    <row r="155" spans="1:61" x14ac:dyDescent="0.25">
      <c r="A155" s="9">
        <v>947</v>
      </c>
      <c r="B155" s="9" t="s">
        <v>2644</v>
      </c>
      <c r="C155" s="9" t="s">
        <v>2645</v>
      </c>
      <c r="D155" s="9">
        <v>947</v>
      </c>
      <c r="E155" s="9">
        <v>1518</v>
      </c>
      <c r="F155" s="9">
        <v>2026</v>
      </c>
      <c r="G155" s="9">
        <v>9470015182026</v>
      </c>
      <c r="H155" s="9">
        <v>62071100</v>
      </c>
      <c r="I155" s="9">
        <v>0</v>
      </c>
      <c r="J155" s="9" t="s">
        <v>3098</v>
      </c>
      <c r="K155" s="9">
        <v>1</v>
      </c>
      <c r="L155" s="9" t="s">
        <v>2558</v>
      </c>
      <c r="M155" s="9">
        <v>4</v>
      </c>
      <c r="N155" s="9" t="s">
        <v>3087</v>
      </c>
      <c r="O155" s="10">
        <v>1776.3</v>
      </c>
      <c r="P155" s="9">
        <v>0</v>
      </c>
      <c r="Q155" s="10">
        <v>1776.3</v>
      </c>
      <c r="R155" s="9">
        <v>0</v>
      </c>
      <c r="S155" s="9">
        <v>0</v>
      </c>
      <c r="T155" s="9">
        <v>0</v>
      </c>
      <c r="V155" s="10">
        <v>1776.3</v>
      </c>
      <c r="W155" s="10">
        <v>1762.69</v>
      </c>
      <c r="X155" s="11">
        <v>46256</v>
      </c>
      <c r="Y155" s="9" t="s">
        <v>2564</v>
      </c>
      <c r="Z155" s="11">
        <v>46268</v>
      </c>
      <c r="AA155" s="11">
        <v>46286</v>
      </c>
      <c r="AB155" s="9" t="s">
        <v>2559</v>
      </c>
      <c r="AC155" s="9">
        <v>260326210686920</v>
      </c>
      <c r="AD155" s="9" t="s">
        <v>3086</v>
      </c>
      <c r="AE155" s="9" t="s">
        <v>3095</v>
      </c>
      <c r="AF155" s="9" t="s">
        <v>2653</v>
      </c>
      <c r="AG155" s="9" t="s">
        <v>2570</v>
      </c>
      <c r="AH155" s="9" t="s">
        <v>2570</v>
      </c>
      <c r="AI155" s="9">
        <v>10</v>
      </c>
      <c r="AJ155" s="9" t="s">
        <v>2563</v>
      </c>
      <c r="AK155" s="9">
        <v>6000</v>
      </c>
      <c r="AM155" s="9" t="s">
        <v>2690</v>
      </c>
      <c r="AN155" s="11">
        <v>46285</v>
      </c>
      <c r="AO155" s="9">
        <v>2609627</v>
      </c>
      <c r="AP155" s="11">
        <v>46256</v>
      </c>
      <c r="AS155" s="9" t="s">
        <v>2565</v>
      </c>
      <c r="AT155" s="9" t="s">
        <v>2566</v>
      </c>
      <c r="AU155" s="9" t="s">
        <v>269</v>
      </c>
      <c r="AV155" s="14">
        <v>46285</v>
      </c>
      <c r="AW155" s="9">
        <v>2609627</v>
      </c>
      <c r="AX155" s="9" t="s">
        <v>3094</v>
      </c>
      <c r="AY155" s="9">
        <v>6</v>
      </c>
      <c r="AZ155" s="9" t="s">
        <v>2818</v>
      </c>
      <c r="BA155" s="11">
        <v>46268</v>
      </c>
      <c r="BB155" s="9">
        <v>306</v>
      </c>
      <c r="BC155" s="9" t="s">
        <v>3084</v>
      </c>
      <c r="BD155" s="9">
        <v>365428</v>
      </c>
      <c r="BE155" s="11">
        <v>46260</v>
      </c>
      <c r="BF155" s="9">
        <v>1680</v>
      </c>
      <c r="BG155" s="9">
        <v>1</v>
      </c>
      <c r="BH155" s="9" t="s">
        <v>3083</v>
      </c>
      <c r="BI155" s="9">
        <v>1</v>
      </c>
    </row>
    <row r="156" spans="1:61" x14ac:dyDescent="0.25">
      <c r="A156" s="9">
        <v>947</v>
      </c>
      <c r="B156" s="9" t="s">
        <v>2644</v>
      </c>
      <c r="C156" s="9" t="s">
        <v>2645</v>
      </c>
      <c r="D156" s="9">
        <v>947</v>
      </c>
      <c r="E156" s="9">
        <v>1519</v>
      </c>
      <c r="F156" s="9">
        <v>2026</v>
      </c>
      <c r="G156" s="9">
        <v>9470015192026</v>
      </c>
      <c r="H156" s="9">
        <v>62071100</v>
      </c>
      <c r="I156" s="9">
        <v>0</v>
      </c>
      <c r="J156" s="9" t="s">
        <v>3098</v>
      </c>
      <c r="K156" s="9">
        <v>1</v>
      </c>
      <c r="L156" s="9" t="s">
        <v>2558</v>
      </c>
      <c r="M156" s="9">
        <v>4</v>
      </c>
      <c r="N156" s="9" t="s">
        <v>3087</v>
      </c>
      <c r="O156" s="9">
        <v>592.1</v>
      </c>
      <c r="P156" s="9">
        <v>0</v>
      </c>
      <c r="Q156" s="9">
        <v>592.1</v>
      </c>
      <c r="R156" s="9">
        <v>0</v>
      </c>
      <c r="S156" s="9">
        <v>0</v>
      </c>
      <c r="T156" s="9">
        <v>0</v>
      </c>
      <c r="V156" s="9">
        <v>592.1</v>
      </c>
      <c r="W156" s="9">
        <v>587.55999999999995</v>
      </c>
      <c r="X156" s="11">
        <v>46256</v>
      </c>
      <c r="Y156" s="9" t="s">
        <v>2564</v>
      </c>
      <c r="Z156" s="11">
        <v>46268</v>
      </c>
      <c r="AA156" s="11">
        <v>46286</v>
      </c>
      <c r="AB156" s="9" t="s">
        <v>2559</v>
      </c>
      <c r="AC156" s="9">
        <v>260326210686920</v>
      </c>
      <c r="AD156" s="9" t="s">
        <v>3086</v>
      </c>
      <c r="AE156" s="9" t="s">
        <v>3095</v>
      </c>
      <c r="AF156" s="9" t="s">
        <v>2653</v>
      </c>
      <c r="AG156" s="9" t="s">
        <v>2570</v>
      </c>
      <c r="AH156" s="9" t="s">
        <v>2570</v>
      </c>
      <c r="AI156" s="9">
        <v>10</v>
      </c>
      <c r="AJ156" s="9" t="s">
        <v>2563</v>
      </c>
      <c r="AK156" s="9">
        <v>2000</v>
      </c>
      <c r="AM156" s="9" t="s">
        <v>2690</v>
      </c>
      <c r="AN156" s="11">
        <v>46285</v>
      </c>
      <c r="AO156" s="9">
        <v>2609628</v>
      </c>
      <c r="AP156" s="11">
        <v>46256</v>
      </c>
      <c r="AS156" s="9" t="s">
        <v>2565</v>
      </c>
      <c r="AT156" s="9" t="s">
        <v>2566</v>
      </c>
      <c r="AU156" s="9" t="s">
        <v>1994</v>
      </c>
      <c r="AV156" s="14">
        <v>46285</v>
      </c>
      <c r="AW156" s="9">
        <v>2609628</v>
      </c>
      <c r="AX156" s="9" t="s">
        <v>3094</v>
      </c>
      <c r="AY156" s="9">
        <v>6</v>
      </c>
      <c r="AZ156" s="9" t="s">
        <v>2820</v>
      </c>
      <c r="BA156" s="11">
        <v>46268</v>
      </c>
      <c r="BB156" s="9">
        <v>306</v>
      </c>
      <c r="BC156" s="9" t="s">
        <v>3084</v>
      </c>
      <c r="BD156" s="9">
        <v>365413</v>
      </c>
      <c r="BE156" s="11">
        <v>46260</v>
      </c>
      <c r="BF156" s="9">
        <v>1680</v>
      </c>
      <c r="BG156" s="9">
        <v>1</v>
      </c>
      <c r="BH156" s="9" t="s">
        <v>3083</v>
      </c>
      <c r="BI156" s="9">
        <v>1</v>
      </c>
    </row>
    <row r="157" spans="1:61" x14ac:dyDescent="0.25">
      <c r="A157" s="9">
        <v>1880</v>
      </c>
      <c r="B157" s="9" t="s">
        <v>2916</v>
      </c>
      <c r="C157" s="9" t="s">
        <v>2557</v>
      </c>
      <c r="D157" s="9">
        <v>1880</v>
      </c>
      <c r="E157" s="9">
        <v>1612</v>
      </c>
      <c r="F157" s="9">
        <v>2026</v>
      </c>
      <c r="G157" s="9">
        <v>18800016122026</v>
      </c>
      <c r="H157" s="9">
        <v>62063000</v>
      </c>
      <c r="I157" s="9">
        <v>2016</v>
      </c>
      <c r="J157" s="9" t="s">
        <v>2851</v>
      </c>
      <c r="K157" s="9">
        <v>1</v>
      </c>
      <c r="L157" s="9" t="s">
        <v>2558</v>
      </c>
      <c r="M157" s="9">
        <v>4</v>
      </c>
      <c r="N157" s="9" t="s">
        <v>3087</v>
      </c>
      <c r="O157" s="10">
        <v>1968.75</v>
      </c>
      <c r="Q157" s="10">
        <v>1968.75</v>
      </c>
      <c r="R157" s="9">
        <v>0</v>
      </c>
      <c r="S157" s="9">
        <v>0</v>
      </c>
      <c r="T157" s="9">
        <v>0</v>
      </c>
      <c r="V157" s="10">
        <v>1968.75</v>
      </c>
      <c r="W157" s="10">
        <v>1920.19</v>
      </c>
      <c r="X157" s="11">
        <v>46255</v>
      </c>
      <c r="Y157" s="9" t="s">
        <v>2564</v>
      </c>
      <c r="Z157" s="11">
        <v>46268</v>
      </c>
      <c r="AA157" s="11">
        <v>46287</v>
      </c>
      <c r="AB157" s="9" t="s">
        <v>2559</v>
      </c>
      <c r="AC157" s="9">
        <v>260326210686920</v>
      </c>
      <c r="AD157" s="9" t="s">
        <v>3086</v>
      </c>
      <c r="AE157" s="9" t="s">
        <v>200</v>
      </c>
      <c r="AF157" s="9" t="s">
        <v>2919</v>
      </c>
      <c r="AG157" s="9" t="s">
        <v>2570</v>
      </c>
      <c r="AH157" s="9" t="s">
        <v>2570</v>
      </c>
      <c r="AI157" s="9">
        <v>10</v>
      </c>
      <c r="AJ157" s="9" t="s">
        <v>2563</v>
      </c>
      <c r="AK157" s="9">
        <v>450</v>
      </c>
      <c r="AM157" s="9" t="s">
        <v>2928</v>
      </c>
      <c r="AN157" s="11">
        <v>46286</v>
      </c>
      <c r="AO157" s="9">
        <v>2609613</v>
      </c>
      <c r="AP157" s="11">
        <v>46255</v>
      </c>
      <c r="AR157" s="9" t="s">
        <v>2571</v>
      </c>
      <c r="AS157" s="9" t="s">
        <v>2947</v>
      </c>
      <c r="AT157" s="9" t="s">
        <v>2566</v>
      </c>
      <c r="AV157" s="14">
        <v>46273</v>
      </c>
      <c r="AX157" s="9" t="s">
        <v>3085</v>
      </c>
      <c r="AY157" s="9">
        <v>1</v>
      </c>
      <c r="AZ157" s="9" t="s">
        <v>2948</v>
      </c>
      <c r="BA157" s="11">
        <v>46268</v>
      </c>
      <c r="BB157" s="9">
        <v>306</v>
      </c>
      <c r="BC157" s="9" t="s">
        <v>3084</v>
      </c>
      <c r="BD157" s="9">
        <v>347890</v>
      </c>
      <c r="BE157" s="11">
        <v>46256</v>
      </c>
      <c r="BF157" s="9">
        <v>1680</v>
      </c>
      <c r="BG157" s="9">
        <v>1</v>
      </c>
      <c r="BH157" s="9" t="s">
        <v>3083</v>
      </c>
    </row>
    <row r="158" spans="1:61" x14ac:dyDescent="0.25">
      <c r="A158" s="9">
        <v>947</v>
      </c>
      <c r="B158" s="9" t="s">
        <v>2644</v>
      </c>
      <c r="C158" s="9" t="s">
        <v>2645</v>
      </c>
      <c r="D158" s="9">
        <v>947</v>
      </c>
      <c r="E158" s="9">
        <v>1564</v>
      </c>
      <c r="F158" s="9">
        <v>2026</v>
      </c>
      <c r="G158" s="9">
        <v>9470015642026</v>
      </c>
      <c r="H158" s="9">
        <v>61059000</v>
      </c>
      <c r="I158" s="9">
        <v>2004</v>
      </c>
      <c r="J158" s="9" t="s">
        <v>3090</v>
      </c>
      <c r="K158" s="9">
        <v>1</v>
      </c>
      <c r="L158" s="9" t="s">
        <v>2558</v>
      </c>
      <c r="M158" s="9">
        <v>4</v>
      </c>
      <c r="N158" s="9" t="s">
        <v>3087</v>
      </c>
      <c r="O158" s="10">
        <v>110460.9</v>
      </c>
      <c r="Q158" s="10">
        <v>110460.9</v>
      </c>
      <c r="R158" s="9">
        <v>0</v>
      </c>
      <c r="S158" s="9">
        <v>0</v>
      </c>
      <c r="T158" s="9">
        <v>0</v>
      </c>
      <c r="V158" s="10">
        <v>110460.9</v>
      </c>
      <c r="W158" s="10">
        <v>110435.9</v>
      </c>
      <c r="X158" s="11">
        <v>46259</v>
      </c>
      <c r="Y158" s="9" t="s">
        <v>2564</v>
      </c>
      <c r="Z158" s="11">
        <v>46269</v>
      </c>
      <c r="AA158" s="11">
        <v>46288</v>
      </c>
      <c r="AB158" s="9" t="s">
        <v>2559</v>
      </c>
      <c r="AC158" s="9">
        <v>260326210686920</v>
      </c>
      <c r="AD158" s="9" t="s">
        <v>3086</v>
      </c>
      <c r="AE158" s="9" t="s">
        <v>3108</v>
      </c>
      <c r="AF158" s="9" t="s">
        <v>2648</v>
      </c>
      <c r="AG158" s="9" t="s">
        <v>2570</v>
      </c>
      <c r="AH158" s="9" t="s">
        <v>2570</v>
      </c>
      <c r="AI158" s="9">
        <v>10</v>
      </c>
      <c r="AJ158" s="9" t="s">
        <v>2563</v>
      </c>
      <c r="AK158" s="9">
        <v>21659</v>
      </c>
      <c r="AM158" s="9" t="s">
        <v>2649</v>
      </c>
      <c r="AN158" s="11">
        <v>46288</v>
      </c>
      <c r="AO158" s="9">
        <v>2609404</v>
      </c>
      <c r="AP158" s="11">
        <v>46251</v>
      </c>
      <c r="AR158" s="9" t="s">
        <v>2577</v>
      </c>
      <c r="AT158" s="9" t="s">
        <v>2566</v>
      </c>
      <c r="AV158" s="14">
        <v>46286</v>
      </c>
      <c r="AX158" s="9" t="s">
        <v>3085</v>
      </c>
      <c r="AY158" s="9">
        <v>1</v>
      </c>
      <c r="AZ158" s="9" t="s">
        <v>2650</v>
      </c>
      <c r="BA158" s="11">
        <v>46269</v>
      </c>
      <c r="BB158" s="9">
        <v>306</v>
      </c>
      <c r="BC158" s="9" t="s">
        <v>3084</v>
      </c>
      <c r="BD158" s="9">
        <v>378310</v>
      </c>
      <c r="BE158" s="11">
        <v>46262</v>
      </c>
      <c r="BF158" s="9">
        <v>1680</v>
      </c>
      <c r="BG158" s="9">
        <v>1</v>
      </c>
      <c r="BH158" s="9" t="s">
        <v>3083</v>
      </c>
      <c r="BI158" s="9">
        <v>1</v>
      </c>
    </row>
    <row r="159" spans="1:61" x14ac:dyDescent="0.25">
      <c r="A159" s="9">
        <v>947</v>
      </c>
      <c r="B159" s="9" t="s">
        <v>2644</v>
      </c>
      <c r="C159" s="9" t="s">
        <v>2645</v>
      </c>
      <c r="D159" s="9">
        <v>947</v>
      </c>
      <c r="E159" s="9">
        <v>1548</v>
      </c>
      <c r="F159" s="9">
        <v>2026</v>
      </c>
      <c r="G159" s="9">
        <v>9470015482026</v>
      </c>
      <c r="H159" s="9">
        <v>62052000</v>
      </c>
      <c r="I159" s="9">
        <v>2016</v>
      </c>
      <c r="J159" s="9" t="s">
        <v>2851</v>
      </c>
      <c r="K159" s="9">
        <v>1</v>
      </c>
      <c r="L159" s="9" t="s">
        <v>2558</v>
      </c>
      <c r="M159" s="9">
        <v>4</v>
      </c>
      <c r="N159" s="9" t="s">
        <v>3087</v>
      </c>
      <c r="O159" s="10">
        <v>9741</v>
      </c>
      <c r="P159" s="9">
        <v>0</v>
      </c>
      <c r="Q159" s="10">
        <v>9741</v>
      </c>
      <c r="R159" s="9">
        <v>0</v>
      </c>
      <c r="S159" s="9">
        <v>0</v>
      </c>
      <c r="T159" s="9">
        <v>0</v>
      </c>
      <c r="V159" s="10">
        <v>9741</v>
      </c>
      <c r="W159" s="10">
        <v>9666.3799999999992</v>
      </c>
      <c r="X159" s="11">
        <v>46259</v>
      </c>
      <c r="Y159" s="9" t="s">
        <v>2564</v>
      </c>
      <c r="Z159" s="11">
        <v>46269</v>
      </c>
      <c r="AA159" s="11">
        <v>46286</v>
      </c>
      <c r="AB159" s="9" t="s">
        <v>2559</v>
      </c>
      <c r="AC159" s="9">
        <v>260326210686920</v>
      </c>
      <c r="AD159" s="9" t="s">
        <v>3086</v>
      </c>
      <c r="AE159" s="9" t="s">
        <v>3095</v>
      </c>
      <c r="AF159" s="9" t="s">
        <v>2653</v>
      </c>
      <c r="AG159" s="9" t="s">
        <v>2570</v>
      </c>
      <c r="AH159" s="9" t="s">
        <v>2570</v>
      </c>
      <c r="AI159" s="9">
        <v>10</v>
      </c>
      <c r="AJ159" s="9" t="s">
        <v>2563</v>
      </c>
      <c r="AK159" s="9">
        <v>20000</v>
      </c>
      <c r="AM159" s="9" t="s">
        <v>2690</v>
      </c>
      <c r="AN159" s="11">
        <v>46285</v>
      </c>
      <c r="AO159" s="9">
        <v>2609732</v>
      </c>
      <c r="AP159" s="11">
        <v>46258</v>
      </c>
      <c r="AS159" s="9" t="s">
        <v>2565</v>
      </c>
      <c r="AT159" s="9" t="s">
        <v>2566</v>
      </c>
      <c r="AU159" s="9" t="s">
        <v>183</v>
      </c>
      <c r="AV159" s="14">
        <v>46285</v>
      </c>
      <c r="AW159" s="9">
        <v>2609732</v>
      </c>
      <c r="AX159" s="9" t="s">
        <v>3094</v>
      </c>
      <c r="AY159" s="9">
        <v>6</v>
      </c>
      <c r="AZ159" s="9" t="s">
        <v>2691</v>
      </c>
      <c r="BA159" s="11">
        <v>46269</v>
      </c>
      <c r="BB159" s="9">
        <v>306</v>
      </c>
      <c r="BC159" s="9" t="s">
        <v>3084</v>
      </c>
      <c r="BD159" s="9">
        <v>381038</v>
      </c>
      <c r="BE159" s="11">
        <v>46264</v>
      </c>
      <c r="BF159" s="9">
        <v>1680</v>
      </c>
      <c r="BG159" s="9">
        <v>1</v>
      </c>
      <c r="BH159" s="9" t="s">
        <v>3083</v>
      </c>
      <c r="BI159" s="9">
        <v>1</v>
      </c>
    </row>
    <row r="160" spans="1:61" ht="210" x14ac:dyDescent="0.25">
      <c r="A160" s="9">
        <v>947</v>
      </c>
      <c r="B160" s="9" t="s">
        <v>2644</v>
      </c>
      <c r="C160" s="9" t="s">
        <v>2645</v>
      </c>
      <c r="D160" s="9">
        <v>947</v>
      </c>
      <c r="E160" s="9">
        <v>1502</v>
      </c>
      <c r="F160" s="9">
        <v>2026</v>
      </c>
      <c r="G160" s="9">
        <v>9470015022026</v>
      </c>
      <c r="H160" s="9">
        <v>61046900</v>
      </c>
      <c r="I160" s="9">
        <v>2000</v>
      </c>
      <c r="J160" s="9" t="s">
        <v>3092</v>
      </c>
      <c r="K160" s="9">
        <v>1</v>
      </c>
      <c r="L160" s="9" t="s">
        <v>2558</v>
      </c>
      <c r="M160" s="9">
        <v>9</v>
      </c>
      <c r="N160" s="9" t="s">
        <v>3104</v>
      </c>
      <c r="O160" s="10">
        <v>2341.11</v>
      </c>
      <c r="P160" s="9">
        <v>0</v>
      </c>
      <c r="Q160" s="10">
        <v>2341.11</v>
      </c>
      <c r="R160" s="9">
        <v>892.25</v>
      </c>
      <c r="S160" s="9">
        <v>0</v>
      </c>
      <c r="T160" s="9">
        <v>0</v>
      </c>
      <c r="V160" s="10">
        <v>2341.11</v>
      </c>
      <c r="X160" s="11">
        <v>46254</v>
      </c>
      <c r="Y160" s="9" t="s">
        <v>2564</v>
      </c>
      <c r="Z160" s="11">
        <v>46269</v>
      </c>
      <c r="AB160" s="9" t="s">
        <v>2559</v>
      </c>
      <c r="AC160" s="9">
        <v>260326210686920</v>
      </c>
      <c r="AD160" s="9" t="s">
        <v>3086</v>
      </c>
      <c r="AE160" s="9" t="s">
        <v>3107</v>
      </c>
      <c r="AF160" s="12" t="s">
        <v>2704</v>
      </c>
      <c r="AG160" s="9" t="s">
        <v>2570</v>
      </c>
      <c r="AI160" s="9">
        <v>10</v>
      </c>
      <c r="AJ160" s="9" t="s">
        <v>2563</v>
      </c>
      <c r="AK160" s="9">
        <v>524</v>
      </c>
      <c r="AO160" s="9">
        <v>2609472</v>
      </c>
      <c r="AP160" s="11">
        <v>46254</v>
      </c>
      <c r="AR160" s="9" t="s">
        <v>2571</v>
      </c>
      <c r="AS160" s="9" t="s">
        <v>2565</v>
      </c>
      <c r="AT160" s="9" t="s">
        <v>2566</v>
      </c>
      <c r="AU160" s="9" t="s">
        <v>124</v>
      </c>
      <c r="AV160" s="14">
        <v>46286</v>
      </c>
      <c r="AW160" s="9">
        <v>2609472</v>
      </c>
      <c r="AX160" s="9" t="s">
        <v>3085</v>
      </c>
      <c r="AY160" s="9">
        <v>1</v>
      </c>
      <c r="AZ160" s="9" t="s">
        <v>2836</v>
      </c>
      <c r="BA160" s="11">
        <v>46269</v>
      </c>
      <c r="BB160" s="9">
        <v>306</v>
      </c>
      <c r="BC160" s="9" t="s">
        <v>3084</v>
      </c>
      <c r="BD160" s="9">
        <v>369669</v>
      </c>
      <c r="BE160" s="11">
        <v>46261</v>
      </c>
      <c r="BF160" s="9">
        <v>1680</v>
      </c>
      <c r="BG160" s="9">
        <v>1</v>
      </c>
      <c r="BH160" s="9" t="s">
        <v>3083</v>
      </c>
    </row>
    <row r="161" spans="1:61" ht="210" x14ac:dyDescent="0.25">
      <c r="A161" s="9">
        <v>947</v>
      </c>
      <c r="B161" s="9" t="s">
        <v>2644</v>
      </c>
      <c r="C161" s="9" t="s">
        <v>2645</v>
      </c>
      <c r="D161" s="9">
        <v>947</v>
      </c>
      <c r="E161" s="9">
        <v>1503</v>
      </c>
      <c r="F161" s="9">
        <v>2026</v>
      </c>
      <c r="G161" s="9">
        <v>9470015032026</v>
      </c>
      <c r="H161" s="9">
        <v>61046900</v>
      </c>
      <c r="I161" s="9">
        <v>2000</v>
      </c>
      <c r="J161" s="9" t="s">
        <v>3092</v>
      </c>
      <c r="K161" s="9">
        <v>1</v>
      </c>
      <c r="L161" s="9" t="s">
        <v>2558</v>
      </c>
      <c r="M161" s="9">
        <v>9</v>
      </c>
      <c r="N161" s="9" t="s">
        <v>3104</v>
      </c>
      <c r="O161" s="10">
        <v>2340.14</v>
      </c>
      <c r="P161" s="9">
        <v>0</v>
      </c>
      <c r="Q161" s="10">
        <v>2340.14</v>
      </c>
      <c r="R161" s="9">
        <v>864.57</v>
      </c>
      <c r="S161" s="9">
        <v>0</v>
      </c>
      <c r="T161" s="9">
        <v>0</v>
      </c>
      <c r="V161" s="10">
        <v>2340.14</v>
      </c>
      <c r="X161" s="11">
        <v>46254</v>
      </c>
      <c r="Y161" s="9" t="s">
        <v>2564</v>
      </c>
      <c r="Z161" s="11">
        <v>46269</v>
      </c>
      <c r="AB161" s="9" t="s">
        <v>2559</v>
      </c>
      <c r="AC161" s="9">
        <v>260326210686920</v>
      </c>
      <c r="AD161" s="9" t="s">
        <v>3086</v>
      </c>
      <c r="AE161" s="9" t="s">
        <v>3107</v>
      </c>
      <c r="AF161" s="12" t="s">
        <v>2704</v>
      </c>
      <c r="AG161" s="9" t="s">
        <v>2570</v>
      </c>
      <c r="AI161" s="9">
        <v>10</v>
      </c>
      <c r="AJ161" s="9" t="s">
        <v>2563</v>
      </c>
      <c r="AK161" s="9">
        <v>524</v>
      </c>
      <c r="AO161" s="9">
        <v>2609517</v>
      </c>
      <c r="AP161" s="11">
        <v>46254</v>
      </c>
      <c r="AR161" s="9" t="s">
        <v>2571</v>
      </c>
      <c r="AS161" s="9" t="s">
        <v>2565</v>
      </c>
      <c r="AT161" s="9" t="s">
        <v>2566</v>
      </c>
      <c r="AU161" s="9" t="s">
        <v>124</v>
      </c>
      <c r="AV161" s="14">
        <v>46286</v>
      </c>
      <c r="AW161" s="9">
        <v>2609517</v>
      </c>
      <c r="AX161" s="9" t="s">
        <v>3085</v>
      </c>
      <c r="AY161" s="9">
        <v>1</v>
      </c>
      <c r="AZ161" s="9" t="s">
        <v>2838</v>
      </c>
      <c r="BA161" s="11">
        <v>46269</v>
      </c>
      <c r="BB161" s="9">
        <v>306</v>
      </c>
      <c r="BC161" s="9" t="s">
        <v>3084</v>
      </c>
      <c r="BD161" s="9">
        <v>369673</v>
      </c>
      <c r="BE161" s="11">
        <v>46261</v>
      </c>
      <c r="BF161" s="9">
        <v>1680</v>
      </c>
      <c r="BG161" s="9">
        <v>1</v>
      </c>
      <c r="BH161" s="9" t="s">
        <v>3083</v>
      </c>
    </row>
    <row r="162" spans="1:61" x14ac:dyDescent="0.25">
      <c r="A162" s="9">
        <v>1880</v>
      </c>
      <c r="B162" s="9" t="s">
        <v>2916</v>
      </c>
      <c r="C162" s="9" t="s">
        <v>2557</v>
      </c>
      <c r="D162" s="9">
        <v>1880</v>
      </c>
      <c r="E162" s="9">
        <v>1712</v>
      </c>
      <c r="F162" s="9">
        <v>2026</v>
      </c>
      <c r="G162" s="9">
        <v>18800017122026</v>
      </c>
      <c r="H162" s="9">
        <v>62063000</v>
      </c>
      <c r="I162" s="9">
        <v>2016</v>
      </c>
      <c r="J162" s="9" t="s">
        <v>2851</v>
      </c>
      <c r="K162" s="9">
        <v>1</v>
      </c>
      <c r="L162" s="9" t="s">
        <v>2558</v>
      </c>
      <c r="M162" s="9">
        <v>4</v>
      </c>
      <c r="N162" s="9" t="s">
        <v>3087</v>
      </c>
      <c r="O162" s="10">
        <v>10560</v>
      </c>
      <c r="P162" s="9">
        <v>0</v>
      </c>
      <c r="Q162" s="10">
        <v>10560</v>
      </c>
      <c r="R162" s="9">
        <v>0</v>
      </c>
      <c r="S162" s="9">
        <v>0</v>
      </c>
      <c r="T162" s="9">
        <v>0</v>
      </c>
      <c r="V162" s="10">
        <v>10560</v>
      </c>
      <c r="X162" s="11">
        <v>46264</v>
      </c>
      <c r="Y162" s="9" t="s">
        <v>2564</v>
      </c>
      <c r="Z162" s="11">
        <v>46271</v>
      </c>
      <c r="AB162" s="9" t="s">
        <v>2559</v>
      </c>
      <c r="AC162" s="9">
        <v>260326210686920</v>
      </c>
      <c r="AD162" s="9" t="s">
        <v>3086</v>
      </c>
      <c r="AE162" s="9" t="s">
        <v>200</v>
      </c>
      <c r="AF162" s="9" t="s">
        <v>2919</v>
      </c>
      <c r="AG162" s="9" t="s">
        <v>2570</v>
      </c>
      <c r="AI162" s="9">
        <v>10</v>
      </c>
      <c r="AJ162" s="9" t="s">
        <v>2563</v>
      </c>
      <c r="AK162" s="9">
        <v>1920</v>
      </c>
      <c r="AO162" s="9">
        <v>2609870</v>
      </c>
      <c r="AP162" s="11">
        <v>46262</v>
      </c>
      <c r="AR162" s="9" t="s">
        <v>2571</v>
      </c>
      <c r="AS162" s="9" t="s">
        <v>2957</v>
      </c>
      <c r="AT162" s="9" t="s">
        <v>2566</v>
      </c>
      <c r="AU162" s="9" t="s">
        <v>206</v>
      </c>
      <c r="AV162" s="14">
        <v>46295</v>
      </c>
      <c r="AW162" s="9">
        <v>2609870</v>
      </c>
      <c r="AX162" s="9" t="s">
        <v>3085</v>
      </c>
      <c r="AY162" s="9">
        <v>1</v>
      </c>
      <c r="AZ162" s="9" t="s">
        <v>2958</v>
      </c>
      <c r="BA162" s="11">
        <v>46271</v>
      </c>
      <c r="BB162" s="9">
        <v>306</v>
      </c>
      <c r="BC162" s="9" t="s">
        <v>3084</v>
      </c>
      <c r="BD162" s="9">
        <v>383343</v>
      </c>
      <c r="BE162" s="11">
        <v>46264</v>
      </c>
      <c r="BF162" s="9">
        <v>1680</v>
      </c>
      <c r="BG162" s="9">
        <v>1</v>
      </c>
      <c r="BH162" s="9" t="s">
        <v>3083</v>
      </c>
    </row>
    <row r="163" spans="1:61" x14ac:dyDescent="0.25">
      <c r="A163" s="9">
        <v>1880</v>
      </c>
      <c r="B163" s="9" t="s">
        <v>2916</v>
      </c>
      <c r="C163" s="9" t="s">
        <v>2557</v>
      </c>
      <c r="D163" s="9">
        <v>1880</v>
      </c>
      <c r="E163" s="9">
        <v>1714</v>
      </c>
      <c r="F163" s="9">
        <v>2026</v>
      </c>
      <c r="G163" s="9">
        <v>18800017142026</v>
      </c>
      <c r="H163" s="9">
        <v>62112000</v>
      </c>
      <c r="I163" s="9">
        <v>2016</v>
      </c>
      <c r="J163" s="9" t="s">
        <v>2851</v>
      </c>
      <c r="K163" s="9">
        <v>1</v>
      </c>
      <c r="L163" s="9" t="s">
        <v>2558</v>
      </c>
      <c r="M163" s="9">
        <v>4</v>
      </c>
      <c r="N163" s="9" t="s">
        <v>3087</v>
      </c>
      <c r="O163" s="10">
        <v>1816</v>
      </c>
      <c r="P163" s="9">
        <v>0</v>
      </c>
      <c r="Q163" s="10">
        <v>1816</v>
      </c>
      <c r="R163" s="9">
        <v>0</v>
      </c>
      <c r="S163" s="9">
        <v>0</v>
      </c>
      <c r="T163" s="9">
        <v>0</v>
      </c>
      <c r="V163" s="10">
        <v>1816</v>
      </c>
      <c r="X163" s="11">
        <v>46264</v>
      </c>
      <c r="Y163" s="9" t="s">
        <v>2564</v>
      </c>
      <c r="Z163" s="11">
        <v>46271</v>
      </c>
      <c r="AB163" s="9" t="s">
        <v>2559</v>
      </c>
      <c r="AC163" s="9">
        <v>260326210686920</v>
      </c>
      <c r="AD163" s="9" t="s">
        <v>3086</v>
      </c>
      <c r="AE163" s="9" t="s">
        <v>200</v>
      </c>
      <c r="AF163" s="9" t="s">
        <v>2919</v>
      </c>
      <c r="AG163" s="9" t="s">
        <v>2570</v>
      </c>
      <c r="AI163" s="9">
        <v>10</v>
      </c>
      <c r="AJ163" s="9" t="s">
        <v>2563</v>
      </c>
      <c r="AK163" s="9">
        <v>334</v>
      </c>
      <c r="AO163" s="9">
        <v>2609876</v>
      </c>
      <c r="AP163" s="11">
        <v>46264</v>
      </c>
      <c r="AR163" s="9" t="s">
        <v>2592</v>
      </c>
      <c r="AS163" s="9" t="s">
        <v>2957</v>
      </c>
      <c r="AT163" s="9" t="s">
        <v>2566</v>
      </c>
      <c r="AU163" s="9" t="s">
        <v>206</v>
      </c>
      <c r="AV163" s="14">
        <v>46295</v>
      </c>
      <c r="AW163" s="9">
        <v>2609876</v>
      </c>
      <c r="AX163" s="9" t="s">
        <v>3085</v>
      </c>
      <c r="AY163" s="9">
        <v>1</v>
      </c>
      <c r="AZ163" s="9" t="s">
        <v>2962</v>
      </c>
      <c r="BA163" s="11">
        <v>46271</v>
      </c>
      <c r="BB163" s="9">
        <v>306</v>
      </c>
      <c r="BC163" s="9" t="s">
        <v>3084</v>
      </c>
      <c r="BD163" s="9">
        <v>383337</v>
      </c>
      <c r="BE163" s="11">
        <v>46264</v>
      </c>
      <c r="BF163" s="9">
        <v>1680</v>
      </c>
      <c r="BG163" s="9">
        <v>1</v>
      </c>
      <c r="BH163" s="9" t="s">
        <v>3083</v>
      </c>
    </row>
    <row r="164" spans="1:61" x14ac:dyDescent="0.25">
      <c r="A164" s="9">
        <v>947</v>
      </c>
      <c r="B164" s="9" t="s">
        <v>2644</v>
      </c>
      <c r="C164" s="9" t="s">
        <v>2645</v>
      </c>
      <c r="D164" s="9">
        <v>947</v>
      </c>
      <c r="E164" s="9">
        <v>1551</v>
      </c>
      <c r="F164" s="9">
        <v>2026</v>
      </c>
      <c r="G164" s="9">
        <v>9470015512026</v>
      </c>
      <c r="H164" s="9">
        <v>62052000</v>
      </c>
      <c r="I164" s="9">
        <v>2020</v>
      </c>
      <c r="J164" s="9" t="s">
        <v>2848</v>
      </c>
      <c r="K164" s="9">
        <v>1</v>
      </c>
      <c r="L164" s="9" t="s">
        <v>2558</v>
      </c>
      <c r="M164" s="9">
        <v>4</v>
      </c>
      <c r="N164" s="9" t="s">
        <v>3087</v>
      </c>
      <c r="O164" s="10">
        <v>6136.83</v>
      </c>
      <c r="P164" s="9">
        <v>0</v>
      </c>
      <c r="Q164" s="10">
        <v>6136.83</v>
      </c>
      <c r="R164" s="9">
        <v>0</v>
      </c>
      <c r="S164" s="9">
        <v>0</v>
      </c>
      <c r="T164" s="9">
        <v>0</v>
      </c>
      <c r="V164" s="10">
        <v>6136.83</v>
      </c>
      <c r="W164" s="10">
        <v>6089.82</v>
      </c>
      <c r="X164" s="11">
        <v>46259</v>
      </c>
      <c r="Y164" s="9" t="s">
        <v>2564</v>
      </c>
      <c r="Z164" s="11">
        <v>46271</v>
      </c>
      <c r="AA164" s="11">
        <v>46286</v>
      </c>
      <c r="AB164" s="9" t="s">
        <v>2559</v>
      </c>
      <c r="AC164" s="9">
        <v>260326210686920</v>
      </c>
      <c r="AD164" s="9" t="s">
        <v>3086</v>
      </c>
      <c r="AE164" s="9" t="s">
        <v>3095</v>
      </c>
      <c r="AF164" s="9" t="s">
        <v>2653</v>
      </c>
      <c r="AG164" s="9" t="s">
        <v>2570</v>
      </c>
      <c r="AH164" s="9" t="s">
        <v>2570</v>
      </c>
      <c r="AI164" s="9">
        <v>10</v>
      </c>
      <c r="AJ164" s="9" t="s">
        <v>2563</v>
      </c>
      <c r="AK164" s="9">
        <v>12600</v>
      </c>
      <c r="AM164" s="9" t="s">
        <v>2690</v>
      </c>
      <c r="AN164" s="11">
        <v>46285</v>
      </c>
      <c r="AO164" s="9">
        <v>2609735</v>
      </c>
      <c r="AP164" s="11">
        <v>46258</v>
      </c>
      <c r="AS164" s="9" t="s">
        <v>2565</v>
      </c>
      <c r="AT164" s="9" t="s">
        <v>2566</v>
      </c>
      <c r="AU164" s="9" t="s">
        <v>262</v>
      </c>
      <c r="AV164" s="14">
        <v>46285</v>
      </c>
      <c r="AW164" s="9">
        <v>2609735</v>
      </c>
      <c r="AX164" s="9" t="s">
        <v>3094</v>
      </c>
      <c r="AY164" s="9">
        <v>6</v>
      </c>
      <c r="AZ164" s="9" t="s">
        <v>2697</v>
      </c>
      <c r="BA164" s="11">
        <v>46271</v>
      </c>
      <c r="BB164" s="9">
        <v>306</v>
      </c>
      <c r="BC164" s="9" t="s">
        <v>3084</v>
      </c>
      <c r="BD164" s="9">
        <v>381040</v>
      </c>
      <c r="BE164" s="11">
        <v>46264</v>
      </c>
      <c r="BF164" s="9">
        <v>1680</v>
      </c>
      <c r="BG164" s="9">
        <v>1</v>
      </c>
      <c r="BH164" s="9" t="s">
        <v>3083</v>
      </c>
      <c r="BI164" s="9">
        <v>1</v>
      </c>
    </row>
    <row r="165" spans="1:61" x14ac:dyDescent="0.25">
      <c r="A165" s="9">
        <v>947</v>
      </c>
      <c r="B165" s="9" t="s">
        <v>2644</v>
      </c>
      <c r="C165" s="9" t="s">
        <v>2645</v>
      </c>
      <c r="D165" s="9">
        <v>947</v>
      </c>
      <c r="E165" s="9">
        <v>1552</v>
      </c>
      <c r="F165" s="9">
        <v>2026</v>
      </c>
      <c r="G165" s="9">
        <v>9470015522026</v>
      </c>
      <c r="H165" s="9">
        <v>62052000</v>
      </c>
      <c r="I165" s="9">
        <v>0</v>
      </c>
      <c r="J165" s="9" t="s">
        <v>3098</v>
      </c>
      <c r="K165" s="9">
        <v>1</v>
      </c>
      <c r="L165" s="9" t="s">
        <v>2558</v>
      </c>
      <c r="M165" s="9">
        <v>4</v>
      </c>
      <c r="N165" s="9" t="s">
        <v>3087</v>
      </c>
      <c r="O165" s="10">
        <v>1850.79</v>
      </c>
      <c r="P165" s="9">
        <v>0</v>
      </c>
      <c r="Q165" s="10">
        <v>1850.79</v>
      </c>
      <c r="R165" s="9">
        <v>0</v>
      </c>
      <c r="S165" s="9">
        <v>0</v>
      </c>
      <c r="T165" s="9">
        <v>0</v>
      </c>
      <c r="V165" s="10">
        <v>1850.79</v>
      </c>
      <c r="W165" s="10">
        <v>1836.61</v>
      </c>
      <c r="X165" s="11">
        <v>46259</v>
      </c>
      <c r="Y165" s="9" t="s">
        <v>2564</v>
      </c>
      <c r="Z165" s="11">
        <v>46271</v>
      </c>
      <c r="AA165" s="11">
        <v>46286</v>
      </c>
      <c r="AB165" s="9" t="s">
        <v>2559</v>
      </c>
      <c r="AC165" s="9">
        <v>260326210686920</v>
      </c>
      <c r="AD165" s="9" t="s">
        <v>3086</v>
      </c>
      <c r="AE165" s="9" t="s">
        <v>3095</v>
      </c>
      <c r="AF165" s="9" t="s">
        <v>2653</v>
      </c>
      <c r="AG165" s="9" t="s">
        <v>2570</v>
      </c>
      <c r="AH165" s="9" t="s">
        <v>2570</v>
      </c>
      <c r="AI165" s="9">
        <v>10</v>
      </c>
      <c r="AJ165" s="9" t="s">
        <v>2563</v>
      </c>
      <c r="AK165" s="9">
        <v>3800</v>
      </c>
      <c r="AM165" s="9" t="s">
        <v>2690</v>
      </c>
      <c r="AN165" s="11">
        <v>46285</v>
      </c>
      <c r="AO165" s="9">
        <v>2609736</v>
      </c>
      <c r="AP165" s="11">
        <v>46258</v>
      </c>
      <c r="AS165" s="9" t="s">
        <v>2565</v>
      </c>
      <c r="AT165" s="9" t="s">
        <v>2566</v>
      </c>
      <c r="AU165" s="9" t="s">
        <v>269</v>
      </c>
      <c r="AV165" s="14">
        <v>46285</v>
      </c>
      <c r="AW165" s="9">
        <v>2609736</v>
      </c>
      <c r="AX165" s="9" t="s">
        <v>3094</v>
      </c>
      <c r="AY165" s="9">
        <v>6</v>
      </c>
      <c r="AZ165" s="9" t="s">
        <v>2699</v>
      </c>
      <c r="BA165" s="11">
        <v>46271</v>
      </c>
      <c r="BB165" s="9">
        <v>306</v>
      </c>
      <c r="BC165" s="9" t="s">
        <v>3084</v>
      </c>
      <c r="BD165" s="9">
        <v>381033</v>
      </c>
      <c r="BE165" s="11">
        <v>46264</v>
      </c>
      <c r="BF165" s="9">
        <v>1680</v>
      </c>
      <c r="BG165" s="9">
        <v>1</v>
      </c>
      <c r="BH165" s="9" t="s">
        <v>3083</v>
      </c>
      <c r="BI165" s="9">
        <v>1</v>
      </c>
    </row>
    <row r="166" spans="1:61" x14ac:dyDescent="0.25">
      <c r="A166" s="9">
        <v>1880</v>
      </c>
      <c r="B166" s="9" t="s">
        <v>2916</v>
      </c>
      <c r="C166" s="9" t="s">
        <v>2557</v>
      </c>
      <c r="D166" s="9">
        <v>1880</v>
      </c>
      <c r="E166" s="9">
        <v>1729</v>
      </c>
      <c r="F166" s="9">
        <v>2026</v>
      </c>
      <c r="G166" s="9">
        <v>18800017292026</v>
      </c>
      <c r="H166" s="9">
        <v>62063000</v>
      </c>
      <c r="I166" s="9">
        <v>2016</v>
      </c>
      <c r="J166" s="9" t="s">
        <v>2851</v>
      </c>
      <c r="K166" s="9">
        <v>1</v>
      </c>
      <c r="L166" s="9" t="s">
        <v>2558</v>
      </c>
      <c r="M166" s="9">
        <v>4</v>
      </c>
      <c r="N166" s="9" t="s">
        <v>3087</v>
      </c>
      <c r="O166" s="10">
        <v>4637.43</v>
      </c>
      <c r="P166" s="9">
        <v>0</v>
      </c>
      <c r="Q166" s="10">
        <v>4637.43</v>
      </c>
      <c r="R166" s="9">
        <v>0</v>
      </c>
      <c r="S166" s="9">
        <v>0</v>
      </c>
      <c r="T166" s="9">
        <v>0</v>
      </c>
      <c r="V166" s="10">
        <v>4637.43</v>
      </c>
      <c r="X166" s="11">
        <v>46266</v>
      </c>
      <c r="Y166" s="9" t="s">
        <v>2564</v>
      </c>
      <c r="Z166" s="11">
        <v>46271</v>
      </c>
      <c r="AB166" s="9" t="s">
        <v>2559</v>
      </c>
      <c r="AC166" s="9">
        <v>260326210686920</v>
      </c>
      <c r="AD166" s="9" t="s">
        <v>3086</v>
      </c>
      <c r="AE166" s="9" t="s">
        <v>200</v>
      </c>
      <c r="AF166" s="9" t="s">
        <v>2919</v>
      </c>
      <c r="AG166" s="9" t="s">
        <v>2570</v>
      </c>
      <c r="AI166" s="9">
        <v>10</v>
      </c>
      <c r="AJ166" s="9" t="s">
        <v>2563</v>
      </c>
      <c r="AK166" s="9">
        <v>866</v>
      </c>
      <c r="AO166" s="9">
        <v>2610001</v>
      </c>
      <c r="AP166" s="11">
        <v>46266</v>
      </c>
      <c r="AR166" s="9" t="s">
        <v>2571</v>
      </c>
      <c r="AS166" s="9" t="s">
        <v>2957</v>
      </c>
      <c r="AT166" s="9" t="s">
        <v>2566</v>
      </c>
      <c r="AU166" s="9" t="s">
        <v>183</v>
      </c>
      <c r="AV166" s="14">
        <v>46295</v>
      </c>
      <c r="AW166" s="9">
        <v>2610001</v>
      </c>
      <c r="AX166" s="9" t="s">
        <v>3085</v>
      </c>
      <c r="AY166" s="9">
        <v>1</v>
      </c>
      <c r="AZ166" s="9" t="s">
        <v>2969</v>
      </c>
      <c r="BA166" s="11">
        <v>46271</v>
      </c>
      <c r="BB166" s="9">
        <v>306</v>
      </c>
      <c r="BC166" s="9" t="s">
        <v>3084</v>
      </c>
      <c r="BD166" s="9">
        <v>393294</v>
      </c>
      <c r="BE166" s="11">
        <v>46266</v>
      </c>
      <c r="BF166" s="9">
        <v>1680</v>
      </c>
      <c r="BG166" s="9">
        <v>1</v>
      </c>
      <c r="BH166" s="9" t="s">
        <v>3083</v>
      </c>
    </row>
    <row r="167" spans="1:61" x14ac:dyDescent="0.25">
      <c r="A167" s="9">
        <v>1880</v>
      </c>
      <c r="B167" s="9" t="s">
        <v>2916</v>
      </c>
      <c r="C167" s="9" t="s">
        <v>2557</v>
      </c>
      <c r="D167" s="9">
        <v>1880</v>
      </c>
      <c r="E167" s="9">
        <v>1730</v>
      </c>
      <c r="F167" s="9">
        <v>2026</v>
      </c>
      <c r="G167" s="9">
        <v>18800017302026</v>
      </c>
      <c r="H167" s="9">
        <v>62063000</v>
      </c>
      <c r="I167" s="9">
        <v>2016</v>
      </c>
      <c r="J167" s="9" t="s">
        <v>2851</v>
      </c>
      <c r="K167" s="9">
        <v>1</v>
      </c>
      <c r="L167" s="9" t="s">
        <v>2558</v>
      </c>
      <c r="M167" s="9">
        <v>4</v>
      </c>
      <c r="N167" s="9" t="s">
        <v>3087</v>
      </c>
      <c r="O167" s="10">
        <v>2409.75</v>
      </c>
      <c r="P167" s="9">
        <v>0</v>
      </c>
      <c r="Q167" s="10">
        <v>2409.75</v>
      </c>
      <c r="R167" s="9">
        <v>0</v>
      </c>
      <c r="S167" s="9">
        <v>0</v>
      </c>
      <c r="T167" s="9">
        <v>0</v>
      </c>
      <c r="V167" s="10">
        <v>2409.75</v>
      </c>
      <c r="X167" s="11">
        <v>46266</v>
      </c>
      <c r="Y167" s="9" t="s">
        <v>2564</v>
      </c>
      <c r="Z167" s="11">
        <v>46271</v>
      </c>
      <c r="AB167" s="9" t="s">
        <v>2559</v>
      </c>
      <c r="AC167" s="9">
        <v>260326210686920</v>
      </c>
      <c r="AD167" s="9" t="s">
        <v>3086</v>
      </c>
      <c r="AE167" s="9" t="s">
        <v>200</v>
      </c>
      <c r="AF167" s="9" t="s">
        <v>2919</v>
      </c>
      <c r="AG167" s="9" t="s">
        <v>2570</v>
      </c>
      <c r="AI167" s="9">
        <v>10</v>
      </c>
      <c r="AJ167" s="9" t="s">
        <v>2563</v>
      </c>
      <c r="AK167" s="9">
        <v>450</v>
      </c>
      <c r="AO167" s="9">
        <v>2610002</v>
      </c>
      <c r="AP167" s="11">
        <v>46266</v>
      </c>
      <c r="AR167" s="9" t="s">
        <v>2571</v>
      </c>
      <c r="AS167" s="9" t="s">
        <v>2970</v>
      </c>
      <c r="AT167" s="9" t="s">
        <v>2566</v>
      </c>
      <c r="AU167" s="9" t="s">
        <v>206</v>
      </c>
      <c r="AV167" s="14">
        <v>46294</v>
      </c>
      <c r="AW167" s="9">
        <v>2610002</v>
      </c>
      <c r="AX167" s="9" t="s">
        <v>3085</v>
      </c>
      <c r="AY167" s="9">
        <v>1</v>
      </c>
      <c r="AZ167" s="9" t="s">
        <v>2971</v>
      </c>
      <c r="BA167" s="11">
        <v>46271</v>
      </c>
      <c r="BB167" s="9">
        <v>306</v>
      </c>
      <c r="BC167" s="9" t="s">
        <v>3084</v>
      </c>
      <c r="BD167" s="9">
        <v>393301</v>
      </c>
      <c r="BE167" s="11">
        <v>46266</v>
      </c>
      <c r="BF167" s="9">
        <v>1680</v>
      </c>
      <c r="BG167" s="9">
        <v>1</v>
      </c>
      <c r="BH167" s="9" t="s">
        <v>3083</v>
      </c>
    </row>
    <row r="168" spans="1:61" x14ac:dyDescent="0.25">
      <c r="A168" s="9">
        <v>1880</v>
      </c>
      <c r="B168" s="9" t="s">
        <v>2916</v>
      </c>
      <c r="C168" s="9" t="s">
        <v>2557</v>
      </c>
      <c r="D168" s="9">
        <v>1880</v>
      </c>
      <c r="E168" s="9">
        <v>1651</v>
      </c>
      <c r="F168" s="9">
        <v>2026</v>
      </c>
      <c r="G168" s="9">
        <v>18800016512026</v>
      </c>
      <c r="H168" s="9">
        <v>62063000</v>
      </c>
      <c r="I168" s="9">
        <v>2016</v>
      </c>
      <c r="J168" s="9" t="s">
        <v>2851</v>
      </c>
      <c r="K168" s="9">
        <v>1</v>
      </c>
      <c r="L168" s="9" t="s">
        <v>2558</v>
      </c>
      <c r="M168" s="9">
        <v>4</v>
      </c>
      <c r="N168" s="9" t="s">
        <v>3087</v>
      </c>
      <c r="O168" s="10">
        <v>4628</v>
      </c>
      <c r="P168" s="9">
        <v>0</v>
      </c>
      <c r="Q168" s="10">
        <v>4628</v>
      </c>
      <c r="R168" s="9">
        <v>0</v>
      </c>
      <c r="S168" s="9">
        <v>0</v>
      </c>
      <c r="T168" s="9">
        <v>0</v>
      </c>
      <c r="V168" s="10">
        <v>4628</v>
      </c>
      <c r="X168" s="11">
        <v>46261</v>
      </c>
      <c r="Y168" s="9" t="s">
        <v>2564</v>
      </c>
      <c r="Z168" s="11">
        <v>46271</v>
      </c>
      <c r="AB168" s="9" t="s">
        <v>2559</v>
      </c>
      <c r="AC168" s="9">
        <v>260326210686920</v>
      </c>
      <c r="AD168" s="9" t="s">
        <v>3086</v>
      </c>
      <c r="AE168" s="9" t="s">
        <v>200</v>
      </c>
      <c r="AF168" s="9" t="s">
        <v>2919</v>
      </c>
      <c r="AG168" s="9" t="s">
        <v>2570</v>
      </c>
      <c r="AI168" s="9">
        <v>10</v>
      </c>
      <c r="AJ168" s="9" t="s">
        <v>2563</v>
      </c>
      <c r="AK168" s="9">
        <v>1300</v>
      </c>
      <c r="AO168" s="9">
        <v>2609774</v>
      </c>
      <c r="AP168" s="11">
        <v>46261</v>
      </c>
      <c r="AR168" s="9" t="s">
        <v>2571</v>
      </c>
      <c r="AS168" s="9" t="s">
        <v>2957</v>
      </c>
      <c r="AT168" s="9" t="s">
        <v>2566</v>
      </c>
      <c r="AU168" s="9" t="s">
        <v>206</v>
      </c>
      <c r="AV168" s="14">
        <v>46295</v>
      </c>
      <c r="AW168" s="9">
        <v>2609774</v>
      </c>
      <c r="AX168" s="9" t="s">
        <v>3085</v>
      </c>
      <c r="AY168" s="9">
        <v>1</v>
      </c>
      <c r="AZ168" s="9" t="s">
        <v>2978</v>
      </c>
      <c r="BA168" s="11">
        <v>46271</v>
      </c>
      <c r="BB168" s="9">
        <v>306</v>
      </c>
      <c r="BC168" s="9" t="s">
        <v>3084</v>
      </c>
      <c r="BD168" s="9">
        <v>370193</v>
      </c>
      <c r="BE168" s="11">
        <v>46261</v>
      </c>
      <c r="BF168" s="9">
        <v>1680</v>
      </c>
      <c r="BG168" s="9">
        <v>1</v>
      </c>
      <c r="BH168" s="9" t="s">
        <v>3083</v>
      </c>
    </row>
    <row r="169" spans="1:61" ht="180" x14ac:dyDescent="0.25">
      <c r="A169" s="9">
        <v>1880</v>
      </c>
      <c r="B169" s="9" t="s">
        <v>2916</v>
      </c>
      <c r="C169" s="9" t="s">
        <v>2557</v>
      </c>
      <c r="D169" s="9">
        <v>1880</v>
      </c>
      <c r="E169" s="9">
        <v>1631</v>
      </c>
      <c r="F169" s="9">
        <v>2026</v>
      </c>
      <c r="G169" s="9">
        <v>18800016312026</v>
      </c>
      <c r="H169" s="9">
        <v>62052000</v>
      </c>
      <c r="I169" s="9">
        <v>2016</v>
      </c>
      <c r="J169" s="9" t="s">
        <v>2851</v>
      </c>
      <c r="K169" s="9">
        <v>86</v>
      </c>
      <c r="L169" s="9" t="s">
        <v>2574</v>
      </c>
      <c r="M169" s="9">
        <v>4</v>
      </c>
      <c r="N169" s="9" t="s">
        <v>3087</v>
      </c>
      <c r="O169" s="10">
        <v>94747.33</v>
      </c>
      <c r="Q169" s="10">
        <v>94747.33</v>
      </c>
      <c r="R169" s="9">
        <v>0</v>
      </c>
      <c r="S169" s="9">
        <v>0</v>
      </c>
      <c r="T169" s="9">
        <v>0</v>
      </c>
      <c r="V169" s="10">
        <v>94747.33</v>
      </c>
      <c r="X169" s="11">
        <v>46259</v>
      </c>
      <c r="Y169" s="9" t="s">
        <v>2564</v>
      </c>
      <c r="Z169" s="11">
        <v>46271</v>
      </c>
      <c r="AB169" s="9" t="s">
        <v>2559</v>
      </c>
      <c r="AC169" s="9">
        <v>260326210686920</v>
      </c>
      <c r="AD169" s="9" t="s">
        <v>3086</v>
      </c>
      <c r="AE169" s="9" t="s">
        <v>181</v>
      </c>
      <c r="AF169" s="12" t="s">
        <v>2938</v>
      </c>
      <c r="AG169" s="9" t="s">
        <v>2570</v>
      </c>
      <c r="AI169" s="9">
        <v>10</v>
      </c>
      <c r="AJ169" s="9" t="s">
        <v>2563</v>
      </c>
      <c r="AK169" s="9">
        <v>18773</v>
      </c>
      <c r="AO169" s="9">
        <v>2609740</v>
      </c>
      <c r="AP169" s="11">
        <v>46259</v>
      </c>
      <c r="AT169" s="9" t="s">
        <v>2566</v>
      </c>
      <c r="AV169" s="14">
        <v>46284</v>
      </c>
      <c r="AX169" s="9" t="s">
        <v>3094</v>
      </c>
      <c r="AY169" s="9">
        <v>6</v>
      </c>
      <c r="AZ169" s="9" t="s">
        <v>3028</v>
      </c>
      <c r="BA169" s="11">
        <v>46271</v>
      </c>
      <c r="BB169" s="9">
        <v>306</v>
      </c>
      <c r="BC169" s="9" t="s">
        <v>3084</v>
      </c>
      <c r="BD169" s="9">
        <v>362911</v>
      </c>
      <c r="BE169" s="11">
        <v>46259</v>
      </c>
      <c r="BF169" s="9">
        <v>1680</v>
      </c>
      <c r="BG169" s="9">
        <v>1</v>
      </c>
      <c r="BH169" s="9" t="s">
        <v>3083</v>
      </c>
    </row>
    <row r="170" spans="1:61" x14ac:dyDescent="0.25">
      <c r="A170" s="9">
        <v>947</v>
      </c>
      <c r="B170" s="9" t="s">
        <v>2644</v>
      </c>
      <c r="C170" s="9" t="s">
        <v>2645</v>
      </c>
      <c r="D170" s="9">
        <v>947</v>
      </c>
      <c r="E170" s="9">
        <v>1515</v>
      </c>
      <c r="F170" s="9">
        <v>2026</v>
      </c>
      <c r="G170" s="9">
        <v>9470015152026</v>
      </c>
      <c r="H170" s="9">
        <v>62071100</v>
      </c>
      <c r="I170" s="9">
        <v>2020</v>
      </c>
      <c r="J170" s="9" t="s">
        <v>2848</v>
      </c>
      <c r="K170" s="9">
        <v>1</v>
      </c>
      <c r="L170" s="9" t="s">
        <v>2558</v>
      </c>
      <c r="M170" s="9">
        <v>4</v>
      </c>
      <c r="N170" s="9" t="s">
        <v>3087</v>
      </c>
      <c r="O170" s="10">
        <v>2960.5</v>
      </c>
      <c r="P170" s="9">
        <v>0</v>
      </c>
      <c r="Q170" s="10">
        <v>2960.5</v>
      </c>
      <c r="R170" s="9">
        <v>0</v>
      </c>
      <c r="S170" s="9">
        <v>0</v>
      </c>
      <c r="T170" s="9">
        <v>0</v>
      </c>
      <c r="V170" s="10">
        <v>2960.5</v>
      </c>
      <c r="W170" s="10">
        <v>2935.63</v>
      </c>
      <c r="X170" s="11">
        <v>46256</v>
      </c>
      <c r="Y170" s="9" t="s">
        <v>2564</v>
      </c>
      <c r="Z170" s="11">
        <v>46271</v>
      </c>
      <c r="AA170" s="11">
        <v>46289</v>
      </c>
      <c r="AB170" s="9" t="s">
        <v>2559</v>
      </c>
      <c r="AC170" s="9">
        <v>260326210686920</v>
      </c>
      <c r="AD170" s="9" t="s">
        <v>3086</v>
      </c>
      <c r="AE170" s="9" t="s">
        <v>3095</v>
      </c>
      <c r="AF170" s="9" t="s">
        <v>2653</v>
      </c>
      <c r="AG170" s="9" t="s">
        <v>2570</v>
      </c>
      <c r="AH170" s="9" t="s">
        <v>2570</v>
      </c>
      <c r="AI170" s="9">
        <v>10</v>
      </c>
      <c r="AJ170" s="9" t="s">
        <v>2563</v>
      </c>
      <c r="AK170" s="9">
        <v>10000</v>
      </c>
      <c r="AM170" s="9">
        <v>585</v>
      </c>
      <c r="AN170" s="11">
        <v>46288</v>
      </c>
      <c r="AO170" s="9">
        <v>2609624</v>
      </c>
      <c r="AP170" s="11">
        <v>46256</v>
      </c>
      <c r="AS170" s="9" t="s">
        <v>2565</v>
      </c>
      <c r="AT170" s="9" t="s">
        <v>2566</v>
      </c>
      <c r="AU170" s="9" t="s">
        <v>262</v>
      </c>
      <c r="AV170" s="14">
        <v>46288</v>
      </c>
      <c r="AW170" s="9">
        <v>2609624</v>
      </c>
      <c r="AX170" s="9" t="s">
        <v>3094</v>
      </c>
      <c r="AY170" s="9">
        <v>6</v>
      </c>
      <c r="AZ170" s="9" t="s">
        <v>2812</v>
      </c>
      <c r="BA170" s="11">
        <v>46271</v>
      </c>
      <c r="BB170" s="9">
        <v>306</v>
      </c>
      <c r="BC170" s="9" t="s">
        <v>3084</v>
      </c>
      <c r="BD170" s="9">
        <v>365415</v>
      </c>
      <c r="BE170" s="11">
        <v>46260</v>
      </c>
      <c r="BF170" s="9">
        <v>1680</v>
      </c>
      <c r="BG170" s="9">
        <v>1</v>
      </c>
      <c r="BH170" s="9" t="s">
        <v>3083</v>
      </c>
      <c r="BI170" s="9">
        <v>1</v>
      </c>
    </row>
    <row r="171" spans="1:61" x14ac:dyDescent="0.25">
      <c r="A171" s="9">
        <v>947</v>
      </c>
      <c r="B171" s="9" t="s">
        <v>2644</v>
      </c>
      <c r="C171" s="9" t="s">
        <v>2645</v>
      </c>
      <c r="D171" s="9">
        <v>947</v>
      </c>
      <c r="E171" s="9">
        <v>1516</v>
      </c>
      <c r="F171" s="9">
        <v>2026</v>
      </c>
      <c r="G171" s="9">
        <v>9470015162026</v>
      </c>
      <c r="H171" s="9">
        <v>62071100</v>
      </c>
      <c r="I171" s="9">
        <v>2020</v>
      </c>
      <c r="J171" s="9" t="s">
        <v>2848</v>
      </c>
      <c r="K171" s="9">
        <v>1</v>
      </c>
      <c r="L171" s="9" t="s">
        <v>2558</v>
      </c>
      <c r="M171" s="9">
        <v>4</v>
      </c>
      <c r="N171" s="9" t="s">
        <v>3087</v>
      </c>
      <c r="O171" s="10">
        <v>11842</v>
      </c>
      <c r="P171" s="9">
        <v>0</v>
      </c>
      <c r="Q171" s="10">
        <v>11842</v>
      </c>
      <c r="R171" s="9">
        <v>0</v>
      </c>
      <c r="S171" s="9">
        <v>0</v>
      </c>
      <c r="T171" s="9">
        <v>0</v>
      </c>
      <c r="V171" s="10">
        <v>11842</v>
      </c>
      <c r="W171" s="10">
        <v>11742.51</v>
      </c>
      <c r="X171" s="11">
        <v>46256</v>
      </c>
      <c r="Y171" s="9" t="s">
        <v>2564</v>
      </c>
      <c r="Z171" s="11">
        <v>46271</v>
      </c>
      <c r="AA171" s="11">
        <v>46289</v>
      </c>
      <c r="AB171" s="9" t="s">
        <v>2559</v>
      </c>
      <c r="AC171" s="9">
        <v>260326210686920</v>
      </c>
      <c r="AD171" s="9" t="s">
        <v>3086</v>
      </c>
      <c r="AE171" s="9" t="s">
        <v>3095</v>
      </c>
      <c r="AF171" s="9" t="s">
        <v>2653</v>
      </c>
      <c r="AG171" s="9" t="s">
        <v>2570</v>
      </c>
      <c r="AH171" s="9" t="s">
        <v>2570</v>
      </c>
      <c r="AI171" s="9">
        <v>10</v>
      </c>
      <c r="AJ171" s="9" t="s">
        <v>2563</v>
      </c>
      <c r="AK171" s="9">
        <v>40000</v>
      </c>
      <c r="AM171" s="9">
        <v>585</v>
      </c>
      <c r="AN171" s="11">
        <v>46288</v>
      </c>
      <c r="AO171" s="9">
        <v>2609625</v>
      </c>
      <c r="AP171" s="11">
        <v>46256</v>
      </c>
      <c r="AR171" s="9" t="s">
        <v>2577</v>
      </c>
      <c r="AS171" s="9" t="s">
        <v>2565</v>
      </c>
      <c r="AT171" s="9" t="s">
        <v>2566</v>
      </c>
      <c r="AU171" s="9" t="s">
        <v>252</v>
      </c>
      <c r="AV171" s="14">
        <v>46288</v>
      </c>
      <c r="AW171" s="9">
        <v>2609625</v>
      </c>
      <c r="AX171" s="9" t="s">
        <v>3094</v>
      </c>
      <c r="AY171" s="9">
        <v>6</v>
      </c>
      <c r="AZ171" s="9" t="s">
        <v>2814</v>
      </c>
      <c r="BA171" s="11">
        <v>46271</v>
      </c>
      <c r="BB171" s="9">
        <v>306</v>
      </c>
      <c r="BC171" s="9" t="s">
        <v>3084</v>
      </c>
      <c r="BD171" s="9">
        <v>365419</v>
      </c>
      <c r="BE171" s="11">
        <v>46260</v>
      </c>
      <c r="BF171" s="9">
        <v>1680</v>
      </c>
      <c r="BG171" s="9">
        <v>1</v>
      </c>
      <c r="BH171" s="9" t="s">
        <v>3083</v>
      </c>
      <c r="BI171" s="9">
        <v>1</v>
      </c>
    </row>
    <row r="172" spans="1:61" x14ac:dyDescent="0.25">
      <c r="A172" s="9">
        <v>947</v>
      </c>
      <c r="B172" s="9" t="s">
        <v>2644</v>
      </c>
      <c r="C172" s="9" t="s">
        <v>2645</v>
      </c>
      <c r="D172" s="9">
        <v>947</v>
      </c>
      <c r="E172" s="9">
        <v>1331</v>
      </c>
      <c r="F172" s="9">
        <v>2026</v>
      </c>
      <c r="G172" s="9">
        <v>9470013312026</v>
      </c>
      <c r="H172" s="9">
        <v>62052000</v>
      </c>
      <c r="I172" s="9">
        <v>2005</v>
      </c>
      <c r="J172" s="9" t="s">
        <v>3105</v>
      </c>
      <c r="K172" s="9">
        <v>1</v>
      </c>
      <c r="L172" s="9" t="s">
        <v>2558</v>
      </c>
      <c r="M172" s="9">
        <v>4</v>
      </c>
      <c r="N172" s="9" t="s">
        <v>3087</v>
      </c>
      <c r="O172" s="10">
        <v>28532.09</v>
      </c>
      <c r="P172" s="9">
        <v>0</v>
      </c>
      <c r="Q172" s="10">
        <v>26994.89</v>
      </c>
      <c r="R172" s="9">
        <v>0</v>
      </c>
      <c r="S172" s="9">
        <v>0</v>
      </c>
      <c r="T172" s="9">
        <v>0</v>
      </c>
      <c r="V172" s="10">
        <v>26994.89</v>
      </c>
      <c r="W172" s="10">
        <v>25777.96</v>
      </c>
      <c r="X172" s="11">
        <v>46229</v>
      </c>
      <c r="Y172" s="9" t="s">
        <v>2564</v>
      </c>
      <c r="Z172" s="11">
        <v>46273</v>
      </c>
      <c r="AA172" s="11">
        <v>46288</v>
      </c>
      <c r="AB172" s="9" t="s">
        <v>2559</v>
      </c>
      <c r="AC172" s="9">
        <v>260326210686920</v>
      </c>
      <c r="AD172" s="9" t="s">
        <v>3086</v>
      </c>
      <c r="AE172" s="9" t="s">
        <v>830</v>
      </c>
      <c r="AF172" s="9" t="s">
        <v>2772</v>
      </c>
      <c r="AG172" s="9" t="s">
        <v>2570</v>
      </c>
      <c r="AH172" s="9" t="s">
        <v>2570</v>
      </c>
      <c r="AI172" s="9">
        <v>10</v>
      </c>
      <c r="AJ172" s="9" t="s">
        <v>2563</v>
      </c>
      <c r="AK172" s="9">
        <v>8416</v>
      </c>
      <c r="AM172" s="9" t="s">
        <v>2736</v>
      </c>
      <c r="AN172" s="11">
        <v>46287</v>
      </c>
      <c r="AO172" s="9">
        <v>2608305</v>
      </c>
      <c r="AP172" s="11">
        <v>46226</v>
      </c>
      <c r="AR172" s="9" t="s">
        <v>2577</v>
      </c>
      <c r="AS172" s="9" t="s">
        <v>2565</v>
      </c>
      <c r="AT172" s="9" t="s">
        <v>2566</v>
      </c>
      <c r="AU172" s="9" t="s">
        <v>49</v>
      </c>
      <c r="AV172" s="14">
        <v>46286</v>
      </c>
      <c r="AW172" s="9">
        <v>2608305</v>
      </c>
      <c r="AX172" s="9" t="s">
        <v>3101</v>
      </c>
      <c r="AY172" s="9">
        <v>3</v>
      </c>
      <c r="AZ172" s="9" t="s">
        <v>3106</v>
      </c>
      <c r="BA172" s="11">
        <v>46273</v>
      </c>
      <c r="BB172" s="9">
        <v>101</v>
      </c>
      <c r="BC172" s="9" t="s">
        <v>3100</v>
      </c>
      <c r="BD172" s="9">
        <v>926830</v>
      </c>
      <c r="BE172" s="11">
        <v>46273</v>
      </c>
      <c r="BF172" s="9">
        <v>1680</v>
      </c>
      <c r="BG172" s="9">
        <v>1</v>
      </c>
      <c r="BH172" s="9" t="s">
        <v>3083</v>
      </c>
      <c r="BI172" s="9">
        <v>1</v>
      </c>
    </row>
    <row r="173" spans="1:61" x14ac:dyDescent="0.25">
      <c r="A173" s="9">
        <v>947</v>
      </c>
      <c r="B173" s="9" t="s">
        <v>2644</v>
      </c>
      <c r="C173" s="9" t="s">
        <v>2645</v>
      </c>
      <c r="D173" s="9">
        <v>947</v>
      </c>
      <c r="E173" s="9">
        <v>1674</v>
      </c>
      <c r="F173" s="9">
        <v>2026</v>
      </c>
      <c r="G173" s="9">
        <v>9470016742026</v>
      </c>
      <c r="H173" s="9">
        <v>62052000</v>
      </c>
      <c r="I173" s="9">
        <v>2005</v>
      </c>
      <c r="J173" s="9" t="s">
        <v>3105</v>
      </c>
      <c r="K173" s="9">
        <v>1</v>
      </c>
      <c r="L173" s="9" t="s">
        <v>2558</v>
      </c>
      <c r="M173" s="9">
        <v>9</v>
      </c>
      <c r="N173" s="9" t="s">
        <v>3104</v>
      </c>
      <c r="O173" s="10">
        <v>6159</v>
      </c>
      <c r="Q173" s="10">
        <v>5242.76</v>
      </c>
      <c r="R173" s="9">
        <v>1260.4000000000001</v>
      </c>
      <c r="S173" s="9">
        <v>0</v>
      </c>
      <c r="V173" s="10">
        <v>5242.76</v>
      </c>
      <c r="W173" s="10">
        <v>5006.42</v>
      </c>
      <c r="X173" s="11">
        <v>46271</v>
      </c>
      <c r="Y173" s="9" t="s">
        <v>2564</v>
      </c>
      <c r="Z173" s="11">
        <v>46273</v>
      </c>
      <c r="AA173" s="11">
        <v>46288</v>
      </c>
      <c r="AB173" s="9" t="s">
        <v>2559</v>
      </c>
      <c r="AC173" s="9">
        <v>260326210686920</v>
      </c>
      <c r="AD173" s="9" t="s">
        <v>3086</v>
      </c>
      <c r="AE173" s="9" t="s">
        <v>47</v>
      </c>
      <c r="AF173" s="9" t="s">
        <v>2735</v>
      </c>
      <c r="AG173" s="9" t="s">
        <v>2570</v>
      </c>
      <c r="AH173" s="9" t="s">
        <v>2570</v>
      </c>
      <c r="AI173" s="9">
        <v>10</v>
      </c>
      <c r="AJ173" s="9" t="s">
        <v>2563</v>
      </c>
      <c r="AK173" s="9">
        <v>2111</v>
      </c>
      <c r="AM173" s="9" t="s">
        <v>2736</v>
      </c>
      <c r="AN173" s="11">
        <v>46287</v>
      </c>
      <c r="AO173" s="9">
        <v>2610116</v>
      </c>
      <c r="AP173" s="11">
        <v>46270</v>
      </c>
      <c r="AR173" s="9" t="s">
        <v>2737</v>
      </c>
      <c r="AT173" s="9" t="s">
        <v>2566</v>
      </c>
      <c r="AV173" s="14">
        <v>46280</v>
      </c>
      <c r="AX173" s="9" t="s">
        <v>3101</v>
      </c>
      <c r="AY173" s="9">
        <v>3</v>
      </c>
      <c r="AZ173" s="9" t="s">
        <v>2738</v>
      </c>
      <c r="BA173" s="11">
        <v>46273</v>
      </c>
      <c r="BB173" s="9">
        <v>101</v>
      </c>
      <c r="BC173" s="9" t="s">
        <v>3100</v>
      </c>
      <c r="BD173" s="9">
        <v>926867</v>
      </c>
      <c r="BE173" s="11">
        <v>46273</v>
      </c>
      <c r="BF173" s="9">
        <v>1680</v>
      </c>
      <c r="BG173" s="9">
        <v>8</v>
      </c>
      <c r="BH173" s="9" t="s">
        <v>3099</v>
      </c>
      <c r="BI173" s="9">
        <v>1</v>
      </c>
    </row>
    <row r="174" spans="1:61" ht="90" x14ac:dyDescent="0.25">
      <c r="A174" s="9">
        <v>947</v>
      </c>
      <c r="B174" s="9" t="s">
        <v>2644</v>
      </c>
      <c r="C174" s="9" t="s">
        <v>2645</v>
      </c>
      <c r="D174" s="9">
        <v>947</v>
      </c>
      <c r="E174" s="9">
        <v>1638</v>
      </c>
      <c r="F174" s="9">
        <v>2026</v>
      </c>
      <c r="G174" s="9">
        <v>9470016382026</v>
      </c>
      <c r="H174" s="9">
        <v>61044200</v>
      </c>
      <c r="I174" s="9">
        <v>2000</v>
      </c>
      <c r="J174" s="9" t="s">
        <v>3092</v>
      </c>
      <c r="K174" s="9">
        <v>1</v>
      </c>
      <c r="L174" s="9" t="s">
        <v>2558</v>
      </c>
      <c r="M174" s="9">
        <v>4</v>
      </c>
      <c r="N174" s="9" t="s">
        <v>3087</v>
      </c>
      <c r="O174" s="10">
        <v>1286.47</v>
      </c>
      <c r="P174" s="9">
        <v>0</v>
      </c>
      <c r="Q174" s="10">
        <v>1286.47</v>
      </c>
      <c r="R174" s="9">
        <v>0</v>
      </c>
      <c r="S174" s="9">
        <v>0</v>
      </c>
      <c r="T174" s="9">
        <v>0</v>
      </c>
      <c r="V174" s="10">
        <v>1286.47</v>
      </c>
      <c r="X174" s="11">
        <v>46266</v>
      </c>
      <c r="Y174" s="9" t="s">
        <v>2564</v>
      </c>
      <c r="Z174" s="11">
        <v>46274</v>
      </c>
      <c r="AB174" s="9" t="s">
        <v>2559</v>
      </c>
      <c r="AC174" s="9">
        <v>260326210686920</v>
      </c>
      <c r="AD174" s="9" t="s">
        <v>3086</v>
      </c>
      <c r="AE174" s="9" t="s">
        <v>139</v>
      </c>
      <c r="AF174" s="12" t="s">
        <v>2668</v>
      </c>
      <c r="AG174" s="9" t="s">
        <v>2570</v>
      </c>
      <c r="AI174" s="9">
        <v>10</v>
      </c>
      <c r="AJ174" s="9" t="s">
        <v>2563</v>
      </c>
      <c r="AK174" s="9">
        <v>394</v>
      </c>
      <c r="AO174" s="9">
        <v>2610004</v>
      </c>
      <c r="AP174" s="11">
        <v>46266</v>
      </c>
      <c r="AR174" s="9" t="s">
        <v>2577</v>
      </c>
      <c r="AS174" s="9" t="s">
        <v>2565</v>
      </c>
      <c r="AT174" s="9" t="s">
        <v>2566</v>
      </c>
      <c r="AU174" s="9" t="s">
        <v>124</v>
      </c>
      <c r="AV174" s="14">
        <v>46287</v>
      </c>
      <c r="AW174" s="9">
        <v>2610004</v>
      </c>
      <c r="AX174" s="9" t="s">
        <v>3085</v>
      </c>
      <c r="AY174" s="9">
        <v>1</v>
      </c>
      <c r="AZ174" s="9" t="s">
        <v>2795</v>
      </c>
      <c r="BA174" s="11">
        <v>46274</v>
      </c>
      <c r="BB174" s="9">
        <v>306</v>
      </c>
      <c r="BC174" s="9" t="s">
        <v>3084</v>
      </c>
      <c r="BD174" s="9">
        <v>400751</v>
      </c>
      <c r="BE174" s="11">
        <v>46268</v>
      </c>
      <c r="BF174" s="9">
        <v>1680</v>
      </c>
      <c r="BG174" s="9">
        <v>1</v>
      </c>
      <c r="BH174" s="9" t="s">
        <v>3083</v>
      </c>
    </row>
    <row r="175" spans="1:61" ht="90" x14ac:dyDescent="0.25">
      <c r="A175" s="9">
        <v>947</v>
      </c>
      <c r="B175" s="9" t="s">
        <v>2644</v>
      </c>
      <c r="C175" s="9" t="s">
        <v>2645</v>
      </c>
      <c r="D175" s="9">
        <v>947</v>
      </c>
      <c r="E175" s="9">
        <v>1621</v>
      </c>
      <c r="F175" s="9">
        <v>2026</v>
      </c>
      <c r="G175" s="9">
        <v>9470016212026</v>
      </c>
      <c r="H175" s="9">
        <v>61083100</v>
      </c>
      <c r="I175" s="9">
        <v>2000</v>
      </c>
      <c r="J175" s="9" t="s">
        <v>3092</v>
      </c>
      <c r="K175" s="9">
        <v>1</v>
      </c>
      <c r="L175" s="9" t="s">
        <v>2558</v>
      </c>
      <c r="M175" s="9">
        <v>4</v>
      </c>
      <c r="N175" s="9" t="s">
        <v>3087</v>
      </c>
      <c r="O175" s="10">
        <v>4949.5</v>
      </c>
      <c r="P175" s="9">
        <v>0</v>
      </c>
      <c r="Q175" s="10">
        <v>4949.5</v>
      </c>
      <c r="R175" s="9">
        <v>0</v>
      </c>
      <c r="S175" s="9">
        <v>0</v>
      </c>
      <c r="T175" s="9">
        <v>0</v>
      </c>
      <c r="V175" s="10">
        <v>4949.5</v>
      </c>
      <c r="X175" s="11">
        <v>46265</v>
      </c>
      <c r="Y175" s="9" t="s">
        <v>2564</v>
      </c>
      <c r="Z175" s="11">
        <v>46274</v>
      </c>
      <c r="AB175" s="9" t="s">
        <v>2559</v>
      </c>
      <c r="AC175" s="9">
        <v>260326210686920</v>
      </c>
      <c r="AD175" s="9" t="s">
        <v>3086</v>
      </c>
      <c r="AE175" s="9" t="s">
        <v>139</v>
      </c>
      <c r="AF175" s="12" t="s">
        <v>2662</v>
      </c>
      <c r="AG175" s="9" t="s">
        <v>2570</v>
      </c>
      <c r="AI175" s="9">
        <v>10</v>
      </c>
      <c r="AJ175" s="9" t="s">
        <v>2563</v>
      </c>
      <c r="AK175" s="9">
        <v>1900</v>
      </c>
      <c r="AO175" s="9">
        <v>2609986</v>
      </c>
      <c r="AP175" s="11">
        <v>46265</v>
      </c>
      <c r="AR175" s="9" t="s">
        <v>2685</v>
      </c>
      <c r="AS175" s="9" t="s">
        <v>2798</v>
      </c>
      <c r="AT175" s="9" t="s">
        <v>2566</v>
      </c>
      <c r="AU175" s="9" t="s">
        <v>124</v>
      </c>
      <c r="AV175" s="14">
        <v>46287</v>
      </c>
      <c r="AW175" s="9">
        <v>2609986</v>
      </c>
      <c r="AX175" s="9" t="s">
        <v>3085</v>
      </c>
      <c r="AY175" s="9">
        <v>1</v>
      </c>
      <c r="AZ175" s="9" t="s">
        <v>2799</v>
      </c>
      <c r="BA175" s="11">
        <v>46274</v>
      </c>
      <c r="BB175" s="9">
        <v>306</v>
      </c>
      <c r="BC175" s="9" t="s">
        <v>3084</v>
      </c>
      <c r="BD175" s="9">
        <v>387321</v>
      </c>
      <c r="BE175" s="11">
        <v>46265</v>
      </c>
      <c r="BF175" s="9">
        <v>1680</v>
      </c>
      <c r="BG175" s="9">
        <v>1</v>
      </c>
      <c r="BH175" s="9" t="s">
        <v>3083</v>
      </c>
    </row>
    <row r="176" spans="1:61" x14ac:dyDescent="0.25">
      <c r="A176" s="9">
        <v>947</v>
      </c>
      <c r="B176" s="9" t="s">
        <v>2644</v>
      </c>
      <c r="C176" s="9" t="s">
        <v>2645</v>
      </c>
      <c r="D176" s="9">
        <v>947</v>
      </c>
      <c r="E176" s="9">
        <v>1622</v>
      </c>
      <c r="F176" s="9">
        <v>2026</v>
      </c>
      <c r="G176" s="9">
        <v>9470016222026</v>
      </c>
      <c r="H176" s="9">
        <v>62071100</v>
      </c>
      <c r="I176" s="9">
        <v>2020</v>
      </c>
      <c r="J176" s="9" t="s">
        <v>2848</v>
      </c>
      <c r="K176" s="9">
        <v>1</v>
      </c>
      <c r="L176" s="9" t="s">
        <v>2558</v>
      </c>
      <c r="M176" s="9">
        <v>4</v>
      </c>
      <c r="N176" s="9" t="s">
        <v>3087</v>
      </c>
      <c r="O176" s="10">
        <v>1613.95</v>
      </c>
      <c r="P176" s="9">
        <v>0</v>
      </c>
      <c r="Q176" s="10">
        <v>1613.95</v>
      </c>
      <c r="R176" s="9">
        <v>0</v>
      </c>
      <c r="S176" s="9">
        <v>0</v>
      </c>
      <c r="T176" s="9">
        <v>0</v>
      </c>
      <c r="V176" s="10">
        <v>1613.95</v>
      </c>
      <c r="W176" s="10">
        <v>1600.39</v>
      </c>
      <c r="X176" s="11">
        <v>46265</v>
      </c>
      <c r="Y176" s="9" t="s">
        <v>2564</v>
      </c>
      <c r="Z176" s="11">
        <v>46274</v>
      </c>
      <c r="AA176" s="11">
        <v>46289</v>
      </c>
      <c r="AB176" s="9" t="s">
        <v>2559</v>
      </c>
      <c r="AC176" s="9">
        <v>260326210686920</v>
      </c>
      <c r="AD176" s="9" t="s">
        <v>3086</v>
      </c>
      <c r="AE176" s="9" t="s">
        <v>3095</v>
      </c>
      <c r="AF176" s="9" t="s">
        <v>2653</v>
      </c>
      <c r="AG176" s="9" t="s">
        <v>2570</v>
      </c>
      <c r="AH176" s="9" t="s">
        <v>2570</v>
      </c>
      <c r="AI176" s="9">
        <v>10</v>
      </c>
      <c r="AJ176" s="9" t="s">
        <v>2563</v>
      </c>
      <c r="AK176" s="9">
        <v>5200</v>
      </c>
      <c r="AM176" s="9">
        <v>585</v>
      </c>
      <c r="AN176" s="11">
        <v>46288</v>
      </c>
      <c r="AO176" s="9">
        <v>2609988</v>
      </c>
      <c r="AP176" s="11">
        <v>46265</v>
      </c>
      <c r="AS176" s="9" t="s">
        <v>2565</v>
      </c>
      <c r="AT176" s="9" t="s">
        <v>2566</v>
      </c>
      <c r="AU176" s="9" t="s">
        <v>262</v>
      </c>
      <c r="AV176" s="14">
        <v>46288</v>
      </c>
      <c r="AW176" s="9">
        <v>2609988</v>
      </c>
      <c r="AX176" s="9" t="s">
        <v>3094</v>
      </c>
      <c r="AY176" s="9">
        <v>6</v>
      </c>
      <c r="AZ176" s="9" t="s">
        <v>2801</v>
      </c>
      <c r="BA176" s="11">
        <v>46274</v>
      </c>
      <c r="BB176" s="9">
        <v>306</v>
      </c>
      <c r="BC176" s="9" t="s">
        <v>3084</v>
      </c>
      <c r="BD176" s="9">
        <v>401547</v>
      </c>
      <c r="BE176" s="11">
        <v>46268</v>
      </c>
      <c r="BF176" s="9">
        <v>1680</v>
      </c>
      <c r="BG176" s="9">
        <v>1</v>
      </c>
      <c r="BH176" s="9" t="s">
        <v>3083</v>
      </c>
      <c r="BI176" s="9">
        <v>1</v>
      </c>
    </row>
    <row r="177" spans="1:61" ht="180" x14ac:dyDescent="0.25">
      <c r="A177" s="9">
        <v>1880</v>
      </c>
      <c r="B177" s="9" t="s">
        <v>2916</v>
      </c>
      <c r="C177" s="9" t="s">
        <v>2557</v>
      </c>
      <c r="D177" s="9">
        <v>1880</v>
      </c>
      <c r="E177" s="9">
        <v>1726</v>
      </c>
      <c r="F177" s="9">
        <v>2026</v>
      </c>
      <c r="G177" s="9">
        <v>18800017262026</v>
      </c>
      <c r="H177" s="9">
        <v>62052000</v>
      </c>
      <c r="I177" s="9">
        <v>2016</v>
      </c>
      <c r="J177" s="9" t="s">
        <v>2851</v>
      </c>
      <c r="K177" s="9">
        <v>86</v>
      </c>
      <c r="L177" s="9" t="s">
        <v>2574</v>
      </c>
      <c r="M177" s="9">
        <v>4</v>
      </c>
      <c r="N177" s="9" t="s">
        <v>3087</v>
      </c>
      <c r="O177" s="10">
        <v>116815.41</v>
      </c>
      <c r="Q177" s="10">
        <v>116815.41</v>
      </c>
      <c r="R177" s="9">
        <v>0</v>
      </c>
      <c r="S177" s="9">
        <v>0</v>
      </c>
      <c r="T177" s="9">
        <v>0</v>
      </c>
      <c r="V177" s="10">
        <v>116815.41</v>
      </c>
      <c r="X177" s="11">
        <v>46266</v>
      </c>
      <c r="Y177" s="9" t="s">
        <v>2564</v>
      </c>
      <c r="Z177" s="11">
        <v>46274</v>
      </c>
      <c r="AB177" s="9" t="s">
        <v>2559</v>
      </c>
      <c r="AC177" s="9">
        <v>260326210686920</v>
      </c>
      <c r="AD177" s="9" t="s">
        <v>3086</v>
      </c>
      <c r="AE177" s="9" t="s">
        <v>181</v>
      </c>
      <c r="AF177" s="12" t="s">
        <v>2938</v>
      </c>
      <c r="AG177" s="9" t="s">
        <v>2570</v>
      </c>
      <c r="AI177" s="9">
        <v>10</v>
      </c>
      <c r="AJ177" s="9" t="s">
        <v>2563</v>
      </c>
      <c r="AK177" s="9">
        <v>21932</v>
      </c>
      <c r="AO177" s="9">
        <v>2609998</v>
      </c>
      <c r="AP177" s="11">
        <v>46266</v>
      </c>
      <c r="AT177" s="9" t="s">
        <v>2566</v>
      </c>
      <c r="AV177" s="14">
        <v>46284</v>
      </c>
      <c r="AX177" s="9" t="s">
        <v>3094</v>
      </c>
      <c r="AY177" s="9">
        <v>6</v>
      </c>
      <c r="AZ177" s="9" t="s">
        <v>2939</v>
      </c>
      <c r="BA177" s="11">
        <v>46274</v>
      </c>
      <c r="BB177" s="9">
        <v>306</v>
      </c>
      <c r="BC177" s="9" t="s">
        <v>3084</v>
      </c>
      <c r="BD177" s="9">
        <v>393289</v>
      </c>
      <c r="BE177" s="11">
        <v>46266</v>
      </c>
      <c r="BF177" s="9">
        <v>1680</v>
      </c>
      <c r="BG177" s="9">
        <v>1</v>
      </c>
      <c r="BH177" s="9" t="s">
        <v>3083</v>
      </c>
    </row>
    <row r="178" spans="1:61" x14ac:dyDescent="0.25">
      <c r="A178" s="9">
        <v>947</v>
      </c>
      <c r="B178" s="9" t="s">
        <v>2644</v>
      </c>
      <c r="C178" s="9" t="s">
        <v>2645</v>
      </c>
      <c r="D178" s="9">
        <v>947</v>
      </c>
      <c r="E178" s="9">
        <v>1517</v>
      </c>
      <c r="F178" s="9">
        <v>2026</v>
      </c>
      <c r="G178" s="9">
        <v>9470015172026</v>
      </c>
      <c r="H178" s="9">
        <v>62071100</v>
      </c>
      <c r="I178" s="9">
        <v>2000</v>
      </c>
      <c r="J178" s="9" t="s">
        <v>3092</v>
      </c>
      <c r="K178" s="9">
        <v>1</v>
      </c>
      <c r="L178" s="9" t="s">
        <v>2558</v>
      </c>
      <c r="M178" s="9">
        <v>4</v>
      </c>
      <c r="N178" s="9" t="s">
        <v>3087</v>
      </c>
      <c r="O178" s="10">
        <v>26644.5</v>
      </c>
      <c r="P178" s="9">
        <v>0</v>
      </c>
      <c r="Q178" s="10">
        <v>26644.5</v>
      </c>
      <c r="R178" s="9">
        <v>0</v>
      </c>
      <c r="S178" s="9">
        <v>0</v>
      </c>
      <c r="T178" s="9">
        <v>0</v>
      </c>
      <c r="V178" s="10">
        <v>26644.5</v>
      </c>
      <c r="W178" s="10">
        <v>26420.65</v>
      </c>
      <c r="X178" s="11">
        <v>46256</v>
      </c>
      <c r="Y178" s="9" t="s">
        <v>2564</v>
      </c>
      <c r="Z178" s="11">
        <v>46275</v>
      </c>
      <c r="AA178" s="11">
        <v>46289</v>
      </c>
      <c r="AB178" s="9" t="s">
        <v>2559</v>
      </c>
      <c r="AC178" s="9">
        <v>260326210686920</v>
      </c>
      <c r="AD178" s="9" t="s">
        <v>3086</v>
      </c>
      <c r="AE178" s="9" t="s">
        <v>3095</v>
      </c>
      <c r="AF178" s="9" t="s">
        <v>2653</v>
      </c>
      <c r="AG178" s="9" t="s">
        <v>2570</v>
      </c>
      <c r="AH178" s="9" t="s">
        <v>2570</v>
      </c>
      <c r="AI178" s="9">
        <v>10</v>
      </c>
      <c r="AJ178" s="9" t="s">
        <v>2563</v>
      </c>
      <c r="AK178" s="9">
        <v>90000</v>
      </c>
      <c r="AM178" s="9">
        <v>585</v>
      </c>
      <c r="AN178" s="11">
        <v>46288</v>
      </c>
      <c r="AO178" s="9">
        <v>2609626</v>
      </c>
      <c r="AP178" s="11">
        <v>46256</v>
      </c>
      <c r="AS178" s="9" t="s">
        <v>2565</v>
      </c>
      <c r="AT178" s="9" t="s">
        <v>2566</v>
      </c>
      <c r="AU178" s="9" t="s">
        <v>258</v>
      </c>
      <c r="AV178" s="14">
        <v>46288</v>
      </c>
      <c r="AW178" s="9">
        <v>2609626</v>
      </c>
      <c r="AX178" s="9" t="s">
        <v>3094</v>
      </c>
      <c r="AY178" s="9">
        <v>6</v>
      </c>
      <c r="AZ178" s="9" t="s">
        <v>2816</v>
      </c>
      <c r="BA178" s="11">
        <v>46275</v>
      </c>
      <c r="BB178" s="9">
        <v>306</v>
      </c>
      <c r="BC178" s="9" t="s">
        <v>3084</v>
      </c>
      <c r="BD178" s="9">
        <v>365852</v>
      </c>
      <c r="BE178" s="11">
        <v>46260</v>
      </c>
      <c r="BF178" s="9">
        <v>1680</v>
      </c>
      <c r="BG178" s="9">
        <v>1</v>
      </c>
      <c r="BH178" s="9" t="s">
        <v>3083</v>
      </c>
      <c r="BI178" s="9">
        <v>1</v>
      </c>
    </row>
    <row r="179" spans="1:61" x14ac:dyDescent="0.25">
      <c r="A179" s="9">
        <v>947</v>
      </c>
      <c r="B179" s="9" t="s">
        <v>2644</v>
      </c>
      <c r="C179" s="9" t="s">
        <v>2645</v>
      </c>
      <c r="D179" s="9">
        <v>947</v>
      </c>
      <c r="E179" s="9">
        <v>1553</v>
      </c>
      <c r="F179" s="9">
        <v>2026</v>
      </c>
      <c r="G179" s="9">
        <v>9470015532026</v>
      </c>
      <c r="H179" s="9">
        <v>62052000</v>
      </c>
      <c r="I179" s="9">
        <v>0</v>
      </c>
      <c r="J179" s="9" t="s">
        <v>3098</v>
      </c>
      <c r="K179" s="9">
        <v>1</v>
      </c>
      <c r="L179" s="9" t="s">
        <v>2558</v>
      </c>
      <c r="M179" s="9">
        <v>4</v>
      </c>
      <c r="N179" s="9" t="s">
        <v>3087</v>
      </c>
      <c r="O179" s="9">
        <v>584.46</v>
      </c>
      <c r="P179" s="9">
        <v>0</v>
      </c>
      <c r="Q179" s="9">
        <v>584.46</v>
      </c>
      <c r="R179" s="9">
        <v>0</v>
      </c>
      <c r="S179" s="9">
        <v>0</v>
      </c>
      <c r="T179" s="9">
        <v>0</v>
      </c>
      <c r="V179" s="9">
        <v>584.46</v>
      </c>
      <c r="W179" s="9">
        <v>579.54999999999995</v>
      </c>
      <c r="X179" s="11">
        <v>46259</v>
      </c>
      <c r="Y179" s="9" t="s">
        <v>2564</v>
      </c>
      <c r="Z179" s="11">
        <v>46276</v>
      </c>
      <c r="AA179" s="11">
        <v>46289</v>
      </c>
      <c r="AB179" s="9" t="s">
        <v>2559</v>
      </c>
      <c r="AC179" s="9">
        <v>260326210686920</v>
      </c>
      <c r="AD179" s="9" t="s">
        <v>3086</v>
      </c>
      <c r="AE179" s="9" t="s">
        <v>3095</v>
      </c>
      <c r="AF179" s="9" t="s">
        <v>2653</v>
      </c>
      <c r="AG179" s="9" t="s">
        <v>2570</v>
      </c>
      <c r="AH179" s="9" t="s">
        <v>2570</v>
      </c>
      <c r="AI179" s="9">
        <v>10</v>
      </c>
      <c r="AJ179" s="9" t="s">
        <v>2563</v>
      </c>
      <c r="AK179" s="9">
        <v>1200</v>
      </c>
      <c r="AM179" s="9">
        <v>585</v>
      </c>
      <c r="AN179" s="11">
        <v>46288</v>
      </c>
      <c r="AO179" s="9">
        <v>2609737</v>
      </c>
      <c r="AP179" s="11">
        <v>46258</v>
      </c>
      <c r="AS179" s="9" t="s">
        <v>2565</v>
      </c>
      <c r="AT179" s="9" t="s">
        <v>2566</v>
      </c>
      <c r="AU179" s="9" t="s">
        <v>1994</v>
      </c>
      <c r="AV179" s="14">
        <v>46288</v>
      </c>
      <c r="AW179" s="9">
        <v>2609737</v>
      </c>
      <c r="AX179" s="9" t="s">
        <v>3094</v>
      </c>
      <c r="AY179" s="9">
        <v>6</v>
      </c>
      <c r="AZ179" s="9" t="s">
        <v>2701</v>
      </c>
      <c r="BA179" s="11">
        <v>46276</v>
      </c>
      <c r="BB179" s="9">
        <v>306</v>
      </c>
      <c r="BC179" s="9" t="s">
        <v>3084</v>
      </c>
      <c r="BD179" s="9">
        <v>381036</v>
      </c>
      <c r="BE179" s="11">
        <v>46264</v>
      </c>
      <c r="BF179" s="9">
        <v>1680</v>
      </c>
      <c r="BG179" s="9">
        <v>1</v>
      </c>
      <c r="BH179" s="9" t="s">
        <v>3083</v>
      </c>
      <c r="BI179" s="9">
        <v>1</v>
      </c>
    </row>
    <row r="180" spans="1:61" ht="210" x14ac:dyDescent="0.25">
      <c r="A180" s="9">
        <v>947</v>
      </c>
      <c r="B180" s="9" t="s">
        <v>2644</v>
      </c>
      <c r="C180" s="9" t="s">
        <v>2645</v>
      </c>
      <c r="D180" s="9">
        <v>947</v>
      </c>
      <c r="E180" s="9">
        <v>1652</v>
      </c>
      <c r="F180" s="9">
        <v>2026</v>
      </c>
      <c r="G180" s="9">
        <v>9470016522026</v>
      </c>
      <c r="H180" s="9">
        <v>61083100</v>
      </c>
      <c r="I180" s="9">
        <v>2000</v>
      </c>
      <c r="J180" s="9" t="s">
        <v>3092</v>
      </c>
      <c r="K180" s="9">
        <v>1</v>
      </c>
      <c r="L180" s="9" t="s">
        <v>2558</v>
      </c>
      <c r="M180" s="9">
        <v>9</v>
      </c>
      <c r="N180" s="9" t="s">
        <v>3104</v>
      </c>
      <c r="O180" s="10">
        <v>8162.6</v>
      </c>
      <c r="P180" s="9">
        <v>0</v>
      </c>
      <c r="Q180" s="10">
        <v>8162.6</v>
      </c>
      <c r="R180" s="9">
        <v>2524.5700000000002</v>
      </c>
      <c r="S180" s="9">
        <v>0</v>
      </c>
      <c r="T180" s="9">
        <v>0</v>
      </c>
      <c r="V180" s="10">
        <v>8162.6</v>
      </c>
      <c r="X180" s="11">
        <v>46267</v>
      </c>
      <c r="Y180" s="9" t="s">
        <v>2564</v>
      </c>
      <c r="Z180" s="11">
        <v>46276</v>
      </c>
      <c r="AB180" s="9" t="s">
        <v>2559</v>
      </c>
      <c r="AC180" s="9">
        <v>260326210686920</v>
      </c>
      <c r="AD180" s="9" t="s">
        <v>3086</v>
      </c>
      <c r="AE180" s="9" t="s">
        <v>3103</v>
      </c>
      <c r="AF180" s="12" t="s">
        <v>2704</v>
      </c>
      <c r="AG180" s="9" t="s">
        <v>2570</v>
      </c>
      <c r="AI180" s="9">
        <v>10</v>
      </c>
      <c r="AJ180" s="9" t="s">
        <v>2563</v>
      </c>
      <c r="AK180" s="9">
        <v>2450</v>
      </c>
      <c r="AO180" s="9">
        <v>2610023</v>
      </c>
      <c r="AP180" s="11">
        <v>46267</v>
      </c>
      <c r="AR180" s="9" t="s">
        <v>2571</v>
      </c>
      <c r="AS180" s="9" t="s">
        <v>2565</v>
      </c>
      <c r="AT180" s="9" t="s">
        <v>2566</v>
      </c>
      <c r="AU180" s="9" t="s">
        <v>124</v>
      </c>
      <c r="AV180" s="14">
        <v>46286</v>
      </c>
      <c r="AW180" s="9">
        <v>2610023</v>
      </c>
      <c r="AX180" s="9" t="s">
        <v>3085</v>
      </c>
      <c r="AY180" s="9">
        <v>1</v>
      </c>
      <c r="AZ180" s="9" t="s">
        <v>2748</v>
      </c>
      <c r="BA180" s="11">
        <v>46276</v>
      </c>
      <c r="BB180" s="9">
        <v>306</v>
      </c>
      <c r="BC180" s="9" t="s">
        <v>3084</v>
      </c>
      <c r="BD180" s="9">
        <v>411358</v>
      </c>
      <c r="BE180" s="11">
        <v>46270</v>
      </c>
      <c r="BF180" s="9">
        <v>1680</v>
      </c>
      <c r="BG180" s="9">
        <v>1</v>
      </c>
      <c r="BH180" s="9" t="s">
        <v>3083</v>
      </c>
    </row>
    <row r="181" spans="1:61" x14ac:dyDescent="0.25">
      <c r="A181" s="9">
        <v>947</v>
      </c>
      <c r="B181" s="9" t="s">
        <v>2644</v>
      </c>
      <c r="C181" s="9" t="s">
        <v>2645</v>
      </c>
      <c r="D181" s="9">
        <v>947</v>
      </c>
      <c r="E181" s="9">
        <v>1686</v>
      </c>
      <c r="F181" s="9">
        <v>2026</v>
      </c>
      <c r="G181" s="9">
        <v>9470016862026</v>
      </c>
      <c r="H181" s="9">
        <v>62052000</v>
      </c>
      <c r="I181" s="9">
        <v>2016</v>
      </c>
      <c r="J181" s="9" t="s">
        <v>2851</v>
      </c>
      <c r="K181" s="9">
        <v>1</v>
      </c>
      <c r="L181" s="9" t="s">
        <v>2558</v>
      </c>
      <c r="M181" s="9">
        <v>4</v>
      </c>
      <c r="N181" s="9" t="s">
        <v>3087</v>
      </c>
      <c r="O181" s="10">
        <v>1245.17</v>
      </c>
      <c r="Q181" s="10">
        <v>1245.17</v>
      </c>
      <c r="R181" s="9">
        <v>0</v>
      </c>
      <c r="S181" s="9">
        <v>0</v>
      </c>
      <c r="T181" s="9">
        <v>0</v>
      </c>
      <c r="V181" s="10">
        <v>1245.17</v>
      </c>
      <c r="W181" s="10">
        <v>1219.71</v>
      </c>
      <c r="X181" s="11">
        <v>46273</v>
      </c>
      <c r="Y181" s="9" t="s">
        <v>2564</v>
      </c>
      <c r="Z181" s="11">
        <v>46276</v>
      </c>
      <c r="AA181" s="11">
        <v>46288</v>
      </c>
      <c r="AB181" s="9" t="s">
        <v>2559</v>
      </c>
      <c r="AC181" s="9">
        <v>260326210686920</v>
      </c>
      <c r="AD181" s="9" t="s">
        <v>3086</v>
      </c>
      <c r="AE181" s="9" t="s">
        <v>3102</v>
      </c>
      <c r="AF181" s="9" t="s">
        <v>2707</v>
      </c>
      <c r="AG181" s="9" t="s">
        <v>2570</v>
      </c>
      <c r="AH181" s="9" t="s">
        <v>2570</v>
      </c>
      <c r="AI181" s="9">
        <v>10</v>
      </c>
      <c r="AJ181" s="9" t="s">
        <v>2563</v>
      </c>
      <c r="AK181" s="9">
        <v>293</v>
      </c>
      <c r="AM181" s="9" t="s">
        <v>2888</v>
      </c>
      <c r="AN181" s="11">
        <v>46285</v>
      </c>
      <c r="AO181" s="9">
        <v>2610191</v>
      </c>
      <c r="AP181" s="11">
        <v>46273</v>
      </c>
      <c r="AT181" s="9" t="s">
        <v>2566</v>
      </c>
      <c r="AV181" s="14">
        <v>46281</v>
      </c>
      <c r="AX181" s="9" t="s">
        <v>3101</v>
      </c>
      <c r="AY181" s="9">
        <v>3</v>
      </c>
      <c r="AZ181" s="9" t="s">
        <v>2889</v>
      </c>
      <c r="BA181" s="11">
        <v>46274</v>
      </c>
      <c r="BB181" s="9">
        <v>101</v>
      </c>
      <c r="BC181" s="9" t="s">
        <v>3100</v>
      </c>
      <c r="BD181" s="9">
        <v>932899</v>
      </c>
      <c r="BE181" s="11">
        <v>46274</v>
      </c>
      <c r="BF181" s="9">
        <v>1680</v>
      </c>
      <c r="BG181" s="9">
        <v>8</v>
      </c>
      <c r="BH181" s="9" t="s">
        <v>3099</v>
      </c>
      <c r="BI181" s="9">
        <v>1</v>
      </c>
    </row>
    <row r="182" spans="1:61" x14ac:dyDescent="0.25">
      <c r="A182" s="9">
        <v>947</v>
      </c>
      <c r="B182" s="9" t="s">
        <v>2644</v>
      </c>
      <c r="C182" s="9" t="s">
        <v>2645</v>
      </c>
      <c r="D182" s="9">
        <v>947</v>
      </c>
      <c r="E182" s="9">
        <v>1642</v>
      </c>
      <c r="F182" s="9">
        <v>2026</v>
      </c>
      <c r="G182" s="9">
        <v>9470016422026</v>
      </c>
      <c r="H182" s="9">
        <v>62071100</v>
      </c>
      <c r="I182" s="9">
        <v>2020</v>
      </c>
      <c r="J182" s="9" t="s">
        <v>2848</v>
      </c>
      <c r="K182" s="9">
        <v>1</v>
      </c>
      <c r="L182" s="9" t="s">
        <v>2558</v>
      </c>
      <c r="M182" s="9">
        <v>4</v>
      </c>
      <c r="N182" s="9" t="s">
        <v>3087</v>
      </c>
      <c r="O182" s="10">
        <v>2675</v>
      </c>
      <c r="P182" s="9">
        <v>0</v>
      </c>
      <c r="Q182" s="10">
        <v>2675</v>
      </c>
      <c r="R182" s="9">
        <v>0</v>
      </c>
      <c r="S182" s="9">
        <v>0</v>
      </c>
      <c r="T182" s="9">
        <v>0</v>
      </c>
      <c r="V182" s="10">
        <v>2675</v>
      </c>
      <c r="W182" s="10">
        <v>2652.53</v>
      </c>
      <c r="X182" s="11">
        <v>46267</v>
      </c>
      <c r="Y182" s="9" t="s">
        <v>2564</v>
      </c>
      <c r="Z182" s="11">
        <v>46276</v>
      </c>
      <c r="AA182" s="11">
        <v>46289</v>
      </c>
      <c r="AB182" s="9" t="s">
        <v>2559</v>
      </c>
      <c r="AC182" s="9">
        <v>260326210686920</v>
      </c>
      <c r="AD182" s="9" t="s">
        <v>3086</v>
      </c>
      <c r="AE182" s="9" t="s">
        <v>3095</v>
      </c>
      <c r="AF182" s="9" t="s">
        <v>2653</v>
      </c>
      <c r="AG182" s="9" t="s">
        <v>2570</v>
      </c>
      <c r="AH182" s="9" t="s">
        <v>2570</v>
      </c>
      <c r="AI182" s="9">
        <v>10</v>
      </c>
      <c r="AJ182" s="9" t="s">
        <v>2563</v>
      </c>
      <c r="AK182" s="9">
        <v>3450</v>
      </c>
      <c r="AM182" s="9">
        <v>585</v>
      </c>
      <c r="AN182" s="11">
        <v>46288</v>
      </c>
      <c r="AO182" s="9">
        <v>2610012</v>
      </c>
      <c r="AP182" s="11">
        <v>46267</v>
      </c>
      <c r="AR182" s="9" t="s">
        <v>2577</v>
      </c>
      <c r="AS182" s="9" t="s">
        <v>2565</v>
      </c>
      <c r="AT182" s="9" t="s">
        <v>2566</v>
      </c>
      <c r="AU182" s="9" t="s">
        <v>252</v>
      </c>
      <c r="AV182" s="14">
        <v>46288</v>
      </c>
      <c r="AW182" s="9">
        <v>2610012</v>
      </c>
      <c r="AX182" s="9" t="s">
        <v>3094</v>
      </c>
      <c r="AY182" s="9">
        <v>6</v>
      </c>
      <c r="AZ182" s="9" t="s">
        <v>2892</v>
      </c>
      <c r="BA182" s="11">
        <v>46276</v>
      </c>
      <c r="BB182" s="9">
        <v>306</v>
      </c>
      <c r="BC182" s="9" t="s">
        <v>3084</v>
      </c>
      <c r="BD182" s="9">
        <v>416631</v>
      </c>
      <c r="BE182" s="11">
        <v>46272</v>
      </c>
      <c r="BF182" s="9">
        <v>1680</v>
      </c>
      <c r="BG182" s="9">
        <v>1</v>
      </c>
      <c r="BH182" s="9" t="s">
        <v>3083</v>
      </c>
      <c r="BI182" s="9">
        <v>1</v>
      </c>
    </row>
    <row r="183" spans="1:61" x14ac:dyDescent="0.25">
      <c r="A183" s="9">
        <v>947</v>
      </c>
      <c r="B183" s="9" t="s">
        <v>2644</v>
      </c>
      <c r="C183" s="9" t="s">
        <v>2645</v>
      </c>
      <c r="D183" s="9">
        <v>947</v>
      </c>
      <c r="E183" s="9">
        <v>1643</v>
      </c>
      <c r="F183" s="9">
        <v>2026</v>
      </c>
      <c r="G183" s="9">
        <v>9470016432026</v>
      </c>
      <c r="H183" s="9">
        <v>62071100</v>
      </c>
      <c r="I183" s="9">
        <v>2000</v>
      </c>
      <c r="J183" s="9" t="s">
        <v>3092</v>
      </c>
      <c r="K183" s="9">
        <v>1</v>
      </c>
      <c r="L183" s="9" t="s">
        <v>2558</v>
      </c>
      <c r="M183" s="9">
        <v>4</v>
      </c>
      <c r="N183" s="9" t="s">
        <v>3087</v>
      </c>
      <c r="O183" s="10">
        <v>19826.09</v>
      </c>
      <c r="P183" s="9">
        <v>0</v>
      </c>
      <c r="Q183" s="10">
        <v>19826.09</v>
      </c>
      <c r="R183" s="9">
        <v>0</v>
      </c>
      <c r="S183" s="9">
        <v>0</v>
      </c>
      <c r="T183" s="9">
        <v>0</v>
      </c>
      <c r="V183" s="10">
        <v>19826.09</v>
      </c>
      <c r="W183" s="10">
        <v>19659.52</v>
      </c>
      <c r="X183" s="11">
        <v>46267</v>
      </c>
      <c r="Y183" s="9" t="s">
        <v>2564</v>
      </c>
      <c r="Z183" s="11">
        <v>46276</v>
      </c>
      <c r="AA183" s="11">
        <v>46289</v>
      </c>
      <c r="AB183" s="9" t="s">
        <v>2559</v>
      </c>
      <c r="AC183" s="9">
        <v>260326210686920</v>
      </c>
      <c r="AD183" s="9" t="s">
        <v>3086</v>
      </c>
      <c r="AE183" s="9" t="s">
        <v>3095</v>
      </c>
      <c r="AF183" s="9" t="s">
        <v>2653</v>
      </c>
      <c r="AG183" s="9" t="s">
        <v>2570</v>
      </c>
      <c r="AH183" s="9" t="s">
        <v>2570</v>
      </c>
      <c r="AI183" s="9">
        <v>10</v>
      </c>
      <c r="AJ183" s="9" t="s">
        <v>2563</v>
      </c>
      <c r="AK183" s="9">
        <v>26730</v>
      </c>
      <c r="AM183" s="9">
        <v>585</v>
      </c>
      <c r="AN183" s="11">
        <v>46288</v>
      </c>
      <c r="AO183" s="9">
        <v>2610013</v>
      </c>
      <c r="AP183" s="11">
        <v>46267</v>
      </c>
      <c r="AR183" s="9" t="s">
        <v>2577</v>
      </c>
      <c r="AS183" s="9" t="s">
        <v>2565</v>
      </c>
      <c r="AT183" s="9" t="s">
        <v>2566</v>
      </c>
      <c r="AU183" s="9" t="s">
        <v>258</v>
      </c>
      <c r="AV183" s="14">
        <v>46288</v>
      </c>
      <c r="AW183" s="9">
        <v>2610013</v>
      </c>
      <c r="AX183" s="9" t="s">
        <v>3094</v>
      </c>
      <c r="AY183" s="9">
        <v>6</v>
      </c>
      <c r="AZ183" s="9" t="s">
        <v>2893</v>
      </c>
      <c r="BA183" s="11">
        <v>46276</v>
      </c>
      <c r="BB183" s="9">
        <v>306</v>
      </c>
      <c r="BC183" s="9" t="s">
        <v>3084</v>
      </c>
      <c r="BD183" s="9">
        <v>416614</v>
      </c>
      <c r="BE183" s="11">
        <v>46272</v>
      </c>
      <c r="BF183" s="9">
        <v>1680</v>
      </c>
      <c r="BG183" s="9">
        <v>1</v>
      </c>
      <c r="BH183" s="9" t="s">
        <v>3083</v>
      </c>
      <c r="BI183" s="9">
        <v>1</v>
      </c>
    </row>
    <row r="184" spans="1:61" x14ac:dyDescent="0.25">
      <c r="A184" s="9">
        <v>947</v>
      </c>
      <c r="B184" s="9" t="s">
        <v>2644</v>
      </c>
      <c r="C184" s="9" t="s">
        <v>2645</v>
      </c>
      <c r="D184" s="9">
        <v>947</v>
      </c>
      <c r="E184" s="9">
        <v>1646</v>
      </c>
      <c r="F184" s="9">
        <v>2026</v>
      </c>
      <c r="G184" s="9">
        <v>9470016462026</v>
      </c>
      <c r="H184" s="9">
        <v>62071100</v>
      </c>
      <c r="I184" s="9">
        <v>0</v>
      </c>
      <c r="J184" s="9" t="s">
        <v>3098</v>
      </c>
      <c r="K184" s="9">
        <v>1</v>
      </c>
      <c r="L184" s="9" t="s">
        <v>2558</v>
      </c>
      <c r="M184" s="9">
        <v>4</v>
      </c>
      <c r="N184" s="9" t="s">
        <v>3087</v>
      </c>
      <c r="O184" s="10">
        <v>1134.83</v>
      </c>
      <c r="P184" s="9">
        <v>0</v>
      </c>
      <c r="Q184" s="10">
        <v>1134.83</v>
      </c>
      <c r="R184" s="9">
        <v>0</v>
      </c>
      <c r="S184" s="9">
        <v>0</v>
      </c>
      <c r="T184" s="9">
        <v>0</v>
      </c>
      <c r="V184" s="10">
        <v>1134.83</v>
      </c>
      <c r="W184" s="10">
        <v>1125.3</v>
      </c>
      <c r="X184" s="11">
        <v>46267</v>
      </c>
      <c r="Y184" s="9" t="s">
        <v>2564</v>
      </c>
      <c r="Z184" s="11">
        <v>46276</v>
      </c>
      <c r="AA184" s="11">
        <v>46289</v>
      </c>
      <c r="AB184" s="9" t="s">
        <v>2559</v>
      </c>
      <c r="AC184" s="9">
        <v>260326210686920</v>
      </c>
      <c r="AD184" s="9" t="s">
        <v>3086</v>
      </c>
      <c r="AE184" s="9" t="s">
        <v>3095</v>
      </c>
      <c r="AF184" s="9" t="s">
        <v>2653</v>
      </c>
      <c r="AG184" s="9" t="s">
        <v>2570</v>
      </c>
      <c r="AH184" s="9" t="s">
        <v>2570</v>
      </c>
      <c r="AI184" s="9">
        <v>10</v>
      </c>
      <c r="AJ184" s="9" t="s">
        <v>2563</v>
      </c>
      <c r="AK184" s="9">
        <v>1530</v>
      </c>
      <c r="AM184" s="9">
        <v>585</v>
      </c>
      <c r="AN184" s="11">
        <v>46288</v>
      </c>
      <c r="AO184" s="9">
        <v>2610016</v>
      </c>
      <c r="AP184" s="11">
        <v>46267</v>
      </c>
      <c r="AS184" s="9" t="s">
        <v>2565</v>
      </c>
      <c r="AT184" s="9" t="s">
        <v>2566</v>
      </c>
      <c r="AU184" s="9" t="s">
        <v>269</v>
      </c>
      <c r="AV184" s="14">
        <v>46288</v>
      </c>
      <c r="AW184" s="9">
        <v>2610016</v>
      </c>
      <c r="AX184" s="9" t="s">
        <v>3094</v>
      </c>
      <c r="AY184" s="9">
        <v>6</v>
      </c>
      <c r="AZ184" s="9" t="s">
        <v>2895</v>
      </c>
      <c r="BA184" s="11">
        <v>46276</v>
      </c>
      <c r="BB184" s="9">
        <v>306</v>
      </c>
      <c r="BC184" s="9" t="s">
        <v>3084</v>
      </c>
      <c r="BD184" s="9">
        <v>417278</v>
      </c>
      <c r="BE184" s="11">
        <v>46272</v>
      </c>
      <c r="BF184" s="9">
        <v>1680</v>
      </c>
      <c r="BG184" s="9">
        <v>1</v>
      </c>
      <c r="BH184" s="9" t="s">
        <v>3083</v>
      </c>
      <c r="BI184" s="9">
        <v>1</v>
      </c>
    </row>
    <row r="185" spans="1:61" ht="360" x14ac:dyDescent="0.25">
      <c r="A185" s="9">
        <v>1949</v>
      </c>
      <c r="B185" s="9" t="s">
        <v>2556</v>
      </c>
      <c r="C185" s="9" t="s">
        <v>2557</v>
      </c>
      <c r="D185" s="9">
        <v>1949</v>
      </c>
      <c r="E185" s="9">
        <v>1902</v>
      </c>
      <c r="F185" s="9">
        <v>2026</v>
      </c>
      <c r="G185" s="9">
        <v>19490019022026</v>
      </c>
      <c r="H185" s="9">
        <v>62052000</v>
      </c>
      <c r="I185" s="9">
        <v>110</v>
      </c>
      <c r="J185" s="9" t="s">
        <v>3096</v>
      </c>
      <c r="K185" s="9">
        <v>86</v>
      </c>
      <c r="L185" s="9" t="s">
        <v>2574</v>
      </c>
      <c r="M185" s="9">
        <v>4</v>
      </c>
      <c r="N185" s="9" t="s">
        <v>3087</v>
      </c>
      <c r="O185" s="9">
        <v>441.88</v>
      </c>
      <c r="P185" s="9">
        <v>0</v>
      </c>
      <c r="Q185" s="9">
        <v>441.88</v>
      </c>
      <c r="R185" s="9">
        <v>0</v>
      </c>
      <c r="S185" s="9">
        <v>0</v>
      </c>
      <c r="T185" s="9">
        <v>0</v>
      </c>
      <c r="V185" s="9">
        <v>441.88</v>
      </c>
      <c r="X185" s="11">
        <v>46273</v>
      </c>
      <c r="Y185" s="9" t="s">
        <v>2564</v>
      </c>
      <c r="Z185" s="11">
        <v>46277</v>
      </c>
      <c r="AB185" s="9" t="s">
        <v>2559</v>
      </c>
      <c r="AC185" s="9">
        <v>260326210686920</v>
      </c>
      <c r="AD185" s="9" t="s">
        <v>3086</v>
      </c>
      <c r="AE185" s="9" t="s">
        <v>806</v>
      </c>
      <c r="AF185" s="12" t="s">
        <v>2576</v>
      </c>
      <c r="AG185" s="9" t="s">
        <v>2570</v>
      </c>
      <c r="AI185" s="9">
        <v>10</v>
      </c>
      <c r="AJ185" s="9" t="s">
        <v>2563</v>
      </c>
      <c r="AK185" s="9">
        <v>54</v>
      </c>
      <c r="AO185" s="9">
        <v>2610190</v>
      </c>
      <c r="AP185" s="11">
        <v>46273</v>
      </c>
      <c r="AR185" s="9" t="s">
        <v>2577</v>
      </c>
      <c r="AS185" s="9" t="s">
        <v>2565</v>
      </c>
      <c r="AT185" s="9" t="s">
        <v>2566</v>
      </c>
      <c r="AU185" s="9" t="s">
        <v>190</v>
      </c>
      <c r="AV185" s="14">
        <v>46291</v>
      </c>
      <c r="AW185" s="9">
        <v>2610190</v>
      </c>
      <c r="AX185" s="9" t="s">
        <v>3094</v>
      </c>
      <c r="AY185" s="9">
        <v>6</v>
      </c>
      <c r="AZ185" s="9" t="s">
        <v>2590</v>
      </c>
      <c r="BA185" s="11">
        <v>46277</v>
      </c>
      <c r="BB185" s="9">
        <v>306</v>
      </c>
      <c r="BC185" s="9" t="s">
        <v>3084</v>
      </c>
      <c r="BD185" s="9">
        <v>426174</v>
      </c>
      <c r="BE185" s="11">
        <v>46273</v>
      </c>
      <c r="BF185" s="9">
        <v>1680</v>
      </c>
      <c r="BG185" s="9">
        <v>1</v>
      </c>
      <c r="BH185" s="9" t="s">
        <v>3083</v>
      </c>
    </row>
    <row r="186" spans="1:61" x14ac:dyDescent="0.25">
      <c r="A186" s="9">
        <v>1949</v>
      </c>
      <c r="B186" s="9" t="s">
        <v>2556</v>
      </c>
      <c r="C186" s="9" t="s">
        <v>2557</v>
      </c>
      <c r="D186" s="9">
        <v>1949</v>
      </c>
      <c r="E186" s="9">
        <v>1739</v>
      </c>
      <c r="F186" s="9">
        <v>2026</v>
      </c>
      <c r="G186" s="9">
        <v>19490017392026</v>
      </c>
      <c r="H186" s="9">
        <v>62052000</v>
      </c>
      <c r="I186" s="9">
        <v>2016</v>
      </c>
      <c r="J186" s="9" t="s">
        <v>2851</v>
      </c>
      <c r="K186" s="9">
        <v>1</v>
      </c>
      <c r="L186" s="9" t="s">
        <v>2558</v>
      </c>
      <c r="M186" s="9">
        <v>4</v>
      </c>
      <c r="N186" s="9" t="s">
        <v>3087</v>
      </c>
      <c r="O186" s="10">
        <v>162838.78</v>
      </c>
      <c r="P186" s="9">
        <v>0</v>
      </c>
      <c r="Q186" s="10">
        <v>162838.78</v>
      </c>
      <c r="R186" s="9">
        <v>0</v>
      </c>
      <c r="S186" s="9">
        <v>0</v>
      </c>
      <c r="T186" s="9">
        <v>0</v>
      </c>
      <c r="V186" s="10">
        <v>162838.78</v>
      </c>
      <c r="X186" s="11">
        <v>46238</v>
      </c>
      <c r="Y186" s="9" t="s">
        <v>2564</v>
      </c>
      <c r="Z186" s="11">
        <v>46277</v>
      </c>
      <c r="AB186" s="9" t="s">
        <v>2559</v>
      </c>
      <c r="AC186" s="9">
        <v>260326210686920</v>
      </c>
      <c r="AD186" s="9" t="s">
        <v>3086</v>
      </c>
      <c r="AE186" s="9" t="s">
        <v>3097</v>
      </c>
      <c r="AF186" s="9" t="s">
        <v>2569</v>
      </c>
      <c r="AG186" s="9" t="s">
        <v>2570</v>
      </c>
      <c r="AI186" s="9">
        <v>10</v>
      </c>
      <c r="AJ186" s="9" t="s">
        <v>2563</v>
      </c>
      <c r="AK186" s="9">
        <v>42796</v>
      </c>
      <c r="AO186" s="9">
        <v>2609027</v>
      </c>
      <c r="AP186" s="11">
        <v>46269</v>
      </c>
      <c r="AR186" s="9" t="s">
        <v>2592</v>
      </c>
      <c r="AS186" s="9" t="s">
        <v>2565</v>
      </c>
      <c r="AT186" s="9" t="s">
        <v>2566</v>
      </c>
      <c r="AU186" s="9" t="s">
        <v>183</v>
      </c>
      <c r="AV186" s="14">
        <v>46295</v>
      </c>
      <c r="AW186" s="9">
        <v>2609027</v>
      </c>
      <c r="AX186" s="9" t="s">
        <v>3085</v>
      </c>
      <c r="AY186" s="9">
        <v>1</v>
      </c>
      <c r="AZ186" s="9" t="s">
        <v>2593</v>
      </c>
      <c r="BA186" s="11">
        <v>46277</v>
      </c>
      <c r="BB186" s="9">
        <v>306</v>
      </c>
      <c r="BC186" s="9" t="s">
        <v>3084</v>
      </c>
      <c r="BD186" s="9">
        <v>270279</v>
      </c>
      <c r="BE186" s="11">
        <v>46240</v>
      </c>
      <c r="BF186" s="9">
        <v>1680</v>
      </c>
      <c r="BG186" s="9">
        <v>1</v>
      </c>
      <c r="BH186" s="9" t="s">
        <v>3083</v>
      </c>
    </row>
    <row r="187" spans="1:61" ht="390" x14ac:dyDescent="0.25">
      <c r="A187" s="9">
        <v>1880</v>
      </c>
      <c r="B187" s="9" t="s">
        <v>2916</v>
      </c>
      <c r="C187" s="9" t="s">
        <v>2557</v>
      </c>
      <c r="D187" s="9">
        <v>1880</v>
      </c>
      <c r="E187" s="9">
        <v>1783</v>
      </c>
      <c r="F187" s="9">
        <v>2026</v>
      </c>
      <c r="G187" s="9">
        <v>18800017832026</v>
      </c>
      <c r="H187" s="9">
        <v>62052000</v>
      </c>
      <c r="I187" s="9">
        <v>110</v>
      </c>
      <c r="J187" s="9" t="s">
        <v>3096</v>
      </c>
      <c r="K187" s="9">
        <v>86</v>
      </c>
      <c r="L187" s="9" t="s">
        <v>2574</v>
      </c>
      <c r="M187" s="9">
        <v>4</v>
      </c>
      <c r="N187" s="9" t="s">
        <v>3087</v>
      </c>
      <c r="O187" s="10">
        <v>3175.2</v>
      </c>
      <c r="Q187" s="10">
        <v>3175.2</v>
      </c>
      <c r="R187" s="9">
        <v>0</v>
      </c>
      <c r="S187" s="9">
        <v>0</v>
      </c>
      <c r="T187" s="9">
        <v>0</v>
      </c>
      <c r="V187" s="10">
        <v>3175.2</v>
      </c>
      <c r="X187" s="11">
        <v>46273</v>
      </c>
      <c r="Y187" s="9" t="s">
        <v>2564</v>
      </c>
      <c r="Z187" s="11">
        <v>46277</v>
      </c>
      <c r="AB187" s="9" t="s">
        <v>2559</v>
      </c>
      <c r="AC187" s="9">
        <v>260326210686920</v>
      </c>
      <c r="AD187" s="9" t="s">
        <v>3086</v>
      </c>
      <c r="AE187" s="9" t="s">
        <v>181</v>
      </c>
      <c r="AF187" s="12" t="s">
        <v>2933</v>
      </c>
      <c r="AG187" s="9" t="s">
        <v>2570</v>
      </c>
      <c r="AI187" s="9">
        <v>10</v>
      </c>
      <c r="AJ187" s="9" t="s">
        <v>2563</v>
      </c>
      <c r="AK187" s="9">
        <v>540</v>
      </c>
      <c r="AO187" s="9">
        <v>2609999</v>
      </c>
      <c r="AP187" s="11">
        <v>46266</v>
      </c>
      <c r="AT187" s="9" t="s">
        <v>2566</v>
      </c>
      <c r="AV187" s="14">
        <v>46291</v>
      </c>
      <c r="AX187" s="9" t="s">
        <v>3094</v>
      </c>
      <c r="AY187" s="9">
        <v>6</v>
      </c>
      <c r="AZ187" s="9" t="s">
        <v>2934</v>
      </c>
      <c r="BA187" s="11">
        <v>46277</v>
      </c>
      <c r="BB187" s="9">
        <v>306</v>
      </c>
      <c r="BC187" s="9" t="s">
        <v>3084</v>
      </c>
      <c r="BD187" s="9">
        <v>425755</v>
      </c>
      <c r="BE187" s="11">
        <v>46273</v>
      </c>
      <c r="BF187" s="9">
        <v>1680</v>
      </c>
      <c r="BG187" s="9">
        <v>1</v>
      </c>
      <c r="BH187" s="9" t="s">
        <v>3083</v>
      </c>
    </row>
    <row r="188" spans="1:61" x14ac:dyDescent="0.25">
      <c r="A188" s="9">
        <v>947</v>
      </c>
      <c r="B188" s="9" t="s">
        <v>2644</v>
      </c>
      <c r="C188" s="9" t="s">
        <v>2645</v>
      </c>
      <c r="D188" s="9">
        <v>947</v>
      </c>
      <c r="E188" s="9">
        <v>1667</v>
      </c>
      <c r="F188" s="9">
        <v>2026</v>
      </c>
      <c r="G188" s="9">
        <v>9470016672026</v>
      </c>
      <c r="H188" s="9">
        <v>62071100</v>
      </c>
      <c r="I188" s="9">
        <v>2020</v>
      </c>
      <c r="J188" s="9" t="s">
        <v>2848</v>
      </c>
      <c r="K188" s="9">
        <v>1</v>
      </c>
      <c r="L188" s="9" t="s">
        <v>2558</v>
      </c>
      <c r="M188" s="9">
        <v>4</v>
      </c>
      <c r="N188" s="9" t="s">
        <v>3087</v>
      </c>
      <c r="O188" s="10">
        <v>24352.5</v>
      </c>
      <c r="Q188" s="10">
        <v>24352.5</v>
      </c>
      <c r="R188" s="9">
        <v>0</v>
      </c>
      <c r="S188" s="9">
        <v>0</v>
      </c>
      <c r="T188" s="9">
        <v>0</v>
      </c>
      <c r="V188" s="10">
        <v>24352.5</v>
      </c>
      <c r="W188" s="10">
        <v>24147.9</v>
      </c>
      <c r="X188" s="11">
        <v>46270</v>
      </c>
      <c r="Y188" s="9" t="s">
        <v>2564</v>
      </c>
      <c r="Z188" s="11">
        <v>46279</v>
      </c>
      <c r="AA188" s="11">
        <v>46289</v>
      </c>
      <c r="AB188" s="9" t="s">
        <v>2559</v>
      </c>
      <c r="AC188" s="9">
        <v>260326210686920</v>
      </c>
      <c r="AD188" s="9" t="s">
        <v>3086</v>
      </c>
      <c r="AE188" s="9" t="s">
        <v>3095</v>
      </c>
      <c r="AF188" s="9" t="s">
        <v>2653</v>
      </c>
      <c r="AG188" s="9" t="s">
        <v>2570</v>
      </c>
      <c r="AH188" s="9" t="s">
        <v>2570</v>
      </c>
      <c r="AI188" s="9">
        <v>10</v>
      </c>
      <c r="AJ188" s="9" t="s">
        <v>2563</v>
      </c>
      <c r="AK188" s="9">
        <v>50000</v>
      </c>
      <c r="AM188" s="9">
        <v>585</v>
      </c>
      <c r="AN188" s="11">
        <v>46288</v>
      </c>
      <c r="AO188" s="9">
        <v>2610111</v>
      </c>
      <c r="AP188" s="11">
        <v>46270</v>
      </c>
      <c r="AT188" s="9" t="s">
        <v>2566</v>
      </c>
      <c r="AV188" s="14">
        <v>46288</v>
      </c>
      <c r="AX188" s="9" t="s">
        <v>3094</v>
      </c>
      <c r="AY188" s="9">
        <v>6</v>
      </c>
      <c r="AZ188" s="9" t="s">
        <v>2754</v>
      </c>
      <c r="BA188" s="11">
        <v>46279</v>
      </c>
      <c r="BB188" s="9">
        <v>306</v>
      </c>
      <c r="BC188" s="9" t="s">
        <v>3084</v>
      </c>
      <c r="BD188" s="9">
        <v>427160</v>
      </c>
      <c r="BE188" s="11">
        <v>46274</v>
      </c>
      <c r="BF188" s="9">
        <v>1680</v>
      </c>
      <c r="BG188" s="9">
        <v>1</v>
      </c>
      <c r="BH188" s="9" t="s">
        <v>3083</v>
      </c>
      <c r="BI188" s="9">
        <v>1</v>
      </c>
    </row>
    <row r="189" spans="1:61" x14ac:dyDescent="0.25">
      <c r="A189" s="9">
        <v>947</v>
      </c>
      <c r="B189" s="9" t="s">
        <v>2644</v>
      </c>
      <c r="C189" s="9" t="s">
        <v>2645</v>
      </c>
      <c r="D189" s="9">
        <v>947</v>
      </c>
      <c r="E189" s="9">
        <v>1624</v>
      </c>
      <c r="F189" s="9">
        <v>2026</v>
      </c>
      <c r="G189" s="9">
        <v>9470016242026</v>
      </c>
      <c r="H189" s="9">
        <v>62071100</v>
      </c>
      <c r="I189" s="9">
        <v>2020</v>
      </c>
      <c r="J189" s="9" t="s">
        <v>2848</v>
      </c>
      <c r="K189" s="9">
        <v>1</v>
      </c>
      <c r="L189" s="9" t="s">
        <v>2558</v>
      </c>
      <c r="M189" s="9">
        <v>4</v>
      </c>
      <c r="N189" s="9" t="s">
        <v>3087</v>
      </c>
      <c r="O189" s="10">
        <v>3135.17</v>
      </c>
      <c r="P189" s="9">
        <v>0</v>
      </c>
      <c r="Q189" s="10">
        <v>3135.17</v>
      </c>
      <c r="R189" s="9">
        <v>0</v>
      </c>
      <c r="S189" s="9">
        <v>0</v>
      </c>
      <c r="T189" s="9">
        <v>0</v>
      </c>
      <c r="V189" s="10">
        <v>3135.17</v>
      </c>
      <c r="W189" s="10">
        <v>3108.83</v>
      </c>
      <c r="X189" s="11">
        <v>46265</v>
      </c>
      <c r="Y189" s="9" t="s">
        <v>2564</v>
      </c>
      <c r="Z189" s="11">
        <v>46280</v>
      </c>
      <c r="AA189" s="11">
        <v>46289</v>
      </c>
      <c r="AB189" s="9" t="s">
        <v>2559</v>
      </c>
      <c r="AC189" s="9">
        <v>260326210686920</v>
      </c>
      <c r="AD189" s="9" t="s">
        <v>3086</v>
      </c>
      <c r="AE189" s="9" t="s">
        <v>3095</v>
      </c>
      <c r="AF189" s="9" t="s">
        <v>2653</v>
      </c>
      <c r="AG189" s="9" t="s">
        <v>2570</v>
      </c>
      <c r="AH189" s="9" t="s">
        <v>2570</v>
      </c>
      <c r="AI189" s="9">
        <v>10</v>
      </c>
      <c r="AJ189" s="9" t="s">
        <v>2563</v>
      </c>
      <c r="AK189" s="9">
        <v>5390</v>
      </c>
      <c r="AM189" s="9">
        <v>585</v>
      </c>
      <c r="AN189" s="11">
        <v>46288</v>
      </c>
      <c r="AO189" s="9">
        <v>2609990</v>
      </c>
      <c r="AP189" s="11">
        <v>46265</v>
      </c>
      <c r="AS189" s="9" t="s">
        <v>2565</v>
      </c>
      <c r="AT189" s="9" t="s">
        <v>2566</v>
      </c>
      <c r="AU189" s="9" t="s">
        <v>262</v>
      </c>
      <c r="AV189" s="14">
        <v>46288</v>
      </c>
      <c r="AW189" s="9">
        <v>2609990</v>
      </c>
      <c r="AX189" s="9" t="s">
        <v>3094</v>
      </c>
      <c r="AY189" s="9">
        <v>6</v>
      </c>
      <c r="AZ189" s="9" t="s">
        <v>2804</v>
      </c>
      <c r="BA189" s="11">
        <v>46280</v>
      </c>
      <c r="BB189" s="9">
        <v>306</v>
      </c>
      <c r="BC189" s="9" t="s">
        <v>3084</v>
      </c>
      <c r="BD189" s="9">
        <v>401573</v>
      </c>
      <c r="BE189" s="11">
        <v>46268</v>
      </c>
      <c r="BF189" s="9">
        <v>1680</v>
      </c>
      <c r="BG189" s="9">
        <v>1</v>
      </c>
      <c r="BH189" s="9" t="s">
        <v>3083</v>
      </c>
      <c r="BI189" s="9">
        <v>1</v>
      </c>
    </row>
    <row r="190" spans="1:61" x14ac:dyDescent="0.25">
      <c r="A190" s="9">
        <v>947</v>
      </c>
      <c r="B190" s="9" t="s">
        <v>2644</v>
      </c>
      <c r="C190" s="9" t="s">
        <v>2645</v>
      </c>
      <c r="D190" s="9">
        <v>947</v>
      </c>
      <c r="E190" s="9">
        <v>1668</v>
      </c>
      <c r="F190" s="9">
        <v>2026</v>
      </c>
      <c r="G190" s="9">
        <v>9470016682026</v>
      </c>
      <c r="H190" s="9">
        <v>62071100</v>
      </c>
      <c r="I190" s="9">
        <v>2000</v>
      </c>
      <c r="J190" s="9" t="s">
        <v>3092</v>
      </c>
      <c r="K190" s="9">
        <v>1</v>
      </c>
      <c r="L190" s="9" t="s">
        <v>2558</v>
      </c>
      <c r="M190" s="9">
        <v>4</v>
      </c>
      <c r="N190" s="9" t="s">
        <v>3087</v>
      </c>
      <c r="O190" s="10">
        <v>36528.75</v>
      </c>
      <c r="Q190" s="10">
        <v>36528.75</v>
      </c>
      <c r="R190" s="9">
        <v>0</v>
      </c>
      <c r="S190" s="9">
        <v>0</v>
      </c>
      <c r="T190" s="9">
        <v>0</v>
      </c>
      <c r="V190" s="10">
        <v>36528.75</v>
      </c>
      <c r="W190" s="10">
        <v>36221.86</v>
      </c>
      <c r="X190" s="11">
        <v>46270</v>
      </c>
      <c r="Y190" s="9" t="s">
        <v>2564</v>
      </c>
      <c r="Z190" s="11">
        <v>46280</v>
      </c>
      <c r="AA190" s="11">
        <v>46289</v>
      </c>
      <c r="AB190" s="9" t="s">
        <v>2559</v>
      </c>
      <c r="AC190" s="9">
        <v>260326210686920</v>
      </c>
      <c r="AD190" s="9" t="s">
        <v>3086</v>
      </c>
      <c r="AE190" s="9" t="s">
        <v>3095</v>
      </c>
      <c r="AF190" s="9" t="s">
        <v>2653</v>
      </c>
      <c r="AG190" s="9" t="s">
        <v>2570</v>
      </c>
      <c r="AH190" s="9" t="s">
        <v>2570</v>
      </c>
      <c r="AI190" s="9">
        <v>10</v>
      </c>
      <c r="AJ190" s="9" t="s">
        <v>2563</v>
      </c>
      <c r="AK190" s="9">
        <v>75000</v>
      </c>
      <c r="AM190" s="9">
        <v>585</v>
      </c>
      <c r="AN190" s="11">
        <v>46288</v>
      </c>
      <c r="AO190" s="9">
        <v>2610112</v>
      </c>
      <c r="AP190" s="11">
        <v>46270</v>
      </c>
      <c r="AT190" s="9" t="s">
        <v>2566</v>
      </c>
      <c r="AV190" s="14">
        <v>46288</v>
      </c>
      <c r="AX190" s="9" t="s">
        <v>3094</v>
      </c>
      <c r="AY190" s="9">
        <v>6</v>
      </c>
      <c r="AZ190" s="9" t="s">
        <v>2883</v>
      </c>
      <c r="BA190" s="11">
        <v>46280</v>
      </c>
      <c r="BB190" s="9">
        <v>306</v>
      </c>
      <c r="BC190" s="9" t="s">
        <v>3084</v>
      </c>
      <c r="BD190" s="9">
        <v>427149</v>
      </c>
      <c r="BE190" s="11">
        <v>46274</v>
      </c>
      <c r="BF190" s="9">
        <v>1680</v>
      </c>
      <c r="BG190" s="9">
        <v>1</v>
      </c>
      <c r="BH190" s="9" t="s">
        <v>3083</v>
      </c>
      <c r="BI190" s="9">
        <v>1</v>
      </c>
    </row>
    <row r="191" spans="1:61" x14ac:dyDescent="0.25">
      <c r="A191" s="9">
        <v>947</v>
      </c>
      <c r="B191" s="9" t="s">
        <v>2644</v>
      </c>
      <c r="C191" s="9" t="s">
        <v>2645</v>
      </c>
      <c r="D191" s="9">
        <v>947</v>
      </c>
      <c r="E191" s="9">
        <v>1645</v>
      </c>
      <c r="F191" s="9">
        <v>2026</v>
      </c>
      <c r="G191" s="9">
        <v>9470016452026</v>
      </c>
      <c r="H191" s="9">
        <v>62071100</v>
      </c>
      <c r="I191" s="9">
        <v>2020</v>
      </c>
      <c r="J191" s="9" t="s">
        <v>2848</v>
      </c>
      <c r="K191" s="9">
        <v>1</v>
      </c>
      <c r="L191" s="9" t="s">
        <v>2558</v>
      </c>
      <c r="M191" s="9">
        <v>4</v>
      </c>
      <c r="N191" s="9" t="s">
        <v>3087</v>
      </c>
      <c r="O191" s="10">
        <v>8900.6</v>
      </c>
      <c r="P191" s="9">
        <v>0</v>
      </c>
      <c r="Q191" s="10">
        <v>8900.6</v>
      </c>
      <c r="R191" s="9">
        <v>0</v>
      </c>
      <c r="S191" s="9">
        <v>0</v>
      </c>
      <c r="T191" s="9">
        <v>0</v>
      </c>
      <c r="V191" s="10">
        <v>8900.6</v>
      </c>
      <c r="W191" s="10">
        <v>8825.82</v>
      </c>
      <c r="X191" s="11">
        <v>46267</v>
      </c>
      <c r="Y191" s="9" t="s">
        <v>2564</v>
      </c>
      <c r="Z191" s="11">
        <v>46280</v>
      </c>
      <c r="AA191" s="11">
        <v>46289</v>
      </c>
      <c r="AB191" s="9" t="s">
        <v>2559</v>
      </c>
      <c r="AC191" s="9">
        <v>260326210686920</v>
      </c>
      <c r="AD191" s="9" t="s">
        <v>3086</v>
      </c>
      <c r="AE191" s="9" t="s">
        <v>3095</v>
      </c>
      <c r="AF191" s="9" t="s">
        <v>2653</v>
      </c>
      <c r="AG191" s="9" t="s">
        <v>2570</v>
      </c>
      <c r="AH191" s="9" t="s">
        <v>2570</v>
      </c>
      <c r="AI191" s="9">
        <v>10</v>
      </c>
      <c r="AJ191" s="9" t="s">
        <v>2563</v>
      </c>
      <c r="AK191" s="9">
        <v>12000</v>
      </c>
      <c r="AM191" s="9">
        <v>585</v>
      </c>
      <c r="AN191" s="11">
        <v>46288</v>
      </c>
      <c r="AO191" s="9">
        <v>2610015</v>
      </c>
      <c r="AP191" s="11">
        <v>46267</v>
      </c>
      <c r="AR191" s="9" t="s">
        <v>2577</v>
      </c>
      <c r="AS191" s="9" t="s">
        <v>2565</v>
      </c>
      <c r="AT191" s="9" t="s">
        <v>2566</v>
      </c>
      <c r="AU191" s="9" t="s">
        <v>252</v>
      </c>
      <c r="AV191" s="14">
        <v>46288</v>
      </c>
      <c r="AW191" s="9">
        <v>2610015</v>
      </c>
      <c r="AX191" s="9" t="s">
        <v>3094</v>
      </c>
      <c r="AY191" s="9">
        <v>6</v>
      </c>
      <c r="AZ191" s="9" t="s">
        <v>2894</v>
      </c>
      <c r="BA191" s="11">
        <v>46280</v>
      </c>
      <c r="BB191" s="9">
        <v>306</v>
      </c>
      <c r="BC191" s="9" t="s">
        <v>3084</v>
      </c>
      <c r="BD191" s="9">
        <v>416622</v>
      </c>
      <c r="BE191" s="11">
        <v>46272</v>
      </c>
      <c r="BF191" s="9">
        <v>1680</v>
      </c>
      <c r="BG191" s="9">
        <v>1</v>
      </c>
      <c r="BH191" s="9" t="s">
        <v>3083</v>
      </c>
      <c r="BI191" s="9">
        <v>1</v>
      </c>
    </row>
    <row r="192" spans="1:61" x14ac:dyDescent="0.25">
      <c r="A192" s="9">
        <v>1949</v>
      </c>
      <c r="B192" s="9" t="s">
        <v>2556</v>
      </c>
      <c r="C192" s="9" t="s">
        <v>2557</v>
      </c>
      <c r="D192" s="9">
        <v>1949</v>
      </c>
      <c r="E192" s="9">
        <v>1892</v>
      </c>
      <c r="F192" s="9">
        <v>2026</v>
      </c>
      <c r="G192" s="9">
        <v>19490018922026</v>
      </c>
      <c r="H192" s="9">
        <v>62063000</v>
      </c>
      <c r="I192" s="9">
        <v>2016</v>
      </c>
      <c r="J192" s="9" t="s">
        <v>2851</v>
      </c>
      <c r="K192" s="9">
        <v>1</v>
      </c>
      <c r="L192" s="9" t="s">
        <v>2558</v>
      </c>
      <c r="M192" s="9">
        <v>4</v>
      </c>
      <c r="N192" s="9" t="s">
        <v>3087</v>
      </c>
      <c r="O192" s="10">
        <v>6666.3</v>
      </c>
      <c r="Q192" s="10">
        <v>6666.3</v>
      </c>
      <c r="R192" s="9">
        <v>0</v>
      </c>
      <c r="S192" s="9">
        <v>0</v>
      </c>
      <c r="T192" s="9">
        <v>0</v>
      </c>
      <c r="V192" s="10">
        <v>6666.3</v>
      </c>
      <c r="X192" s="11">
        <v>46268</v>
      </c>
      <c r="Y192" s="9" t="s">
        <v>2564</v>
      </c>
      <c r="Z192" s="11">
        <v>46281</v>
      </c>
      <c r="AB192" s="9" t="s">
        <v>2559</v>
      </c>
      <c r="AC192" s="9">
        <v>260326210686920</v>
      </c>
      <c r="AD192" s="9" t="s">
        <v>3086</v>
      </c>
      <c r="AE192" s="9" t="s">
        <v>3093</v>
      </c>
      <c r="AF192" s="9" t="s">
        <v>2580</v>
      </c>
      <c r="AG192" s="9" t="s">
        <v>2570</v>
      </c>
      <c r="AI192" s="9">
        <v>10</v>
      </c>
      <c r="AJ192" s="9" t="s">
        <v>2563</v>
      </c>
      <c r="AK192" s="9">
        <v>823</v>
      </c>
      <c r="AO192" s="9">
        <v>2610100</v>
      </c>
      <c r="AP192" s="11">
        <v>46268</v>
      </c>
      <c r="AR192" s="9" t="s">
        <v>2571</v>
      </c>
      <c r="AS192" s="9" t="s">
        <v>2581</v>
      </c>
      <c r="AT192" s="9" t="s">
        <v>2566</v>
      </c>
      <c r="AV192" s="14">
        <v>46287</v>
      </c>
      <c r="AX192" s="9" t="s">
        <v>3085</v>
      </c>
      <c r="AY192" s="9">
        <v>1</v>
      </c>
      <c r="AZ192" s="9" t="s">
        <v>2582</v>
      </c>
      <c r="BA192" s="11">
        <v>46281</v>
      </c>
      <c r="BB192" s="9">
        <v>306</v>
      </c>
      <c r="BC192" s="9" t="s">
        <v>3084</v>
      </c>
      <c r="BD192" s="9">
        <v>415384</v>
      </c>
      <c r="BE192" s="11">
        <v>46271</v>
      </c>
      <c r="BF192" s="9">
        <v>1680</v>
      </c>
      <c r="BG192" s="9">
        <v>1</v>
      </c>
      <c r="BH192" s="9" t="s">
        <v>3083</v>
      </c>
    </row>
    <row r="193" spans="1:60" ht="90" x14ac:dyDescent="0.25">
      <c r="A193" s="9">
        <v>947</v>
      </c>
      <c r="B193" s="9" t="s">
        <v>2644</v>
      </c>
      <c r="C193" s="9" t="s">
        <v>2645</v>
      </c>
      <c r="D193" s="9">
        <v>947</v>
      </c>
      <c r="E193" s="9">
        <v>1731</v>
      </c>
      <c r="F193" s="9">
        <v>2026</v>
      </c>
      <c r="G193" s="9">
        <v>9470017312026</v>
      </c>
      <c r="H193" s="9">
        <v>61083100</v>
      </c>
      <c r="I193" s="9">
        <v>2000</v>
      </c>
      <c r="J193" s="9" t="s">
        <v>3092</v>
      </c>
      <c r="K193" s="9">
        <v>1</v>
      </c>
      <c r="L193" s="9" t="s">
        <v>2558</v>
      </c>
      <c r="M193" s="9">
        <v>4</v>
      </c>
      <c r="N193" s="9" t="s">
        <v>3087</v>
      </c>
      <c r="O193" s="10">
        <v>2750</v>
      </c>
      <c r="P193" s="9">
        <v>0</v>
      </c>
      <c r="Q193" s="10">
        <v>2750</v>
      </c>
      <c r="R193" s="9">
        <v>0</v>
      </c>
      <c r="S193" s="9">
        <v>0</v>
      </c>
      <c r="T193" s="9">
        <v>0</v>
      </c>
      <c r="V193" s="10">
        <v>2750</v>
      </c>
      <c r="X193" s="11">
        <v>46280</v>
      </c>
      <c r="Y193" s="9" t="s">
        <v>2564</v>
      </c>
      <c r="Z193" s="11">
        <v>46283</v>
      </c>
      <c r="AB193" s="9" t="s">
        <v>2559</v>
      </c>
      <c r="AC193" s="9">
        <v>260326210686920</v>
      </c>
      <c r="AD193" s="9" t="s">
        <v>3086</v>
      </c>
      <c r="AE193" s="9" t="s">
        <v>139</v>
      </c>
      <c r="AF193" s="12" t="s">
        <v>2668</v>
      </c>
      <c r="AG193" s="9" t="s">
        <v>2570</v>
      </c>
      <c r="AI193" s="9">
        <v>10</v>
      </c>
      <c r="AJ193" s="9" t="s">
        <v>2563</v>
      </c>
      <c r="AK193" s="9">
        <v>1000</v>
      </c>
      <c r="AO193" s="9">
        <v>2610406</v>
      </c>
      <c r="AP193" s="11">
        <v>46279</v>
      </c>
      <c r="AR193" s="9" t="s">
        <v>2577</v>
      </c>
      <c r="AS193" s="9" t="s">
        <v>2669</v>
      </c>
      <c r="AT193" s="9" t="s">
        <v>2566</v>
      </c>
      <c r="AU193" s="9" t="s">
        <v>258</v>
      </c>
      <c r="AV193" s="14">
        <v>46287</v>
      </c>
      <c r="AW193" s="9">
        <v>2610406</v>
      </c>
      <c r="AX193" s="9" t="s">
        <v>3085</v>
      </c>
      <c r="AY193" s="9">
        <v>1</v>
      </c>
      <c r="AZ193" s="9" t="s">
        <v>2670</v>
      </c>
      <c r="BA193" s="11">
        <v>46283</v>
      </c>
      <c r="BB193" s="9">
        <v>306</v>
      </c>
      <c r="BC193" s="9" t="s">
        <v>3084</v>
      </c>
      <c r="BD193" s="9">
        <v>455076</v>
      </c>
      <c r="BE193" s="11">
        <v>46280</v>
      </c>
      <c r="BF193" s="9">
        <v>1680</v>
      </c>
      <c r="BG193" s="9">
        <v>1</v>
      </c>
      <c r="BH193" s="9" t="s">
        <v>3083</v>
      </c>
    </row>
    <row r="194" spans="1:60" x14ac:dyDescent="0.25">
      <c r="A194" s="9">
        <v>947</v>
      </c>
      <c r="B194" s="9" t="s">
        <v>2644</v>
      </c>
      <c r="C194" s="9" t="s">
        <v>2645</v>
      </c>
      <c r="D194" s="9">
        <v>947</v>
      </c>
      <c r="E194" s="9">
        <v>1704</v>
      </c>
      <c r="F194" s="9">
        <v>2026</v>
      </c>
      <c r="G194" s="9">
        <v>9470017042026</v>
      </c>
      <c r="H194" s="9">
        <v>62033200</v>
      </c>
      <c r="I194" s="9">
        <v>1100</v>
      </c>
      <c r="J194" s="9" t="s">
        <v>3091</v>
      </c>
      <c r="K194" s="9">
        <v>1</v>
      </c>
      <c r="L194" s="9" t="s">
        <v>2558</v>
      </c>
      <c r="M194" s="9">
        <v>4</v>
      </c>
      <c r="N194" s="9" t="s">
        <v>3087</v>
      </c>
      <c r="O194" s="10">
        <v>34758.18</v>
      </c>
      <c r="Q194" s="10">
        <v>34758.18</v>
      </c>
      <c r="R194" s="9">
        <v>0</v>
      </c>
      <c r="S194" s="9">
        <v>0</v>
      </c>
      <c r="T194" s="9">
        <v>0</v>
      </c>
      <c r="V194" s="10">
        <v>34758.18</v>
      </c>
      <c r="X194" s="11">
        <v>46275</v>
      </c>
      <c r="Y194" s="9" t="s">
        <v>2564</v>
      </c>
      <c r="Z194" s="11">
        <v>46285</v>
      </c>
      <c r="AB194" s="9" t="s">
        <v>2559</v>
      </c>
      <c r="AC194" s="9">
        <v>260326210686920</v>
      </c>
      <c r="AD194" s="9" t="s">
        <v>3086</v>
      </c>
      <c r="AE194" s="9" t="s">
        <v>1042</v>
      </c>
      <c r="AF194" s="9" t="s">
        <v>2716</v>
      </c>
      <c r="AG194" s="9" t="s">
        <v>2570</v>
      </c>
      <c r="AI194" s="9">
        <v>10</v>
      </c>
      <c r="AJ194" s="9" t="s">
        <v>2563</v>
      </c>
      <c r="AK194" s="9">
        <v>3033</v>
      </c>
      <c r="AO194" s="9">
        <v>2610271</v>
      </c>
      <c r="AP194" s="11">
        <v>46244</v>
      </c>
      <c r="AR194" s="9" t="s">
        <v>2577</v>
      </c>
      <c r="AS194" s="9" t="s">
        <v>2879</v>
      </c>
      <c r="AT194" s="9" t="s">
        <v>2566</v>
      </c>
      <c r="AV194" s="14">
        <v>46292</v>
      </c>
      <c r="AX194" s="9" t="s">
        <v>3085</v>
      </c>
      <c r="AY194" s="9">
        <v>1</v>
      </c>
      <c r="AZ194" s="9" t="s">
        <v>2880</v>
      </c>
      <c r="BA194" s="11">
        <v>46285</v>
      </c>
      <c r="BB194" s="9">
        <v>306</v>
      </c>
      <c r="BC194" s="9" t="s">
        <v>3084</v>
      </c>
      <c r="BD194" s="9">
        <v>437577</v>
      </c>
      <c r="BE194" s="11">
        <v>46276</v>
      </c>
      <c r="BF194" s="9">
        <v>1680</v>
      </c>
      <c r="BG194" s="9">
        <v>1</v>
      </c>
      <c r="BH194" s="9" t="s">
        <v>3083</v>
      </c>
    </row>
    <row r="195" spans="1:60" ht="75" x14ac:dyDescent="0.25">
      <c r="A195" s="9">
        <v>947</v>
      </c>
      <c r="B195" s="9" t="s">
        <v>2644</v>
      </c>
      <c r="C195" s="9" t="s">
        <v>2645</v>
      </c>
      <c r="D195" s="9">
        <v>947</v>
      </c>
      <c r="E195" s="9">
        <v>1759</v>
      </c>
      <c r="F195" s="9">
        <v>2026</v>
      </c>
      <c r="G195" s="9">
        <v>9470017592026</v>
      </c>
      <c r="H195" s="9">
        <v>62033200</v>
      </c>
      <c r="I195" s="9">
        <v>2004</v>
      </c>
      <c r="J195" s="9" t="s">
        <v>3090</v>
      </c>
      <c r="K195" s="9">
        <v>1</v>
      </c>
      <c r="L195" s="9" t="s">
        <v>2558</v>
      </c>
      <c r="M195" s="9">
        <v>4</v>
      </c>
      <c r="N195" s="9" t="s">
        <v>3087</v>
      </c>
      <c r="O195" s="10">
        <v>39565.449999999997</v>
      </c>
      <c r="Q195" s="10">
        <v>39565.449999999997</v>
      </c>
      <c r="R195" s="9">
        <v>0</v>
      </c>
      <c r="S195" s="9">
        <v>0</v>
      </c>
      <c r="T195" s="9">
        <v>0</v>
      </c>
      <c r="V195" s="10">
        <v>39565.449999999997</v>
      </c>
      <c r="X195" s="11">
        <v>46282</v>
      </c>
      <c r="Y195" s="9" t="s">
        <v>2564</v>
      </c>
      <c r="Z195" s="11">
        <v>46290</v>
      </c>
      <c r="AB195" s="9" t="s">
        <v>2559</v>
      </c>
      <c r="AC195" s="9">
        <v>260326210686920</v>
      </c>
      <c r="AD195" s="9" t="s">
        <v>3086</v>
      </c>
      <c r="AE195" s="9" t="s">
        <v>3089</v>
      </c>
      <c r="AF195" s="12" t="s">
        <v>2903</v>
      </c>
      <c r="AG195" s="9" t="s">
        <v>2570</v>
      </c>
      <c r="AI195" s="9">
        <v>10</v>
      </c>
      <c r="AJ195" s="9" t="s">
        <v>2563</v>
      </c>
      <c r="AK195" s="9">
        <v>3493</v>
      </c>
      <c r="AO195" s="9">
        <v>2610410</v>
      </c>
      <c r="AP195" s="11">
        <v>46280</v>
      </c>
      <c r="AR195" s="9" t="s">
        <v>2577</v>
      </c>
      <c r="AT195" s="9" t="s">
        <v>2566</v>
      </c>
      <c r="AV195" s="14">
        <v>46295</v>
      </c>
      <c r="AX195" s="9" t="s">
        <v>3085</v>
      </c>
      <c r="AY195" s="9">
        <v>1</v>
      </c>
      <c r="AZ195" s="9" t="s">
        <v>2904</v>
      </c>
      <c r="BA195" s="11">
        <v>46290</v>
      </c>
      <c r="BB195" s="9">
        <v>306</v>
      </c>
      <c r="BC195" s="9" t="s">
        <v>3084</v>
      </c>
      <c r="BD195" s="9">
        <v>479756</v>
      </c>
      <c r="BE195" s="11">
        <v>46286</v>
      </c>
      <c r="BF195" s="9">
        <v>1680</v>
      </c>
      <c r="BG195" s="9">
        <v>1</v>
      </c>
      <c r="BH195" s="9" t="s">
        <v>3083</v>
      </c>
    </row>
    <row r="196" spans="1:60" x14ac:dyDescent="0.25">
      <c r="A196" s="9">
        <v>947</v>
      </c>
      <c r="B196" s="9" t="s">
        <v>2644</v>
      </c>
      <c r="C196" s="9" t="s">
        <v>2645</v>
      </c>
      <c r="D196" s="9">
        <v>947</v>
      </c>
      <c r="E196" s="9">
        <v>1769</v>
      </c>
      <c r="F196" s="9">
        <v>2026</v>
      </c>
      <c r="G196" s="9">
        <v>9470017692026</v>
      </c>
      <c r="H196" s="9">
        <v>61072100</v>
      </c>
      <c r="I196" s="9">
        <v>2109</v>
      </c>
      <c r="J196" s="9" t="s">
        <v>3088</v>
      </c>
      <c r="K196" s="9">
        <v>1</v>
      </c>
      <c r="L196" s="9" t="s">
        <v>2558</v>
      </c>
      <c r="M196" s="9">
        <v>4</v>
      </c>
      <c r="N196" s="9" t="s">
        <v>3087</v>
      </c>
      <c r="O196" s="10">
        <v>10857.28</v>
      </c>
      <c r="Q196" s="10">
        <v>10857.28</v>
      </c>
      <c r="R196" s="9">
        <v>0</v>
      </c>
      <c r="S196" s="9">
        <v>0</v>
      </c>
      <c r="T196" s="9">
        <v>0</v>
      </c>
      <c r="V196" s="10">
        <v>10857.28</v>
      </c>
      <c r="X196" s="11">
        <v>46284</v>
      </c>
      <c r="Y196" s="9" t="s">
        <v>2564</v>
      </c>
      <c r="Z196" s="11">
        <v>46292</v>
      </c>
      <c r="AB196" s="9" t="s">
        <v>2559</v>
      </c>
      <c r="AC196" s="9">
        <v>260326210686920</v>
      </c>
      <c r="AD196" s="9" t="s">
        <v>3086</v>
      </c>
      <c r="AE196" s="9" t="s">
        <v>1780</v>
      </c>
      <c r="AF196" s="9" t="s">
        <v>2757</v>
      </c>
      <c r="AG196" s="9" t="s">
        <v>2570</v>
      </c>
      <c r="AI196" s="9">
        <v>10</v>
      </c>
      <c r="AJ196" s="9" t="s">
        <v>2563</v>
      </c>
      <c r="AK196" s="9">
        <v>8384</v>
      </c>
      <c r="AO196" s="9">
        <v>2610569</v>
      </c>
      <c r="AP196" s="11">
        <v>46282</v>
      </c>
      <c r="AR196" s="9" t="s">
        <v>2571</v>
      </c>
      <c r="AS196" s="9" t="s">
        <v>2899</v>
      </c>
      <c r="AT196" s="9" t="s">
        <v>2566</v>
      </c>
      <c r="AV196" s="14">
        <v>46294</v>
      </c>
      <c r="AX196" s="9" t="s">
        <v>3085</v>
      </c>
      <c r="AY196" s="9">
        <v>1</v>
      </c>
      <c r="AZ196" s="9" t="s">
        <v>2900</v>
      </c>
      <c r="BA196" s="11">
        <v>46292</v>
      </c>
      <c r="BB196" s="9">
        <v>306</v>
      </c>
      <c r="BC196" s="9" t="s">
        <v>3084</v>
      </c>
      <c r="BD196" s="9">
        <v>481758</v>
      </c>
      <c r="BE196" s="11">
        <v>46286</v>
      </c>
      <c r="BF196" s="9">
        <v>1680</v>
      </c>
      <c r="BG196" s="9">
        <v>1</v>
      </c>
      <c r="BH196" s="9" t="s">
        <v>3083</v>
      </c>
    </row>
    <row r="197" spans="1:60" x14ac:dyDescent="0.25">
      <c r="A197" s="9">
        <v>947</v>
      </c>
      <c r="B197" s="9" t="s">
        <v>2644</v>
      </c>
      <c r="C197" s="9" t="s">
        <v>2645</v>
      </c>
      <c r="D197" s="9">
        <v>947</v>
      </c>
      <c r="E197" s="9">
        <v>1778</v>
      </c>
      <c r="F197" s="9">
        <v>2026</v>
      </c>
      <c r="G197" s="9">
        <v>9470017782026</v>
      </c>
      <c r="H197" s="9">
        <v>61072100</v>
      </c>
      <c r="I197" s="9">
        <v>2109</v>
      </c>
      <c r="J197" s="9" t="s">
        <v>3088</v>
      </c>
      <c r="K197" s="9">
        <v>1</v>
      </c>
      <c r="L197" s="9" t="s">
        <v>2558</v>
      </c>
      <c r="M197" s="9">
        <v>4</v>
      </c>
      <c r="N197" s="9" t="s">
        <v>3087</v>
      </c>
      <c r="O197" s="10">
        <v>15002.92</v>
      </c>
      <c r="P197" s="9">
        <v>0</v>
      </c>
      <c r="Q197" s="10">
        <v>15002.92</v>
      </c>
      <c r="R197" s="9">
        <v>0</v>
      </c>
      <c r="S197" s="9">
        <v>0</v>
      </c>
      <c r="T197" s="9">
        <v>0</v>
      </c>
      <c r="V197" s="10">
        <v>15002.92</v>
      </c>
      <c r="X197" s="11">
        <v>46286</v>
      </c>
      <c r="Y197" s="9" t="s">
        <v>2564</v>
      </c>
      <c r="Z197" s="11">
        <v>46292</v>
      </c>
      <c r="AB197" s="9" t="s">
        <v>2559</v>
      </c>
      <c r="AC197" s="9">
        <v>260326210686920</v>
      </c>
      <c r="AD197" s="9" t="s">
        <v>3086</v>
      </c>
      <c r="AE197" s="9" t="s">
        <v>1780</v>
      </c>
      <c r="AF197" s="9" t="s">
        <v>2757</v>
      </c>
      <c r="AG197" s="9" t="s">
        <v>2570</v>
      </c>
      <c r="AI197" s="9">
        <v>10</v>
      </c>
      <c r="AJ197" s="9" t="s">
        <v>2563</v>
      </c>
      <c r="AK197" s="9">
        <v>9556</v>
      </c>
      <c r="AO197" s="9">
        <v>2610660</v>
      </c>
      <c r="AP197" s="11">
        <v>46286</v>
      </c>
      <c r="AR197" s="9" t="s">
        <v>2571</v>
      </c>
      <c r="AS197" s="9" t="s">
        <v>2899</v>
      </c>
      <c r="AT197" s="9" t="s">
        <v>2566</v>
      </c>
      <c r="AU197" s="9" t="s">
        <v>1782</v>
      </c>
      <c r="AV197" s="14">
        <v>46294</v>
      </c>
      <c r="AW197" s="9">
        <v>2610660</v>
      </c>
      <c r="AX197" s="9" t="s">
        <v>3085</v>
      </c>
      <c r="AY197" s="9">
        <v>1</v>
      </c>
      <c r="AZ197" s="9" t="s">
        <v>2910</v>
      </c>
      <c r="BA197" s="11">
        <v>46292</v>
      </c>
      <c r="BB197" s="9">
        <v>306</v>
      </c>
      <c r="BC197" s="9" t="s">
        <v>3084</v>
      </c>
      <c r="BD197" s="9">
        <v>481752</v>
      </c>
      <c r="BE197" s="11">
        <v>46286</v>
      </c>
      <c r="BF197" s="9">
        <v>1680</v>
      </c>
      <c r="BG197" s="9">
        <v>1</v>
      </c>
      <c r="BH197" s="9" t="s">
        <v>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exp_register_(by_entry_date)</vt:lpstr>
      <vt:lpstr>exp_register_(by_shipment_date)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Sujon</cp:lastModifiedBy>
  <cp:lastPrinted>2026-09-30T10:59:01Z</cp:lastPrinted>
  <dcterms:modified xsi:type="dcterms:W3CDTF">2026-09-30T12:53:24Z</dcterms:modified>
</cp:coreProperties>
</file>